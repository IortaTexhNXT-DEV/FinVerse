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Register" sheetId="4" state="visible" r:id="rId4"/>
    <sheet xmlns:r="http://schemas.openxmlformats.org/officeDocument/2006/relationships" name="Open questions" sheetId="5" state="visible" r:id="rId5"/>
    <sheet xmlns:r="http://schemas.openxmlformats.org/officeDocument/2006/relationships" name="NFR comparison" sheetId="6" state="visible" r:id="rId6"/>
    <sheet xmlns:r="http://schemas.openxmlformats.org/officeDocument/2006/relationships" name="_lists" sheetId="7" state="hidden" r:id="rId7"/>
  </sheets>
  <definedNames>
    <definedName name="_xlnm._FilterDatabase" localSheetId="1" hidden="1">'README'!$A$4:$D$49</definedName>
    <definedName name="_xlnm.Print_Titles" localSheetId="1">'README'!$4:$4</definedName>
    <definedName name="_xlnm._FilterDatabase" localSheetId="3" hidden="1">'Register'!$A$4:$Q$243</definedName>
    <definedName name="_xlnm.Print_Titles" localSheetId="3">'Register'!$4:$4</definedName>
    <definedName name="_xlnm._FilterDatabase" localSheetId="4" hidden="1">'Open questions'!$A$4:$J$457</definedName>
    <definedName name="_xlnm.Print_Titles" localSheetId="4">'Open questions'!$4:$4</definedName>
    <definedName name="_xlnm._FilterDatabase" localSheetId="5" hidden="1">'NFR comparison'!$A$4:$R$22</definedName>
    <definedName name="_xlnm.Print_Titles" localSheetId="5">'NFR comparison'!$4:$4</definedName>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23">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4EA8"/>
      <sz val="10"/>
    </font>
    <font>
      <name val="Arial"/>
      <color rgb="004B4B4B"/>
      <sz val="9"/>
    </font>
    <font>
      <name val="Arial"/>
      <b val="1"/>
      <color rgb="00C62828"/>
      <sz val="9"/>
    </font>
    <font>
      <name val="Arial"/>
      <b val="1"/>
      <color rgb="002E7D32"/>
      <sz val="9"/>
    </font>
    <font>
      <name val="Arial"/>
      <b val="1"/>
      <color rgb="00004EA8"/>
      <sz val="12"/>
    </font>
    <font>
      <name val="Arial"/>
      <b val="1"/>
      <color rgb="00C62828"/>
      <sz val="10"/>
    </font>
    <font>
      <name val="Arial"/>
      <b val="1"/>
      <color rgb="008A5A00"/>
      <sz val="10"/>
    </font>
    <font>
      <name val="Arial"/>
      <b val="1"/>
      <color rgb="00656565"/>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2E7D32"/>
      <sz val="10"/>
    </font>
    <font>
      <name val="Arial"/>
      <i val="1"/>
      <color rgb="00656565"/>
      <sz val="9"/>
    </font>
  </fonts>
  <fills count="8">
    <fill>
      <patternFill/>
    </fill>
    <fill>
      <patternFill patternType="gray125"/>
    </fill>
    <fill>
      <patternFill patternType="solid">
        <fgColor rgb="00004EA8"/>
      </patternFill>
    </fill>
    <fill>
      <patternFill patternType="solid">
        <fgColor rgb="00FFF4D6"/>
      </patternFill>
    </fill>
    <fill>
      <patternFill patternType="solid">
        <fgColor rgb="00F6F6F6"/>
      </patternFill>
    </fill>
    <fill>
      <patternFill patternType="solid">
        <fgColor rgb="00FDECEA"/>
      </patternFill>
    </fill>
    <fill>
      <patternFill patternType="solid">
        <fgColor rgb="00E8F5E9"/>
      </patternFill>
    </fill>
    <fill>
      <patternFill patternType="solid">
        <fgColor rgb="00E5F5FF"/>
      </patternFill>
    </fill>
  </fills>
  <borders count="9">
    <border>
      <left/>
      <right/>
      <top/>
      <bottom/>
      <diagonal/>
    </border>
    <border>
      <bottom style="thin">
        <color rgb="00FDB913"/>
      </bottom>
    </border>
    <border>
      <left style="thin">
        <color rgb="00C2C2C1"/>
      </left>
      <right style="thin">
        <color rgb="00C2C2C1"/>
      </right>
      <top style="thin">
        <color rgb="00C2C2C1"/>
      </top>
      <bottom style="thin">
        <color rgb="00C2C2C1"/>
      </bottom>
    </border>
    <border>
      <left/>
      <right/>
      <top style="thin">
        <color rgb="00C2C2C1"/>
      </top>
      <bottom/>
      <diagonal/>
    </border>
    <border>
      <left/>
      <right style="thin">
        <color rgb="00C2C2C1"/>
      </right>
      <top style="thin">
        <color rgb="00C2C2C1"/>
      </top>
      <bottom/>
      <diagonal/>
    </border>
    <border>
      <left/>
      <right/>
      <top style="thin">
        <color rgb="00C2C2C1"/>
      </top>
      <bottom style="thin">
        <color rgb="00C2C2C1"/>
      </bottom>
      <diagonal/>
    </border>
    <border>
      <left/>
      <right style="thin">
        <color rgb="00C2C2C1"/>
      </right>
      <top style="thin">
        <color rgb="00C2C2C1"/>
      </top>
      <bottom style="thin">
        <color rgb="00C2C2C1"/>
      </bottom>
      <diagonal/>
    </border>
    <border>
      <bottom style="medium">
        <color rgb="00FDB913"/>
      </bottom>
    </border>
    <border>
      <bottom style="thin">
        <color rgb="00E4E4E4"/>
      </bottom>
    </border>
  </borders>
  <cellStyleXfs count="1">
    <xf numFmtId="0" fontId="0" fillId="0" borderId="0"/>
  </cellStyleXfs>
  <cellXfs count="46">
    <xf numFmtId="0" fontId="0" fillId="0" borderId="0" pivotButton="0" quotePrefix="0" xfId="0"/>
    <xf numFmtId="0" fontId="0" fillId="0" borderId="7" pivotButton="0" quotePrefix="0" xfId="0"/>
    <xf numFmtId="0" fontId="14"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18" fillId="0" borderId="8" pivotButton="0" quotePrefix="0" xfId="0"/>
    <xf numFmtId="0" fontId="19" fillId="0" borderId="8" pivotButton="0" quotePrefix="0" xfId="0"/>
    <xf numFmtId="0" fontId="20" fillId="0" borderId="8" pivotButton="0" quotePrefix="0" xfId="0"/>
    <xf numFmtId="0" fontId="10" fillId="0" borderId="0" pivotButton="0" quotePrefix="0" xfId="0"/>
    <xf numFmtId="0" fontId="3" fillId="2" borderId="2" pivotButton="0" quotePrefix="0" xfId="0"/>
    <xf numFmtId="0" fontId="14" fillId="0" borderId="2" applyAlignment="1" pivotButton="0" quotePrefix="0" xfId="0">
      <alignment vertical="top" wrapText="1"/>
    </xf>
    <xf numFmtId="0" fontId="4" fillId="0" borderId="2" applyAlignment="1" pivotButton="0" quotePrefix="0" xfId="0">
      <alignment vertical="top" wrapText="1"/>
    </xf>
    <xf numFmtId="0" fontId="14" fillId="7" borderId="2" applyAlignment="1" pivotButton="0" quotePrefix="0" xfId="0">
      <alignment vertical="top" wrapText="1"/>
    </xf>
    <xf numFmtId="0" fontId="4" fillId="7" borderId="2" applyAlignment="1" pivotButton="0" quotePrefix="0" xfId="0">
      <alignment vertical="top" wrapText="1"/>
    </xf>
    <xf numFmtId="0" fontId="12" fillId="3" borderId="2" applyAlignment="1" pivotButton="0" quotePrefix="0" xfId="0">
      <alignment horizontal="center"/>
    </xf>
    <xf numFmtId="0" fontId="4" fillId="0" borderId="2" applyAlignment="1" pivotButton="0" quotePrefix="0" xfId="0">
      <alignment wrapText="1"/>
    </xf>
    <xf numFmtId="0" fontId="21" fillId="6" borderId="2" applyAlignment="1" pivotButton="0" quotePrefix="0" xfId="0">
      <alignment horizontal="center"/>
    </xf>
    <xf numFmtId="0" fontId="22"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7" borderId="2" applyAlignment="1" pivotButton="0" quotePrefix="0" xfId="0">
      <alignment vertical="top" wrapText="1"/>
    </xf>
    <xf numFmtId="0" fontId="0" fillId="0" borderId="1" pivotButton="0" quotePrefix="0" xfId="0"/>
    <xf numFmtId="0" fontId="3" fillId="2" borderId="2" applyAlignment="1" pivotButton="0" quotePrefix="0" xfId="0">
      <alignment horizontal="left" vertical="center" wrapText="1"/>
    </xf>
    <xf numFmtId="0" fontId="3" fillId="2" borderId="2" applyAlignment="1" pivotButton="0" quotePrefix="0" xfId="0">
      <alignment horizontal="center" vertical="center" wrapText="1"/>
    </xf>
    <xf numFmtId="0" fontId="11" fillId="5" borderId="2" applyAlignment="1" pivotButton="0" quotePrefix="0" xfId="0">
      <alignment horizontal="left" vertical="top" wrapText="1"/>
    </xf>
    <xf numFmtId="0" fontId="4" fillId="0" borderId="2" applyAlignment="1" pivotButton="0" quotePrefix="0" xfId="0">
      <alignment horizontal="center" vertical="top" wrapText="1"/>
    </xf>
    <xf numFmtId="0" fontId="12" fillId="3" borderId="2" applyAlignment="1" pivotButton="0" quotePrefix="0" xfId="0">
      <alignment horizontal="left" vertical="top" wrapText="1"/>
    </xf>
    <xf numFmtId="0" fontId="4" fillId="7" borderId="2" applyAlignment="1" pivotButton="0" quotePrefix="0" xfId="0">
      <alignment horizontal="center" vertical="top" wrapText="1"/>
    </xf>
    <xf numFmtId="0" fontId="13" fillId="4" borderId="2" applyAlignment="1" pivotButton="0" quotePrefix="0" xfId="0">
      <alignment horizontal="left" vertical="top" wrapText="1"/>
    </xf>
    <xf numFmtId="0" fontId="5" fillId="0" borderId="2" applyAlignment="1" pivotButton="0" quotePrefix="0" xfId="0">
      <alignment horizontal="left" vertical="top" wrapText="1"/>
    </xf>
    <xf numFmtId="0" fontId="5" fillId="0" borderId="2" applyAlignment="1" pivotButton="0" quotePrefix="0" xfId="0">
      <alignment horizontal="center" vertical="top" wrapText="1"/>
    </xf>
    <xf numFmtId="0" fontId="5" fillId="7" borderId="2" applyAlignment="1" pivotButton="0" quotePrefix="0" xfId="0">
      <alignment horizontal="left" vertical="top" wrapText="1"/>
    </xf>
    <xf numFmtId="0" fontId="0" fillId="0" borderId="5" pivotButton="0" quotePrefix="0" xfId="0"/>
    <xf numFmtId="0" fontId="0" fillId="0" borderId="6" pivotButton="0" quotePrefix="0" xfId="0"/>
    <xf numFmtId="0" fontId="2" fillId="0" borderId="0" applyAlignment="1" pivotButton="0" quotePrefix="0" xfId="0">
      <alignment vertical="top"/>
    </xf>
    <xf numFmtId="0" fontId="3" fillId="2" borderId="2" applyAlignment="1" pivotButton="0" quotePrefix="0" xfId="0">
      <alignment vertical="center" wrapText="1"/>
    </xf>
    <xf numFmtId="0" fontId="6" fillId="0" borderId="2" applyAlignment="1" pivotButton="0" quotePrefix="0" xfId="0">
      <alignment vertical="top" wrapText="1"/>
    </xf>
    <xf numFmtId="0" fontId="4" fillId="0" borderId="2" applyAlignment="1" pivotButton="0" quotePrefix="0" xfId="0">
      <alignment horizontal="center" vertical="top"/>
    </xf>
    <xf numFmtId="165" fontId="4" fillId="0" borderId="2" applyAlignment="1" pivotButton="0" quotePrefix="0" xfId="0">
      <alignment vertical="top" wrapText="1"/>
    </xf>
    <xf numFmtId="0" fontId="7" fillId="3" borderId="2" applyAlignment="1" pivotButton="0" quotePrefix="0" xfId="0">
      <alignment vertical="top" wrapText="1"/>
    </xf>
    <xf numFmtId="0" fontId="2" fillId="4" borderId="2" applyAlignment="1" pivotButton="0" quotePrefix="0" xfId="0">
      <alignment vertical="top" wrapText="1"/>
    </xf>
    <xf numFmtId="0" fontId="8" fillId="5" borderId="2" applyAlignment="1" pivotButton="0" quotePrefix="0" xfId="0">
      <alignment horizontal="center" vertical="top"/>
    </xf>
    <xf numFmtId="0" fontId="7" fillId="0" borderId="2" applyAlignment="1" pivotButton="0" quotePrefix="0" xfId="0">
      <alignment vertical="top" wrapText="1"/>
    </xf>
    <xf numFmtId="0" fontId="9" fillId="6" borderId="2" applyAlignment="1" pivotButton="0" quotePrefix="0" xfId="0">
      <alignment horizontal="center" vertical="top"/>
    </xf>
  </cellXfs>
  <cellStyles count="1">
    <cellStyle name="Normal" xfId="0" builtinId="0" hidden="0"/>
  </cellStyles>
  <dxfs count="6">
    <dxf>
      <font>
        <b val="1"/>
        <color rgb="008A5A00"/>
      </font>
      <fill>
        <patternFill patternType="solid">
          <fgColor rgb="00FFF4D6"/>
          <bgColor rgb="00FFF4D6"/>
        </patternFill>
      </fill>
    </dxf>
    <dxf>
      <font>
        <b val="1"/>
        <color rgb="002E7D32"/>
      </font>
      <fill>
        <patternFill patternType="solid">
          <fgColor rgb="00E8F5E9"/>
          <bgColor rgb="00E8F5E9"/>
        </patternFill>
      </fill>
    </dxf>
    <dxf>
      <fill>
        <patternFill patternType="solid">
          <fgColor rgb="00E5F5FF"/>
          <bgColor rgb="00E5F5FF"/>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
      <font>
        <b val="1"/>
        <color rgb="00004EA8"/>
      </font>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Register'!A1" TargetMode="External" Id="rId3"/><Relationship Type="http://schemas.openxmlformats.org/officeDocument/2006/relationships/hyperlink" Target="#'Open questions'!A1" TargetMode="External" Id="rId4"/><Relationship Type="http://schemas.openxmlformats.org/officeDocument/2006/relationships/hyperlink" Target="#'NFR comparison'!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B4:E3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REGISTER</t>
        </is>
      </c>
    </row>
    <row r="7" ht="32" customHeight="1">
      <c r="B7" s="3" t="inlineStr">
        <is>
          <t>BRD Discrepancy and Clarification Register</t>
        </is>
      </c>
    </row>
    <row r="8">
      <c r="B8" s="4" t="inlineStr">
        <is>
          <t>Discrepancies, conflicts, gaps and points for clarification in the BRDs (BRD-00 to BRD-13) and the Report List</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1.2</t>
        </is>
      </c>
    </row>
    <row r="14">
      <c r="B14" s="6" t="inlineStr">
        <is>
          <t>Date</t>
        </is>
      </c>
      <c r="C14" s="7" t="inlineStr">
        <is>
          <t>26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Counts by BRD, type and severity; status pivot; items to resolve first</t>
        </is>
      </c>
      <c r="D21" s="14" t="inlineStr"/>
    </row>
    <row r="22">
      <c r="B22" s="11" t="inlineStr">
        <is>
          <t>Register</t>
        </is>
      </c>
      <c r="C22" s="12" t="inlineStr">
        <is>
          <t>One row per discrepancy, conflict, gap or clarification. Filter on BRD, drop, type, severity or status.</t>
        </is>
      </c>
      <c r="D22" s="12" t="n">
        <v>239</v>
      </c>
    </row>
    <row r="23">
      <c r="B23" s="13" t="inlineStr">
        <is>
          <t>Open questions</t>
        </is>
      </c>
      <c r="C23" s="14" t="inlineStr">
        <is>
          <t>Every open question of the specs, with its status, the consolidated question and the register items.</t>
        </is>
      </c>
      <c r="D23" s="14" t="n">
        <v>453</v>
      </c>
    </row>
    <row r="24">
      <c r="B24" s="11" t="inlineStr">
        <is>
          <t>NFR comparison</t>
        </is>
      </c>
      <c r="C24" s="12" t="inlineStr">
        <is>
          <t>Every NFR theme against each BRD's value. Conflicting rows are highlighted; grey cells: not stated or 'follow QPS'.</t>
        </is>
      </c>
      <c r="D24" s="12" t="n">
        <v>18</v>
      </c>
    </row>
    <row r="26">
      <c r="B26" s="9" t="inlineStr">
        <is>
          <t>Legend</t>
        </is>
      </c>
    </row>
    <row r="27">
      <c r="B27" s="15" t="inlineStr">
        <is>
          <t>Open</t>
        </is>
      </c>
      <c r="C27" s="16" t="inlineStr">
        <is>
          <t>Waiting for a BDOI answer</t>
        </is>
      </c>
    </row>
    <row r="28">
      <c r="B28" s="17" t="inlineStr">
        <is>
          <t>Answered</t>
        </is>
      </c>
      <c r="C28" s="16" t="inlineStr">
        <is>
          <t>A signed BDOI document answers the item; BDOI confirms to close</t>
        </is>
      </c>
    </row>
    <row r="29">
      <c r="B29" s="17" t="inlineStr">
        <is>
          <t>Closed</t>
        </is>
      </c>
      <c r="C29" s="16" t="inlineStr">
        <is>
          <t>BDOI confirmed the resolution</t>
        </is>
      </c>
    </row>
    <row r="31">
      <c r="B31" s="18" t="inlineStr">
        <is>
          <t>Severity rule, types and status values: see the README sheet.</t>
        </is>
      </c>
    </row>
    <row r="32">
      <c r="B32" s="18" t="inlineStr">
        <is>
          <t>Page numbers are PDF pages of the source files in docs/source-documents.</t>
        </is>
      </c>
    </row>
    <row r="33">
      <c r="B33" s="18" t="inlineStr">
        <is>
          <t>The CSF pack holds meeting credentials in an attached e-mail (DCR-098); they are not copied here.</t>
        </is>
      </c>
    </row>
    <row r="35" ht="26" customHeight="1">
      <c r="B35" s="19"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1.2</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9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0" t="inlineStr">
        <is>
          <t>README – columns of each sheet</t>
        </is>
      </c>
    </row>
    <row r="2">
      <c r="A2" s="19" t="inlineStr">
        <is>
          <t>BRD Discrepancy and Clarification Register, version 1.2. Drop-down columns accept only the listed values.</t>
        </is>
      </c>
    </row>
    <row r="4">
      <c r="A4" s="10" t="inlineStr">
        <is>
          <t>Sheet</t>
        </is>
      </c>
      <c r="B4" s="10" t="inlineStr">
        <is>
          <t>Column</t>
        </is>
      </c>
      <c r="C4" s="10" t="inlineStr">
        <is>
          <t>Meaning</t>
        </is>
      </c>
      <c r="D4" s="10" t="inlineStr">
        <is>
          <t>Allowed values</t>
        </is>
      </c>
    </row>
    <row r="5">
      <c r="A5" s="12" t="inlineStr">
        <is>
          <t>Register</t>
        </is>
      </c>
      <c r="B5" s="21" t="inlineStr">
        <is>
          <t>Ref</t>
        </is>
      </c>
      <c r="C5" s="12" t="inlineStr">
        <is>
          <t>Register reference DCR-nnn. Stable: a new item gets the next number.</t>
        </is>
      </c>
      <c r="D5" s="12" t="inlineStr"/>
    </row>
    <row r="6">
      <c r="A6" s="14" t="inlineStr">
        <is>
          <t>Register</t>
        </is>
      </c>
      <c r="B6" s="22" t="inlineStr">
        <is>
          <t>BRD(s) involved</t>
        </is>
      </c>
      <c r="C6" s="14" t="inlineStr">
        <is>
          <t>BRDs the item involves (BRD-n and short name; Report List where relevant). Several BRDs are separated by semicolons.</t>
        </is>
      </c>
      <c r="D6" s="14" t="inlineStr"/>
    </row>
    <row r="7">
      <c r="A7" s="12" t="inlineStr">
        <is>
          <t>Register</t>
        </is>
      </c>
      <c r="B7" s="21" t="inlineStr">
        <is>
          <t>Drop</t>
        </is>
      </c>
      <c r="C7" s="12" t="inlineStr">
        <is>
          <t>BDOI drop in which the item is resolved: Drop 0 (setup and data migration), Drop 1 (transactional), Drop 2 (independent), Programme (platform-wide) or Phase 2 (outside the January 2028 scope). Default: the earliest drop of the BRDs involved.</t>
        </is>
      </c>
      <c r="D7" s="12" t="inlineStr">
        <is>
          <t>Drop 0, Drop 1, Drop 2, Programme, Phase 2</t>
        </is>
      </c>
    </row>
    <row r="8">
      <c r="A8" s="14" t="inlineStr">
        <is>
          <t>Register</t>
        </is>
      </c>
      <c r="B8" s="22" t="inlineStr">
        <is>
          <t>BRD ID / section / page</t>
        </is>
      </c>
      <c r="C8" s="14" t="inlineStr">
        <is>
          <t>Requirement ID, section and PDF page of the source file in docs/source-documents, for each BRD involved.</t>
        </is>
      </c>
      <c r="D8" s="14" t="inlineStr"/>
    </row>
    <row r="9">
      <c r="A9" s="12" t="inlineStr">
        <is>
          <t>Register</t>
        </is>
      </c>
      <c r="B9" s="21" t="inlineStr">
        <is>
          <t>Type</t>
        </is>
      </c>
      <c r="C9" s="12" t="inlineStr">
        <is>
          <t>Kind of issue (definitions below).</t>
        </is>
      </c>
      <c r="D9" s="12" t="inlineStr">
        <is>
          <t>Contradiction within BRD, Conflict between BRDs, Gap / missing detail, Ambiguity, BRD vs platform, NFR inconsistency, Data / numbering issue, Document quality</t>
        </is>
      </c>
    </row>
    <row r="10">
      <c r="A10" s="14" t="inlineStr">
        <is>
          <t>Register</t>
        </is>
      </c>
      <c r="B10" s="22" t="inlineStr">
        <is>
          <t>Description</t>
        </is>
      </c>
      <c r="C10" s="14" t="inlineStr">
        <is>
          <t>What the BRD says, with the conflicting statements quoted briefly.</t>
        </is>
      </c>
      <c r="D10" s="14" t="inlineStr"/>
    </row>
    <row r="11">
      <c r="A11" s="12" t="inlineStr">
        <is>
          <t>Register</t>
        </is>
      </c>
      <c r="B11" s="21" t="inlineStr">
        <is>
          <t>Impact (business / build / test)</t>
        </is>
      </c>
      <c r="C11" s="12" t="inlineStr">
        <is>
          <t>Effect on the business process, on what is built, and on testing.</t>
        </is>
      </c>
      <c r="D11" s="12" t="inlineStr"/>
    </row>
    <row r="12">
      <c r="A12" s="14" t="inlineStr">
        <is>
          <t>Register</t>
        </is>
      </c>
      <c r="B12" s="22" t="inlineStr">
        <is>
          <t>Severity</t>
        </is>
      </c>
      <c r="C12" s="14" t="inlineStr">
        <is>
          <t>High, Medium or Low (rule below).</t>
        </is>
      </c>
      <c r="D12" s="14" t="inlineStr">
        <is>
          <t>High, Medium, Low</t>
        </is>
      </c>
    </row>
    <row r="13">
      <c r="A13" s="12" t="inlineStr">
        <is>
          <t>Register</t>
        </is>
      </c>
      <c r="B13" s="21" t="inlineStr">
        <is>
          <t>Affected modules</t>
        </is>
      </c>
      <c r="C13" s="12" t="inlineStr">
        <is>
          <t>BIBS modules affected.</t>
        </is>
      </c>
      <c r="D13" s="12" t="inlineStr"/>
    </row>
    <row r="14">
      <c r="A14" s="14" t="inlineStr">
        <is>
          <t>Register</t>
        </is>
      </c>
      <c r="B14" s="22" t="inlineStr">
        <is>
          <t>Proposed resolution / recommendation</t>
        </is>
      </c>
      <c r="C14" s="14" t="inlineStr">
        <is>
          <t>What the project proposes, and builds as the default until BDOI answers.</t>
        </is>
      </c>
      <c r="D14" s="14" t="inlineStr"/>
    </row>
    <row r="15">
      <c r="A15" s="12" t="inlineStr">
        <is>
          <t>Register</t>
        </is>
      </c>
      <c r="B15" s="21" t="inlineStr">
        <is>
          <t>Clarification question to BDOI</t>
        </is>
      </c>
      <c r="C15" s="12" t="inlineStr">
        <is>
          <t>The question BDOI is asked to answer.</t>
        </is>
      </c>
      <c r="D15" s="12" t="inlineStr"/>
    </row>
    <row r="16">
      <c r="A16" s="14" t="inlineStr">
        <is>
          <t>Register</t>
        </is>
      </c>
      <c r="B16" s="22" t="inlineStr">
        <is>
          <t>Owner (BDOI)</t>
        </is>
      </c>
      <c r="C16" s="14" t="inlineStr">
        <is>
          <t>BDOI business unit that owns the answer, from the BRD approval sheets. Items involving several BRDs go to the BIBS Product Owner with the owners involved.</t>
        </is>
      </c>
      <c r="D16" s="14" t="inlineStr"/>
    </row>
    <row r="17">
      <c r="A17" s="12" t="inlineStr">
        <is>
          <t>Register</t>
        </is>
      </c>
      <c r="B17" s="21" t="inlineStr">
        <is>
          <t>Raised on</t>
        </is>
      </c>
      <c r="C17" s="12" t="inlineStr">
        <is>
          <t>Date the item was raised.</t>
        </is>
      </c>
      <c r="D17" s="12" t="inlineStr"/>
    </row>
    <row r="18">
      <c r="A18" s="14" t="inlineStr">
        <is>
          <t>Register</t>
        </is>
      </c>
      <c r="B18" s="22" t="inlineStr">
        <is>
          <t>Status</t>
        </is>
      </c>
      <c r="C18" s="14" t="inlineStr">
        <is>
          <t>Open, Answered or Closed (rule below).</t>
        </is>
      </c>
      <c r="D18" s="14" t="inlineStr">
        <is>
          <t>Open, Answered, Closed</t>
        </is>
      </c>
    </row>
    <row r="19">
      <c r="A19" s="12" t="inlineStr">
        <is>
          <t>Register</t>
        </is>
      </c>
      <c r="B19" s="21" t="inlineStr">
        <is>
          <t>BDOI response</t>
        </is>
      </c>
      <c r="C19" s="12" t="inlineStr">
        <is>
          <t>BDOI's answer, or the signed BDOI document that answers the item.</t>
        </is>
      </c>
      <c r="D19" s="12" t="inlineStr"/>
    </row>
    <row r="20">
      <c r="A20" s="14" t="inlineStr">
        <is>
          <t>Register</t>
        </is>
      </c>
      <c r="B20" s="22" t="inlineStr">
        <is>
          <t>Resolution date</t>
        </is>
      </c>
      <c r="C20" s="14" t="inlineStr">
        <is>
          <t>Date the item was Closed.</t>
        </is>
      </c>
      <c r="D20" s="14" t="inlineStr"/>
    </row>
    <row r="21">
      <c r="A21" s="12" t="inlineStr">
        <is>
          <t>Register</t>
        </is>
      </c>
      <c r="B21" s="21" t="inlineStr">
        <is>
          <t>Related question IDs</t>
        </is>
      </c>
      <c r="C21" s="12" t="inlineStr">
        <is>
          <t>Open-question IDs of the specs (CRQ, Q, OQ, PQ, CQ, AQ, RQ, CLQ, EBQ, CSQ, SP-SQ, SANC-SQ, UQ, DMQ, IQ, DSQ, XQ; see the Open questions sheet) and related register items (DCR).</t>
        </is>
      </c>
      <c r="D21" s="12" t="inlineStr"/>
    </row>
    <row r="22">
      <c r="A22" s="14" t="inlineStr">
        <is>
          <t>Open questions</t>
        </is>
      </c>
      <c r="B22" s="22" t="inlineStr">
        <is>
          <t>Question ID</t>
        </is>
      </c>
      <c r="C22" s="14" t="inlineStr">
        <is>
          <t>Original ID of the question. SQ is used by two specs, so it is written SP-SQnn (Submitted Policies) and SANC-SQnn (Sanction Screening).</t>
        </is>
      </c>
      <c r="D22" s="14" t="inlineStr"/>
    </row>
    <row r="23">
      <c r="A23" s="12" t="inlineStr">
        <is>
          <t>Open questions</t>
        </is>
      </c>
      <c r="B23" s="21" t="inlineStr">
        <is>
          <t>BRD</t>
        </is>
      </c>
      <c r="C23" s="12" t="inlineStr">
        <is>
          <t>Spec that raised the question (Cross-BRD: BDOI_CROSS_BRD_DECISIONS.md).</t>
        </is>
      </c>
      <c r="D23" s="12" t="inlineStr"/>
    </row>
    <row r="24">
      <c r="A24" s="14" t="inlineStr">
        <is>
          <t>Open questions</t>
        </is>
      </c>
      <c r="B24" s="22" t="inlineStr">
        <is>
          <t>Topic</t>
        </is>
      </c>
      <c r="C24" s="14" t="inlineStr">
        <is>
          <t>Topic of the question.</t>
        </is>
      </c>
      <c r="D24" s="14" t="inlineStr"/>
    </row>
    <row r="25">
      <c r="A25" s="12" t="inlineStr">
        <is>
          <t>Open questions</t>
        </is>
      </c>
      <c r="B25" s="21" t="inlineStr">
        <is>
          <t>Question</t>
        </is>
      </c>
      <c r="C25" s="12" t="inlineStr">
        <is>
          <t>Question as asked in the spec.</t>
        </is>
      </c>
      <c r="D25" s="12" t="inlineStr"/>
    </row>
    <row r="26">
      <c r="A26" s="14" t="inlineStr">
        <is>
          <t>Open questions</t>
        </is>
      </c>
      <c r="B26" s="22" t="inlineStr">
        <is>
          <t>Source reference</t>
        </is>
      </c>
      <c r="C26" s="14" t="inlineStr">
        <is>
          <t>Requirement IDs and earlier questions the question refers to.</t>
        </is>
      </c>
      <c r="D26" s="14" t="inlineStr"/>
    </row>
    <row r="27">
      <c r="A27" s="12" t="inlineStr">
        <is>
          <t>Open questions</t>
        </is>
      </c>
      <c r="B27" s="21" t="inlineStr">
        <is>
          <t>Status</t>
        </is>
      </c>
      <c r="C27" s="12" t="inlineStr">
        <is>
          <t>Open, Partially answered (a later BRD answers part of it) or Answered.</t>
        </is>
      </c>
      <c r="D27" s="12" t="inlineStr">
        <is>
          <t>Open, Partially answered, Answered</t>
        </is>
      </c>
    </row>
    <row r="28">
      <c r="A28" s="14" t="inlineStr">
        <is>
          <t>Open questions</t>
        </is>
      </c>
      <c r="B28" s="22" t="inlineStr">
        <is>
          <t>Answer so far (source)</t>
        </is>
      </c>
      <c r="C28" s="14" t="inlineStr">
        <is>
          <t>Short answer from a later BRD, with the answering document and ID.</t>
        </is>
      </c>
      <c r="D28" s="14" t="inlineStr"/>
    </row>
    <row r="29">
      <c r="A29" s="12" t="inlineStr">
        <is>
          <t>Open questions</t>
        </is>
      </c>
      <c r="B29" s="21" t="inlineStr">
        <is>
          <t>Consolidated under</t>
        </is>
      </c>
      <c r="C29" s="12" t="inlineStr">
        <is>
          <t>Primary question of the topic when several specs ask the same thing. Answer the primary question; the others follow.</t>
        </is>
      </c>
      <c r="D29" s="12" t="inlineStr"/>
    </row>
    <row r="30">
      <c r="A30" s="14" t="inlineStr">
        <is>
          <t>Open questions</t>
        </is>
      </c>
      <c r="B30" s="22" t="inlineStr">
        <is>
          <t>Same topic as</t>
        </is>
      </c>
      <c r="C30" s="14" t="inlineStr">
        <is>
          <t>For a primary question: the questions consolidated under it.</t>
        </is>
      </c>
      <c r="D30" s="14" t="inlineStr"/>
    </row>
    <row r="31">
      <c r="A31" s="12" t="inlineStr">
        <is>
          <t>Open questions</t>
        </is>
      </c>
      <c r="B31" s="21" t="inlineStr">
        <is>
          <t>Register items</t>
        </is>
      </c>
      <c r="C31" s="12" t="inlineStr">
        <is>
          <t>Register items (DCR) that cite the question.</t>
        </is>
      </c>
      <c r="D31" s="12" t="inlineStr"/>
    </row>
    <row r="32">
      <c r="A32" s="14" t="inlineStr">
        <is>
          <t>NFR comparison</t>
        </is>
      </c>
      <c r="B32" s="22" t="inlineStr">
        <is>
          <t>NFR theme</t>
        </is>
      </c>
      <c r="C32" s="14" t="inlineStr">
        <is>
          <t>Non-functional theme compared across the BRDs.</t>
        </is>
      </c>
      <c r="D32" s="14" t="inlineStr"/>
    </row>
    <row r="33">
      <c r="A33" s="12" t="inlineStr">
        <is>
          <t>NFR comparison</t>
        </is>
      </c>
      <c r="B33" s="21" t="inlineStr">
        <is>
          <t>BRD-0 CORE</t>
        </is>
      </c>
      <c r="C33" s="12" t="inlineStr">
        <is>
          <t>Value in BRD-0 CORE BDOI Core Replacement (umbrella), with the page.</t>
        </is>
      </c>
      <c r="D33" s="12" t="inlineStr"/>
    </row>
    <row r="34">
      <c r="A34" s="14" t="inlineStr">
        <is>
          <t>NFR comparison</t>
        </is>
      </c>
      <c r="B34" s="22" t="inlineStr">
        <is>
          <t>BRD-1 NB</t>
        </is>
      </c>
      <c r="C34" s="14" t="inlineStr">
        <is>
          <t>Value in BRD-1 NB New Business (NB), with the page.</t>
        </is>
      </c>
      <c r="D34" s="14" t="inlineStr"/>
    </row>
    <row r="35">
      <c r="A35" s="12" t="inlineStr">
        <is>
          <t>NFR comparison</t>
        </is>
      </c>
      <c r="B35" s="21" t="inlineStr">
        <is>
          <t>BRD-2 OPS</t>
        </is>
      </c>
      <c r="C35" s="12" t="inlineStr">
        <is>
          <t>Value in BRD-2 OPS Operations, with the page.</t>
        </is>
      </c>
      <c r="D35" s="12" t="inlineStr"/>
    </row>
    <row r="36">
      <c r="A36" s="14" t="inlineStr">
        <is>
          <t>NFR comparison</t>
        </is>
      </c>
      <c r="B36" s="22" t="inlineStr">
        <is>
          <t>BRD-3 PM</t>
        </is>
      </c>
      <c r="C36" s="14" t="inlineStr">
        <is>
          <t>Value in BRD-3 PM Product Maintenance, with the page.</t>
        </is>
      </c>
      <c r="D36" s="14" t="inlineStr"/>
    </row>
    <row r="37">
      <c r="A37" s="12" t="inlineStr">
        <is>
          <t>NFR comparison</t>
        </is>
      </c>
      <c r="B37" s="21" t="inlineStr">
        <is>
          <t>BRD-4 CLXN</t>
        </is>
      </c>
      <c r="C37" s="12" t="inlineStr">
        <is>
          <t>Value in BRD-4 CLXN Collections (CLXN), with the page.</t>
        </is>
      </c>
      <c r="D37" s="12" t="inlineStr"/>
    </row>
    <row r="38">
      <c r="A38" s="14" t="inlineStr">
        <is>
          <t>NFR comparison</t>
        </is>
      </c>
      <c r="B38" s="22" t="inlineStr">
        <is>
          <t>BRD-5 ACCT</t>
        </is>
      </c>
      <c r="C38" s="14" t="inlineStr">
        <is>
          <t>Value in BRD-5 ACCT Accounting, Disbursement and ACSL, with the page.</t>
        </is>
      </c>
      <c r="D38" s="14" t="inlineStr"/>
    </row>
    <row r="39">
      <c r="A39" s="12" t="inlineStr">
        <is>
          <t>NFR comparison</t>
        </is>
      </c>
      <c r="B39" s="21" t="inlineStr">
        <is>
          <t>BRD-6 RN</t>
        </is>
      </c>
      <c r="C39" s="12" t="inlineStr">
        <is>
          <t>Value in BRD-6 RN Renewal (RN), with the page.</t>
        </is>
      </c>
      <c r="D39" s="12" t="inlineStr"/>
    </row>
    <row r="40">
      <c r="A40" s="14" t="inlineStr">
        <is>
          <t>NFR comparison</t>
        </is>
      </c>
      <c r="B40" s="22" t="inlineStr">
        <is>
          <t>BRD-7 CLM</t>
        </is>
      </c>
      <c r="C40" s="14" t="inlineStr">
        <is>
          <t>Value in BRD-7 CLM Claims (CLM), with the page.</t>
        </is>
      </c>
      <c r="D40" s="14" t="inlineStr"/>
    </row>
    <row r="41">
      <c r="A41" s="12" t="inlineStr">
        <is>
          <t>NFR comparison</t>
        </is>
      </c>
      <c r="B41" s="21" t="inlineStr">
        <is>
          <t>BRD-8 EB</t>
        </is>
      </c>
      <c r="C41" s="12" t="inlineStr">
        <is>
          <t>Value in BRD-8 EB Employee Benefits (EB), with the page.</t>
        </is>
      </c>
      <c r="D41" s="12" t="inlineStr"/>
    </row>
    <row r="42">
      <c r="A42" s="14" t="inlineStr">
        <is>
          <t>NFR comparison</t>
        </is>
      </c>
      <c r="B42" s="22" t="inlineStr">
        <is>
          <t>BRD-9 CSF</t>
        </is>
      </c>
      <c r="C42" s="14" t="inlineStr">
        <is>
          <t>Value in BRD-9 CSF Customer Servicing Facility (CSF), with the page.</t>
        </is>
      </c>
      <c r="D42" s="14" t="inlineStr"/>
    </row>
    <row r="43">
      <c r="A43" s="12" t="inlineStr">
        <is>
          <t>NFR comparison</t>
        </is>
      </c>
      <c r="B43" s="21" t="inlineStr">
        <is>
          <t>BRD-10 SANC</t>
        </is>
      </c>
      <c r="C43" s="12" t="inlineStr">
        <is>
          <t>Value in BRD-10 SANC Sanction Screening and Risk Profiling, with the page.</t>
        </is>
      </c>
      <c r="D43" s="12" t="inlineStr"/>
    </row>
    <row r="44">
      <c r="A44" s="14" t="inlineStr">
        <is>
          <t>NFR comparison</t>
        </is>
      </c>
      <c r="B44" s="22" t="inlineStr">
        <is>
          <t>BRD-11 UAM</t>
        </is>
      </c>
      <c r="C44" s="14" t="inlineStr">
        <is>
          <t>Value in BRD-11 UAM User Access Maintenance (UAM), with the page.</t>
        </is>
      </c>
      <c r="D44" s="14" t="inlineStr"/>
    </row>
    <row r="45">
      <c r="A45" s="12" t="inlineStr">
        <is>
          <t>NFR comparison</t>
        </is>
      </c>
      <c r="B45" s="21" t="inlineStr">
        <is>
          <t>BRD-12 SP</t>
        </is>
      </c>
      <c r="C45" s="12" t="inlineStr">
        <is>
          <t>Value in BRD-12 SP Submitted Policies (SP), with the page.</t>
        </is>
      </c>
      <c r="D45" s="12" t="inlineStr"/>
    </row>
    <row r="46">
      <c r="A46" s="14" t="inlineStr">
        <is>
          <t>NFR comparison</t>
        </is>
      </c>
      <c r="B46" s="22" t="inlineStr">
        <is>
          <t>BRD-13 DM</t>
        </is>
      </c>
      <c r="C46" s="14" t="inlineStr">
        <is>
          <t>Value in BRD-13 DM Data Migration (draft v0.01), with the page.</t>
        </is>
      </c>
      <c r="D46" s="14" t="inlineStr"/>
    </row>
    <row r="47">
      <c r="A47" s="12" t="inlineStr">
        <is>
          <t>NFR comparison</t>
        </is>
      </c>
      <c r="B47" s="21" t="inlineStr">
        <is>
          <t>Aligned?</t>
        </is>
      </c>
      <c r="C47" s="12" t="inlineStr">
        <is>
          <t>CONFLICT when the BRDs give different values; ALIGNED when they agree or are silent.</t>
        </is>
      </c>
      <c r="D47" s="12" t="inlineStr"/>
    </row>
    <row r="48">
      <c r="A48" s="14" t="inlineStr">
        <is>
          <t>NFR comparison</t>
        </is>
      </c>
      <c r="B48" s="22" t="inlineStr">
        <is>
          <t>Proposed BIBS-wide value</t>
        </is>
      </c>
      <c r="C48" s="14" t="inlineStr">
        <is>
          <t>Value the project proposes for all modules, for BDOI decision.</t>
        </is>
      </c>
      <c r="D48" s="14" t="inlineStr"/>
    </row>
    <row r="49">
      <c r="A49" s="12" t="inlineStr">
        <is>
          <t>NFR comparison</t>
        </is>
      </c>
      <c r="B49" s="21" t="inlineStr">
        <is>
          <t>Register items</t>
        </is>
      </c>
      <c r="C49" s="12" t="inlineStr">
        <is>
          <t>Register items on the theme.</t>
        </is>
      </c>
      <c r="D49" s="12" t="inlineStr"/>
    </row>
    <row r="51">
      <c r="A51" s="9" t="inlineStr">
        <is>
          <t>Severity rule</t>
        </is>
      </c>
    </row>
    <row r="52" ht="40.5" customHeight="1">
      <c r="A52" s="21" t="inlineStr">
        <is>
          <t>High</t>
        </is>
      </c>
      <c r="B52" s="12" t="inlineStr">
        <is>
          <t>The item changes what is built or how data is structured, affects money (premium, commission, GL, remittance), regulatory compliance, security or access, or leaves a requirement without a testable result. Resolve before the FRS of the area is signed off.</t>
        </is>
      </c>
    </row>
    <row r="53" ht="27" customHeight="1">
      <c r="A53" s="21" t="inlineStr">
        <is>
          <t>Medium</t>
        </is>
      </c>
      <c r="B53" s="12" t="inlineStr">
        <is>
          <t>The item changes a rule, value, screen, report or test case, but a documented default can be built now and changed later by configuration or a small change.</t>
        </is>
      </c>
    </row>
    <row r="54" ht="27" customHeight="1">
      <c r="A54" s="21" t="inlineStr">
        <is>
          <t>Low</t>
        </is>
      </c>
      <c r="B54" s="12" t="inlineStr">
        <is>
          <t>Document quality only (typing, numbering, headings, working notes, names). No effect on the build; correct it in the next BRD revision.</t>
        </is>
      </c>
    </row>
    <row r="56">
      <c r="A56" s="9" t="inlineStr">
        <is>
          <t>Types</t>
        </is>
      </c>
    </row>
    <row r="57" ht="15" customHeight="1">
      <c r="A57" s="21" t="inlineStr">
        <is>
          <t>Contradiction within BRD</t>
        </is>
      </c>
      <c r="B57" s="12" t="inlineStr">
        <is>
          <t>Two statements in the same BRD pack cannot both be met.</t>
        </is>
      </c>
    </row>
    <row r="58" ht="15" customHeight="1">
      <c r="A58" s="21" t="inlineStr">
        <is>
          <t>Conflict between BRDs</t>
        </is>
      </c>
      <c r="B58" s="12" t="inlineStr">
        <is>
          <t>Two BRDs give different owners, values, roles or rules for the same thing.</t>
        </is>
      </c>
    </row>
    <row r="59" ht="15" customHeight="1">
      <c r="A59" s="21" t="inlineStr">
        <is>
          <t>Gap / missing detail</t>
        </is>
      </c>
      <c r="B59" s="12" t="inlineStr">
        <is>
          <t>A value, list, layout or rule needed to build or test is missing or marked TBD.</t>
        </is>
      </c>
    </row>
    <row r="60" ht="15" customHeight="1">
      <c r="A60" s="21" t="inlineStr">
        <is>
          <t>Ambiguity</t>
        </is>
      </c>
      <c r="B60" s="12" t="inlineStr">
        <is>
          <t>The text can be read in more than one way.</t>
        </is>
      </c>
    </row>
    <row r="61" ht="15" customHeight="1">
      <c r="A61" s="21" t="inlineStr">
        <is>
          <t>BRD vs platform</t>
        </is>
      </c>
      <c r="B61" s="12" t="inlineStr">
        <is>
          <t>The BRD differs from BIBS as built or designed, or assumes a legacy system (EBIX, QPS, ISYS) that BIBS replaces.</t>
        </is>
      </c>
    </row>
    <row r="62" ht="27" customHeight="1">
      <c r="A62" s="21" t="inlineStr">
        <is>
          <t>NFR inconsistency</t>
        </is>
      </c>
      <c r="B62" s="12" t="inlineStr">
        <is>
          <t>Non-functional values (hours, availability, RPO / RTO, backup, retention, response time, session, password) differ within or between BRDs.</t>
        </is>
      </c>
    </row>
    <row r="63" ht="15" customHeight="1">
      <c r="A63" s="21" t="inlineStr">
        <is>
          <t>Data / numbering issue</t>
        </is>
      </c>
      <c r="B63" s="12" t="inlineStr">
        <is>
          <t>Duplicate, missing or misnumbered requirement IDs, or data values that do not add up.</t>
        </is>
      </c>
    </row>
    <row r="64" ht="15" customHeight="1">
      <c r="A64" s="21" t="inlineStr">
        <is>
          <t>Document quality</t>
        </is>
      </c>
      <c r="B64" s="12" t="inlineStr">
        <is>
          <t>Headings, names, dates, working notes, approvals or confidential content in the pack.</t>
        </is>
      </c>
    </row>
    <row r="66">
      <c r="A66" s="9" t="inlineStr">
        <is>
          <t>Status</t>
        </is>
      </c>
    </row>
    <row r="67" ht="15" customHeight="1">
      <c r="A67" s="21" t="inlineStr">
        <is>
          <t>Open</t>
        </is>
      </c>
      <c r="B67" s="12" t="inlineStr">
        <is>
          <t>Waiting for a BDOI answer.</t>
        </is>
      </c>
    </row>
    <row r="68" ht="27" customHeight="1">
      <c r="A68" s="21" t="inlineStr">
        <is>
          <t>Answered</t>
        </is>
      </c>
      <c r="B68" s="12" t="inlineStr">
        <is>
          <t>A signed BDOI document answers the item (quoted in BDOI response). The project applies the answer; BDOI confirms to close.</t>
        </is>
      </c>
    </row>
    <row r="69" ht="15" customHeight="1">
      <c r="A69" s="21" t="inlineStr">
        <is>
          <t>Closed</t>
        </is>
      </c>
      <c r="B69" s="12" t="inlineStr">
        <is>
          <t>BDOI confirmed the resolution. Resolution date is filled in.</t>
        </is>
      </c>
    </row>
    <row r="71">
      <c r="A71" s="9" t="inlineStr">
        <is>
          <t>Sources</t>
        </is>
      </c>
    </row>
    <row r="72" ht="27" customHeight="1">
      <c r="A72" s="21" t="inlineStr">
        <is>
          <t>BRD-0 CORE</t>
        </is>
      </c>
      <c r="B72" s="12" t="inlineStr">
        <is>
          <t>BDOI Core Replacement (umbrella): docs/source-documents/00 - BRD BDOI Core Replacement v01.pdf; baseline docs/requirements/BDOI_CORE_BRD_SPEC.md</t>
        </is>
      </c>
    </row>
    <row r="73" ht="15" customHeight="1">
      <c r="A73" s="21" t="inlineStr">
        <is>
          <t>BRD-1 NB</t>
        </is>
      </c>
      <c r="B73" s="12" t="inlineStr">
        <is>
          <t>New Business (NB): docs/source-documents/New Business (NB) BRD.pdf; baseline docs/requirements/BDOI_NB_BRD_SPEC.md</t>
        </is>
      </c>
    </row>
    <row r="74" ht="15" customHeight="1">
      <c r="A74" s="21" t="inlineStr">
        <is>
          <t>BRD-2 OPS</t>
        </is>
      </c>
      <c r="B74" s="12" t="inlineStr">
        <is>
          <t>Operations: docs/source-documents/Operations.pdf; baseline docs/requirements/BDOI_OPS_BRD_SPEC.md</t>
        </is>
      </c>
    </row>
    <row r="75" ht="15" customHeight="1">
      <c r="A75" s="21" t="inlineStr">
        <is>
          <t>BRD-3 PM</t>
        </is>
      </c>
      <c r="B75" s="12" t="inlineStr">
        <is>
          <t>Product Maintenance: docs/source-documents/Product Maintenance.pdf; baseline docs/requirements/BDOI_PM_BRD_SPEC.md</t>
        </is>
      </c>
    </row>
    <row r="76" ht="15" customHeight="1">
      <c r="A76" s="21" t="inlineStr">
        <is>
          <t>BRD-4 CLXN</t>
        </is>
      </c>
      <c r="B76" s="12" t="inlineStr">
        <is>
          <t>Collections (CLXN): docs/source-documents/Collections (CLXN) BRD.pdf; baseline docs/requirements/BDOI_CLXN_BRD_SPEC.md</t>
        </is>
      </c>
    </row>
    <row r="77" ht="27" customHeight="1">
      <c r="A77" s="21" t="inlineStr">
        <is>
          <t>BRD-5 ACCT</t>
        </is>
      </c>
      <c r="B77" s="12" t="inlineStr">
        <is>
          <t>Accounting, Disbursement and ACSL: docs/source-documents/Accounting, Disbursement, and Accounting Controls and Subsidiary Ledger BRD.zip; baseline docs/requirements/BDOI_ACCT_BRD_SPEC.md</t>
        </is>
      </c>
    </row>
    <row r="78" ht="15" customHeight="1">
      <c r="A78" s="21" t="inlineStr">
        <is>
          <t>BRD-6 RN</t>
        </is>
      </c>
      <c r="B78" s="12" t="inlineStr">
        <is>
          <t>Renewal (RN): docs/source-documents/Renewal (RN) BRD.pdf; baseline docs/requirements/BDOI_RN_BRD_SPEC.md</t>
        </is>
      </c>
    </row>
    <row r="79" ht="15" customHeight="1">
      <c r="A79" s="21" t="inlineStr">
        <is>
          <t>BRD-7 CLM</t>
        </is>
      </c>
      <c r="B79" s="12" t="inlineStr">
        <is>
          <t>Claims (CLM): docs/source-documents/Claims (CLM).PDF; baseline docs/requirements/BDOI_CLM_BRD_SPEC.md</t>
        </is>
      </c>
    </row>
    <row r="80" ht="15" customHeight="1">
      <c r="A80" s="21" t="inlineStr">
        <is>
          <t>BRD-8 EB</t>
        </is>
      </c>
      <c r="B80" s="12" t="inlineStr">
        <is>
          <t>Employee Benefits (EB): docs/source-documents/Employee Benefits.pdf; baseline docs/requirements/BDOI_EB_BRD_SPEC.md</t>
        </is>
      </c>
    </row>
    <row r="81" ht="27" customHeight="1">
      <c r="A81" s="21" t="inlineStr">
        <is>
          <t>BRD-9 CSF</t>
        </is>
      </c>
      <c r="B81" s="12" t="inlineStr">
        <is>
          <t>Customer Servicing Facility (CSF): docs/source-documents/Customer Servicing Facility.PDF; baseline docs/requirements/BDOI_CSF_BRD_SPEC.md</t>
        </is>
      </c>
    </row>
    <row r="82" ht="27" customHeight="1">
      <c r="A82" s="21" t="inlineStr">
        <is>
          <t>BRD-10 SANC</t>
        </is>
      </c>
      <c r="B82" s="12" t="inlineStr">
        <is>
          <t>Sanction Screening and Risk Profiling: docs/source-documents/Sanction Screening and Risk Profiling BRD.pdf; baseline docs/requirements/BDOI_SANC_BRD_SPEC.md</t>
        </is>
      </c>
    </row>
    <row r="83" ht="27" customHeight="1">
      <c r="A83" s="21" t="inlineStr">
        <is>
          <t>BRD-11 UAM</t>
        </is>
      </c>
      <c r="B83" s="12" t="inlineStr">
        <is>
          <t>User Access Maintenance (UAM): docs/source-documents/User Access Maintenance.pdf; baseline docs/requirements/BDOI_UAM_BRD_SPEC.md</t>
        </is>
      </c>
    </row>
    <row r="84" ht="27" customHeight="1">
      <c r="A84" s="21" t="inlineStr">
        <is>
          <t>BRD-12 SP</t>
        </is>
      </c>
      <c r="B84" s="12" t="inlineStr">
        <is>
          <t>Submitted Policies (SP): docs/source-documents/BRD - Submitted Policies (with e-sig MCM 4.24.2026).pdf; baseline docs/requirements/BDOI_SP_BRD_SPEC.md</t>
        </is>
      </c>
    </row>
    <row r="85" ht="27" customHeight="1">
      <c r="A85" s="21" t="inlineStr">
        <is>
          <t>BRD-13 DM</t>
        </is>
      </c>
      <c r="B85" s="12" t="inlineStr">
        <is>
          <t>Data Migration (draft v0.01): docs/source-documents/BRD - Data Migration - draft V0.01.pdf; baseline docs/requirements/BDOI_DM_BRD_SPEC.md</t>
        </is>
      </c>
    </row>
    <row r="86" ht="27" customHeight="1">
      <c r="A86" s="21" t="inlineStr">
        <is>
          <t>Report List</t>
        </is>
      </c>
      <c r="B86" s="12" t="inlineStr">
        <is>
          <t>Report List as of 27-Apr-2026: docs/source-documents/Report List as of APR-27-2026.pdf; baseline docs/requirements/BDOI_REPORT_LIST.md</t>
        </is>
      </c>
    </row>
    <row r="87" ht="15" customHeight="1">
      <c r="A87" s="21" t="inlineStr">
        <is>
          <t>Cross-BRD</t>
        </is>
      </c>
      <c r="B87" s="12" t="inlineStr">
        <is>
          <t>docs/requirements/BDOI_CROSS_BRD_DECISIONS.md (decisions D1-D8, questions XQ01-XQ13)</t>
        </is>
      </c>
    </row>
    <row r="88" ht="27" customHeight="1">
      <c r="A88" s="21" t="inlineStr">
        <is>
          <t>Programme</t>
        </is>
      </c>
      <c r="B88" s="12" t="inlineStr">
        <is>
          <t>docs/architecture/PROGRAMME_ALIGNMENT.md (BDOI drop plan, timeline, IER workbook v20, integrations; questions IQ01-IQ35) and docs/architecture/DOCUMENT_STORAGE_DECISION.md (questions DSQ01-DSQ04)</t>
        </is>
      </c>
    </row>
    <row r="89" ht="40.5" customHeight="1">
      <c r="A89" s="21" t="inlineStr">
        <is>
          <t>Drop</t>
        </is>
      </c>
      <c r="B89" s="12" t="inlineStr">
        <is>
          <t>Drop in which the item is resolved: the item's own value, else the earliest primary drop of the BRDs involved (Drop 0 BRD-3, 11, 13; Drop 1 BRD-1, 2, 4, 5, 6, 9, 10, 12; Drop 2 BRD-7, 8; umbrella BRD and Report List alone: Programme). Items about Production Reconciliation or Marketing Collection go to Drop 2; items outside the January 2028 scope to Phase 2.</t>
        </is>
      </c>
    </row>
    <row r="90" ht="15" customHeight="1">
      <c r="A90" s="21" t="inlineStr">
        <is>
          <t>Numbering</t>
        </is>
      </c>
      <c r="B90" s="12" t="inlineStr">
        <is>
          <t>DCR numbers are never reused. DCR-236 to DCR-239 are not used.</t>
        </is>
      </c>
    </row>
    <row r="91" ht="40.5" customHeight="1">
      <c r="A91" s="21" t="inlineStr">
        <is>
          <t>Method</t>
        </is>
      </c>
      <c r="B91" s="12" t="inlineStr">
        <is>
          <t>Each item was checked against the source page (text layer, or the rendered page for scanned pages) and cites it. Items come from the observations, NFR and open-question sections of the specs, the cross-BRD decisions, the Report List, and a comparison with BIBS as built or designed.</t>
        </is>
      </c>
    </row>
    <row r="92" ht="27" customHeight="1">
      <c r="A92" s="21" t="inlineStr">
        <is>
          <t>Refresh</t>
        </is>
      </c>
      <c r="B92" s="12" t="inlineStr">
        <is>
          <t>Edit docs/deliverables/src/registers/discrepancy_register.yaml and run python docs/deliverables/src/registers/build_discrepancy_register.py. Open questions are re-read from the specs at every build.</t>
        </is>
      </c>
    </row>
  </sheetData>
  <autoFilter ref="A4:D49"/>
  <mergeCells count="35">
    <mergeCell ref="B60:D60"/>
    <mergeCell ref="B67:D67"/>
    <mergeCell ref="B61:D61"/>
    <mergeCell ref="B57:D57"/>
    <mergeCell ref="B73:D73"/>
    <mergeCell ref="B88:D88"/>
    <mergeCell ref="B53:D53"/>
    <mergeCell ref="B82:D82"/>
    <mergeCell ref="B78:D78"/>
    <mergeCell ref="B69:D69"/>
    <mergeCell ref="B87:D87"/>
    <mergeCell ref="B84:D84"/>
    <mergeCell ref="B74:D74"/>
    <mergeCell ref="B92:D92"/>
    <mergeCell ref="B68:D68"/>
    <mergeCell ref="B83:D83"/>
    <mergeCell ref="B64:D64"/>
    <mergeCell ref="B89:D89"/>
    <mergeCell ref="B80:D80"/>
    <mergeCell ref="B76:D76"/>
    <mergeCell ref="B63:D63"/>
    <mergeCell ref="B79:D79"/>
    <mergeCell ref="B85:D85"/>
    <mergeCell ref="B62:D62"/>
    <mergeCell ref="B75:D75"/>
    <mergeCell ref="B91:D91"/>
    <mergeCell ref="B54:D54"/>
    <mergeCell ref="B81:D81"/>
    <mergeCell ref="B72:D72"/>
    <mergeCell ref="B90:D90"/>
    <mergeCell ref="B59:D59"/>
    <mergeCell ref="B58:D58"/>
    <mergeCell ref="B52:D52"/>
    <mergeCell ref="B77:D77"/>
    <mergeCell ref="B86:D86"/>
  </mergeCells>
  <printOptions horizontalCentered="1"/>
  <pageMargins left="0.4" right="0.4" top="0.6" bottom="0.6" header="0.5" footer="0.5"/>
  <pageSetup orientation="landscape" paperSize="1"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1:H80"/>
  <sheetViews>
    <sheetView showGridLines="0" workbookViewId="0">
      <selection activeCell="A1" sqref="A1"/>
    </sheetView>
  </sheetViews>
  <sheetFormatPr baseColWidth="8" defaultRowHeight="15"/>
  <cols>
    <col width="4" customWidth="1" min="1" max="1"/>
    <col width="34" customWidth="1" min="2" max="2"/>
    <col width="12" customWidth="1" min="3" max="3"/>
    <col width="12" customWidth="1" min="4" max="4"/>
    <col width="12" customWidth="1" min="5" max="5"/>
    <col width="12" customWidth="1" min="6" max="6"/>
    <col width="12" customWidth="1" min="7" max="7"/>
    <col width="40" customWidth="1" min="8" max="8"/>
  </cols>
  <sheetData>
    <row r="1">
      <c r="B1" s="20" t="inlineStr">
        <is>
          <t>Summary</t>
        </is>
      </c>
    </row>
    <row r="2">
      <c r="B2" s="19" t="inlineStr">
        <is>
          <t>BRD Discrepancy and Clarification Register, version 1.2, 26 September 2026. 239 register items; 453 open questions from the BRD specs, the programme alignment, the document storage decision and the cross-BRD decisions.</t>
        </is>
      </c>
    </row>
    <row r="3">
      <c r="B3" s="23" t="n"/>
      <c r="C3" s="23" t="n"/>
      <c r="D3" s="23" t="n"/>
      <c r="E3" s="23" t="n"/>
      <c r="F3" s="23" t="n"/>
      <c r="G3" s="23" t="n"/>
      <c r="H3" s="23" t="n"/>
    </row>
    <row r="5">
      <c r="B5" s="9" t="inlineStr">
        <is>
          <t>Items by severity and status</t>
        </is>
      </c>
    </row>
    <row r="6">
      <c r="B6" s="19" t="inlineStr">
        <is>
          <t>Status pivot. Counts follow the Status column of the Register.</t>
        </is>
      </c>
    </row>
    <row r="7">
      <c r="B7" s="24" t="inlineStr">
        <is>
          <t>Severity</t>
        </is>
      </c>
      <c r="C7" s="25" t="inlineStr">
        <is>
          <t>Open</t>
        </is>
      </c>
      <c r="D7" s="25" t="inlineStr">
        <is>
          <t>Answered</t>
        </is>
      </c>
      <c r="E7" s="25" t="inlineStr">
        <is>
          <t>Closed</t>
        </is>
      </c>
      <c r="F7" s="25" t="inlineStr">
        <is>
          <t>Total</t>
        </is>
      </c>
    </row>
    <row r="8">
      <c r="B8" s="26" t="inlineStr">
        <is>
          <t>High</t>
        </is>
      </c>
      <c r="C8" s="27">
        <f>COUNTIFS('Register'!$H$5:$H$743,"High",'Register'!$N$5:$N$743,"Open")</f>
        <v/>
      </c>
      <c r="D8" s="27">
        <f>COUNTIFS('Register'!$H$5:$H$743,"High",'Register'!$N$5:$N$743,"Answered")</f>
        <v/>
      </c>
      <c r="E8" s="27">
        <f>COUNTIFS('Register'!$H$5:$H$743,"High",'Register'!$N$5:$N$743,"Closed")</f>
        <v/>
      </c>
      <c r="F8" s="27">
        <f>SUM(C8:E8)</f>
        <v/>
      </c>
    </row>
    <row r="9">
      <c r="B9" s="28" t="inlineStr">
        <is>
          <t>Medium</t>
        </is>
      </c>
      <c r="C9" s="29">
        <f>COUNTIFS('Register'!$H$5:$H$743,"Medium",'Register'!$N$5:$N$743,"Open")</f>
        <v/>
      </c>
      <c r="D9" s="29">
        <f>COUNTIFS('Register'!$H$5:$H$743,"Medium",'Register'!$N$5:$N$743,"Answered")</f>
        <v/>
      </c>
      <c r="E9" s="29">
        <f>COUNTIFS('Register'!$H$5:$H$743,"Medium",'Register'!$N$5:$N$743,"Closed")</f>
        <v/>
      </c>
      <c r="F9" s="29">
        <f>SUM(C9:E9)</f>
        <v/>
      </c>
    </row>
    <row r="10">
      <c r="B10" s="30" t="inlineStr">
        <is>
          <t>Low</t>
        </is>
      </c>
      <c r="C10" s="27">
        <f>COUNTIFS('Register'!$H$5:$H$743,"Low",'Register'!$N$5:$N$743,"Open")</f>
        <v/>
      </c>
      <c r="D10" s="27">
        <f>COUNTIFS('Register'!$H$5:$H$743,"Low",'Register'!$N$5:$N$743,"Answered")</f>
        <v/>
      </c>
      <c r="E10" s="27">
        <f>COUNTIFS('Register'!$H$5:$H$743,"Low",'Register'!$N$5:$N$743,"Closed")</f>
        <v/>
      </c>
      <c r="F10" s="27">
        <f>SUM(C10:E10)</f>
        <v/>
      </c>
    </row>
    <row r="11">
      <c r="B11" s="31" t="inlineStr">
        <is>
          <t>Total</t>
        </is>
      </c>
      <c r="C11" s="32">
        <f>SUM(C8:C10)</f>
        <v/>
      </c>
      <c r="D11" s="32">
        <f>SUM(D8:D10)</f>
        <v/>
      </c>
      <c r="E11" s="32">
        <f>SUM(E8:E10)</f>
        <v/>
      </c>
      <c r="F11" s="32">
        <f>SUM(F8:F10)</f>
        <v/>
      </c>
    </row>
    <row r="13">
      <c r="B13" s="9" t="inlineStr">
        <is>
          <t>Items by BRD</t>
        </is>
      </c>
    </row>
    <row r="14">
      <c r="B14" s="19" t="inlineStr">
        <is>
          <t>An item that involves several BRDs is counted once for each BRD involved.</t>
        </is>
      </c>
    </row>
    <row r="15">
      <c r="B15" s="24" t="inlineStr">
        <is>
          <t>BRD</t>
        </is>
      </c>
      <c r="C15" s="25" t="inlineStr">
        <is>
          <t>High</t>
        </is>
      </c>
      <c r="D15" s="25" t="inlineStr">
        <is>
          <t>Medium</t>
        </is>
      </c>
      <c r="E15" s="25" t="inlineStr">
        <is>
          <t>Low</t>
        </is>
      </c>
      <c r="F15" s="25" t="inlineStr">
        <is>
          <t>Total</t>
        </is>
      </c>
      <c r="G15" s="25" t="inlineStr">
        <is>
          <t>Open</t>
        </is>
      </c>
    </row>
    <row r="16">
      <c r="B16" s="31" t="inlineStr">
        <is>
          <t>BRD-0 CORE - BDOI Core Replacement (umbrella)</t>
        </is>
      </c>
      <c r="C16" s="27">
        <f>COUNTIFS('Register'!$B$5:$B$743,"*BRD-0 CORE*",'Register'!$H$5:$H$743,"High")</f>
        <v/>
      </c>
      <c r="D16" s="27">
        <f>COUNTIFS('Register'!$B$5:$B$743,"*BRD-0 CORE*",'Register'!$H$5:$H$743,"Medium")</f>
        <v/>
      </c>
      <c r="E16" s="27">
        <f>COUNTIFS('Register'!$B$5:$B$743,"*BRD-0 CORE*",'Register'!$H$5:$H$743,"Low")</f>
        <v/>
      </c>
      <c r="F16" s="27">
        <f>SUM(C16:E16)</f>
        <v/>
      </c>
      <c r="G16" s="27">
        <f>COUNTIFS('Register'!$B$5:$B$743,"*BRD-0 CORE*",'Register'!$N$5:$N$743,"Open")</f>
        <v/>
      </c>
    </row>
    <row r="17">
      <c r="B17" s="33" t="inlineStr">
        <is>
          <t>BRD-1 NB - New Business (NB)</t>
        </is>
      </c>
      <c r="C17" s="29">
        <f>COUNTIFS('Register'!$B$5:$B$743,"*BRD-1 NB*",'Register'!$H$5:$H$743,"High")</f>
        <v/>
      </c>
      <c r="D17" s="29">
        <f>COUNTIFS('Register'!$B$5:$B$743,"*BRD-1 NB*",'Register'!$H$5:$H$743,"Medium")</f>
        <v/>
      </c>
      <c r="E17" s="29">
        <f>COUNTIFS('Register'!$B$5:$B$743,"*BRD-1 NB*",'Register'!$H$5:$H$743,"Low")</f>
        <v/>
      </c>
      <c r="F17" s="29">
        <f>SUM(C17:E17)</f>
        <v/>
      </c>
      <c r="G17" s="29">
        <f>COUNTIFS('Register'!$B$5:$B$743,"*BRD-1 NB*",'Register'!$N$5:$N$743,"Open")</f>
        <v/>
      </c>
    </row>
    <row r="18">
      <c r="B18" s="31" t="inlineStr">
        <is>
          <t>BRD-2 OPS - Operations</t>
        </is>
      </c>
      <c r="C18" s="27">
        <f>COUNTIFS('Register'!$B$5:$B$743,"*BRD-2 OPS*",'Register'!$H$5:$H$743,"High")</f>
        <v/>
      </c>
      <c r="D18" s="27">
        <f>COUNTIFS('Register'!$B$5:$B$743,"*BRD-2 OPS*",'Register'!$H$5:$H$743,"Medium")</f>
        <v/>
      </c>
      <c r="E18" s="27">
        <f>COUNTIFS('Register'!$B$5:$B$743,"*BRD-2 OPS*",'Register'!$H$5:$H$743,"Low")</f>
        <v/>
      </c>
      <c r="F18" s="27">
        <f>SUM(C18:E18)</f>
        <v/>
      </c>
      <c r="G18" s="27">
        <f>COUNTIFS('Register'!$B$5:$B$743,"*BRD-2 OPS*",'Register'!$N$5:$N$743,"Open")</f>
        <v/>
      </c>
    </row>
    <row r="19">
      <c r="B19" s="33" t="inlineStr">
        <is>
          <t>BRD-3 PM - Product Maintenance</t>
        </is>
      </c>
      <c r="C19" s="29">
        <f>COUNTIFS('Register'!$B$5:$B$743,"*BRD-3 PM*",'Register'!$H$5:$H$743,"High")</f>
        <v/>
      </c>
      <c r="D19" s="29">
        <f>COUNTIFS('Register'!$B$5:$B$743,"*BRD-3 PM*",'Register'!$H$5:$H$743,"Medium")</f>
        <v/>
      </c>
      <c r="E19" s="29">
        <f>COUNTIFS('Register'!$B$5:$B$743,"*BRD-3 PM*",'Register'!$H$5:$H$743,"Low")</f>
        <v/>
      </c>
      <c r="F19" s="29">
        <f>SUM(C19:E19)</f>
        <v/>
      </c>
      <c r="G19" s="29">
        <f>COUNTIFS('Register'!$B$5:$B$743,"*BRD-3 PM*",'Register'!$N$5:$N$743,"Open")</f>
        <v/>
      </c>
    </row>
    <row r="20">
      <c r="B20" s="31" t="inlineStr">
        <is>
          <t>BRD-4 CLXN - Collections (CLXN)</t>
        </is>
      </c>
      <c r="C20" s="27">
        <f>COUNTIFS('Register'!$B$5:$B$743,"*BRD-4 CLXN*",'Register'!$H$5:$H$743,"High")</f>
        <v/>
      </c>
      <c r="D20" s="27">
        <f>COUNTIFS('Register'!$B$5:$B$743,"*BRD-4 CLXN*",'Register'!$H$5:$H$743,"Medium")</f>
        <v/>
      </c>
      <c r="E20" s="27">
        <f>COUNTIFS('Register'!$B$5:$B$743,"*BRD-4 CLXN*",'Register'!$H$5:$H$743,"Low")</f>
        <v/>
      </c>
      <c r="F20" s="27">
        <f>SUM(C20:E20)</f>
        <v/>
      </c>
      <c r="G20" s="27">
        <f>COUNTIFS('Register'!$B$5:$B$743,"*BRD-4 CLXN*",'Register'!$N$5:$N$743,"Open")</f>
        <v/>
      </c>
    </row>
    <row r="21">
      <c r="B21" s="33" t="inlineStr">
        <is>
          <t>BRD-5 ACCT - Accounting, Disbursement and ACSL</t>
        </is>
      </c>
      <c r="C21" s="29">
        <f>COUNTIFS('Register'!$B$5:$B$743,"*BRD-5 ACCT*",'Register'!$H$5:$H$743,"High")</f>
        <v/>
      </c>
      <c r="D21" s="29">
        <f>COUNTIFS('Register'!$B$5:$B$743,"*BRD-5 ACCT*",'Register'!$H$5:$H$743,"Medium")</f>
        <v/>
      </c>
      <c r="E21" s="29">
        <f>COUNTIFS('Register'!$B$5:$B$743,"*BRD-5 ACCT*",'Register'!$H$5:$H$743,"Low")</f>
        <v/>
      </c>
      <c r="F21" s="29">
        <f>SUM(C21:E21)</f>
        <v/>
      </c>
      <c r="G21" s="29">
        <f>COUNTIFS('Register'!$B$5:$B$743,"*BRD-5 ACCT*",'Register'!$N$5:$N$743,"Open")</f>
        <v/>
      </c>
    </row>
    <row r="22">
      <c r="B22" s="31" t="inlineStr">
        <is>
          <t>BRD-6 RN - Renewal (RN)</t>
        </is>
      </c>
      <c r="C22" s="27">
        <f>COUNTIFS('Register'!$B$5:$B$743,"*BRD-6 RN*",'Register'!$H$5:$H$743,"High")</f>
        <v/>
      </c>
      <c r="D22" s="27">
        <f>COUNTIFS('Register'!$B$5:$B$743,"*BRD-6 RN*",'Register'!$H$5:$H$743,"Medium")</f>
        <v/>
      </c>
      <c r="E22" s="27">
        <f>COUNTIFS('Register'!$B$5:$B$743,"*BRD-6 RN*",'Register'!$H$5:$H$743,"Low")</f>
        <v/>
      </c>
      <c r="F22" s="27">
        <f>SUM(C22:E22)</f>
        <v/>
      </c>
      <c r="G22" s="27">
        <f>COUNTIFS('Register'!$B$5:$B$743,"*BRD-6 RN*",'Register'!$N$5:$N$743,"Open")</f>
        <v/>
      </c>
    </row>
    <row r="23">
      <c r="B23" s="33" t="inlineStr">
        <is>
          <t>BRD-7 CLM - Claims (CLM)</t>
        </is>
      </c>
      <c r="C23" s="29">
        <f>COUNTIFS('Register'!$B$5:$B$743,"*BRD-7 CLM*",'Register'!$H$5:$H$743,"High")</f>
        <v/>
      </c>
      <c r="D23" s="29">
        <f>COUNTIFS('Register'!$B$5:$B$743,"*BRD-7 CLM*",'Register'!$H$5:$H$743,"Medium")</f>
        <v/>
      </c>
      <c r="E23" s="29">
        <f>COUNTIFS('Register'!$B$5:$B$743,"*BRD-7 CLM*",'Register'!$H$5:$H$743,"Low")</f>
        <v/>
      </c>
      <c r="F23" s="29">
        <f>SUM(C23:E23)</f>
        <v/>
      </c>
      <c r="G23" s="29">
        <f>COUNTIFS('Register'!$B$5:$B$743,"*BRD-7 CLM*",'Register'!$N$5:$N$743,"Open")</f>
        <v/>
      </c>
    </row>
    <row r="24">
      <c r="B24" s="31" t="inlineStr">
        <is>
          <t>BRD-8 EB - Employee Benefits (EB)</t>
        </is>
      </c>
      <c r="C24" s="27">
        <f>COUNTIFS('Register'!$B$5:$B$743,"*BRD-8 EB*",'Register'!$H$5:$H$743,"High")</f>
        <v/>
      </c>
      <c r="D24" s="27">
        <f>COUNTIFS('Register'!$B$5:$B$743,"*BRD-8 EB*",'Register'!$H$5:$H$743,"Medium")</f>
        <v/>
      </c>
      <c r="E24" s="27">
        <f>COUNTIFS('Register'!$B$5:$B$743,"*BRD-8 EB*",'Register'!$H$5:$H$743,"Low")</f>
        <v/>
      </c>
      <c r="F24" s="27">
        <f>SUM(C24:E24)</f>
        <v/>
      </c>
      <c r="G24" s="27">
        <f>COUNTIFS('Register'!$B$5:$B$743,"*BRD-8 EB*",'Register'!$N$5:$N$743,"Open")</f>
        <v/>
      </c>
    </row>
    <row r="25">
      <c r="B25" s="33" t="inlineStr">
        <is>
          <t>BRD-9 CSF - Customer Servicing Facility (CSF)</t>
        </is>
      </c>
      <c r="C25" s="29">
        <f>COUNTIFS('Register'!$B$5:$B$743,"*BRD-9 CSF*",'Register'!$H$5:$H$743,"High")</f>
        <v/>
      </c>
      <c r="D25" s="29">
        <f>COUNTIFS('Register'!$B$5:$B$743,"*BRD-9 CSF*",'Register'!$H$5:$H$743,"Medium")</f>
        <v/>
      </c>
      <c r="E25" s="29">
        <f>COUNTIFS('Register'!$B$5:$B$743,"*BRD-9 CSF*",'Register'!$H$5:$H$743,"Low")</f>
        <v/>
      </c>
      <c r="F25" s="29">
        <f>SUM(C25:E25)</f>
        <v/>
      </c>
      <c r="G25" s="29">
        <f>COUNTIFS('Register'!$B$5:$B$743,"*BRD-9 CSF*",'Register'!$N$5:$N$743,"Open")</f>
        <v/>
      </c>
    </row>
    <row r="26">
      <c r="B26" s="31" t="inlineStr">
        <is>
          <t>BRD-10 SANC - Sanction Screening and Risk Profiling</t>
        </is>
      </c>
      <c r="C26" s="27">
        <f>COUNTIFS('Register'!$B$5:$B$743,"*BRD-10 SANC*",'Register'!$H$5:$H$743,"High")</f>
        <v/>
      </c>
      <c r="D26" s="27">
        <f>COUNTIFS('Register'!$B$5:$B$743,"*BRD-10 SANC*",'Register'!$H$5:$H$743,"Medium")</f>
        <v/>
      </c>
      <c r="E26" s="27">
        <f>COUNTIFS('Register'!$B$5:$B$743,"*BRD-10 SANC*",'Register'!$H$5:$H$743,"Low")</f>
        <v/>
      </c>
      <c r="F26" s="27">
        <f>SUM(C26:E26)</f>
        <v/>
      </c>
      <c r="G26" s="27">
        <f>COUNTIFS('Register'!$B$5:$B$743,"*BRD-10 SANC*",'Register'!$N$5:$N$743,"Open")</f>
        <v/>
      </c>
    </row>
    <row r="27">
      <c r="B27" s="33" t="inlineStr">
        <is>
          <t>BRD-11 UAM - User Access Maintenance (UAM)</t>
        </is>
      </c>
      <c r="C27" s="29">
        <f>COUNTIFS('Register'!$B$5:$B$743,"*BRD-11 UAM*",'Register'!$H$5:$H$743,"High")</f>
        <v/>
      </c>
      <c r="D27" s="29">
        <f>COUNTIFS('Register'!$B$5:$B$743,"*BRD-11 UAM*",'Register'!$H$5:$H$743,"Medium")</f>
        <v/>
      </c>
      <c r="E27" s="29">
        <f>COUNTIFS('Register'!$B$5:$B$743,"*BRD-11 UAM*",'Register'!$H$5:$H$743,"Low")</f>
        <v/>
      </c>
      <c r="F27" s="29">
        <f>SUM(C27:E27)</f>
        <v/>
      </c>
      <c r="G27" s="29">
        <f>COUNTIFS('Register'!$B$5:$B$743,"*BRD-11 UAM*",'Register'!$N$5:$N$743,"Open")</f>
        <v/>
      </c>
    </row>
    <row r="28">
      <c r="B28" s="31" t="inlineStr">
        <is>
          <t>BRD-12 SP - Submitted Policies (SP)</t>
        </is>
      </c>
      <c r="C28" s="27">
        <f>COUNTIFS('Register'!$B$5:$B$743,"*BRD-12 SP*",'Register'!$H$5:$H$743,"High")</f>
        <v/>
      </c>
      <c r="D28" s="27">
        <f>COUNTIFS('Register'!$B$5:$B$743,"*BRD-12 SP*",'Register'!$H$5:$H$743,"Medium")</f>
        <v/>
      </c>
      <c r="E28" s="27">
        <f>COUNTIFS('Register'!$B$5:$B$743,"*BRD-12 SP*",'Register'!$H$5:$H$743,"Low")</f>
        <v/>
      </c>
      <c r="F28" s="27">
        <f>SUM(C28:E28)</f>
        <v/>
      </c>
      <c r="G28" s="27">
        <f>COUNTIFS('Register'!$B$5:$B$743,"*BRD-12 SP*",'Register'!$N$5:$N$743,"Open")</f>
        <v/>
      </c>
    </row>
    <row r="29">
      <c r="B29" s="33" t="inlineStr">
        <is>
          <t>BRD-13 DM - Data Migration (draft v0.01)</t>
        </is>
      </c>
      <c r="C29" s="29">
        <f>COUNTIFS('Register'!$B$5:$B$743,"*BRD-13 DM*",'Register'!$H$5:$H$743,"High")</f>
        <v/>
      </c>
      <c r="D29" s="29">
        <f>COUNTIFS('Register'!$B$5:$B$743,"*BRD-13 DM*",'Register'!$H$5:$H$743,"Medium")</f>
        <v/>
      </c>
      <c r="E29" s="29">
        <f>COUNTIFS('Register'!$B$5:$B$743,"*BRD-13 DM*",'Register'!$H$5:$H$743,"Low")</f>
        <v/>
      </c>
      <c r="F29" s="29">
        <f>SUM(C29:E29)</f>
        <v/>
      </c>
      <c r="G29" s="29">
        <f>COUNTIFS('Register'!$B$5:$B$743,"*BRD-13 DM*",'Register'!$N$5:$N$743,"Open")</f>
        <v/>
      </c>
    </row>
    <row r="30">
      <c r="B30" s="31" t="inlineStr">
        <is>
          <t>Report List as of 27-Apr-2026</t>
        </is>
      </c>
      <c r="C30" s="27">
        <f>COUNTIFS('Register'!$B$5:$B$743,"*Report List*",'Register'!$H$5:$H$743,"High")</f>
        <v/>
      </c>
      <c r="D30" s="27">
        <f>COUNTIFS('Register'!$B$5:$B$743,"*Report List*",'Register'!$H$5:$H$743,"Medium")</f>
        <v/>
      </c>
      <c r="E30" s="27">
        <f>COUNTIFS('Register'!$B$5:$B$743,"*Report List*",'Register'!$H$5:$H$743,"Low")</f>
        <v/>
      </c>
      <c r="F30" s="27">
        <f>SUM(C30:E30)</f>
        <v/>
      </c>
      <c r="G30" s="27">
        <f>COUNTIFS('Register'!$B$5:$B$743,"*Report List*",'Register'!$N$5:$N$743,"Open")</f>
        <v/>
      </c>
    </row>
    <row r="31">
      <c r="B31" s="31" t="inlineStr">
        <is>
          <t>Items involving two or more BRDs</t>
        </is>
      </c>
      <c r="C31" s="32">
        <f>COUNTIFS('Register'!$B$5:$B$743,"*;*",'Register'!$H$5:$H$743,"High")</f>
        <v/>
      </c>
      <c r="D31" s="32">
        <f>COUNTIFS('Register'!$B$5:$B$743,"*;*",'Register'!$H$5:$H$743,"Medium")</f>
        <v/>
      </c>
      <c r="E31" s="32">
        <f>COUNTIFS('Register'!$B$5:$B$743,"*;*",'Register'!$H$5:$H$743,"Low")</f>
        <v/>
      </c>
      <c r="F31" s="32">
        <f>SUM(C31:E31)</f>
        <v/>
      </c>
      <c r="G31" s="32">
        <f>COUNTIFS('Register'!$B$5:$B$743,"*;*",'Register'!$N$5:$N$743,"Open")</f>
        <v/>
      </c>
    </row>
    <row r="33">
      <c r="B33" s="9" t="inlineStr">
        <is>
          <t>Items by drop</t>
        </is>
      </c>
    </row>
    <row r="34">
      <c r="B34" s="19" t="inlineStr">
        <is>
          <t>Drop in which the item is resolved (column Drop of the Register).</t>
        </is>
      </c>
    </row>
    <row r="35">
      <c r="B35" s="24" t="inlineStr">
        <is>
          <t>Drop</t>
        </is>
      </c>
      <c r="C35" s="25" t="inlineStr">
        <is>
          <t>High</t>
        </is>
      </c>
      <c r="D35" s="25" t="inlineStr">
        <is>
          <t>Medium</t>
        </is>
      </c>
      <c r="E35" s="25" t="inlineStr">
        <is>
          <t>Low</t>
        </is>
      </c>
      <c r="F35" s="25" t="inlineStr">
        <is>
          <t>Total</t>
        </is>
      </c>
      <c r="G35" s="25" t="inlineStr">
        <is>
          <t>Open</t>
        </is>
      </c>
    </row>
    <row r="36">
      <c r="B36" s="31" t="inlineStr">
        <is>
          <t>Drop 0 - Setup and Data Migration</t>
        </is>
      </c>
      <c r="C36" s="27">
        <f>COUNTIFS('Register'!$C$5:$C$743,"Drop 0",'Register'!$H$5:$H$743,"High")</f>
        <v/>
      </c>
      <c r="D36" s="27">
        <f>COUNTIFS('Register'!$C$5:$C$743,"Drop 0",'Register'!$H$5:$H$743,"Medium")</f>
        <v/>
      </c>
      <c r="E36" s="27">
        <f>COUNTIFS('Register'!$C$5:$C$743,"Drop 0",'Register'!$H$5:$H$743,"Low")</f>
        <v/>
      </c>
      <c r="F36" s="27">
        <f>SUM(C36:E36)</f>
        <v/>
      </c>
      <c r="G36" s="27">
        <f>COUNTIFS('Register'!$C$5:$C$743,"Drop 0",'Register'!$N$5:$N$743,"Open")</f>
        <v/>
      </c>
    </row>
    <row r="37">
      <c r="B37" s="33" t="inlineStr">
        <is>
          <t>Drop 1 - Transactional (upstream and downstream)</t>
        </is>
      </c>
      <c r="C37" s="29">
        <f>COUNTIFS('Register'!$C$5:$C$743,"Drop 1",'Register'!$H$5:$H$743,"High")</f>
        <v/>
      </c>
      <c r="D37" s="29">
        <f>COUNTIFS('Register'!$C$5:$C$743,"Drop 1",'Register'!$H$5:$H$743,"Medium")</f>
        <v/>
      </c>
      <c r="E37" s="29">
        <f>COUNTIFS('Register'!$C$5:$C$743,"Drop 1",'Register'!$H$5:$H$743,"Low")</f>
        <v/>
      </c>
      <c r="F37" s="29">
        <f>SUM(C37:E37)</f>
        <v/>
      </c>
      <c r="G37" s="29">
        <f>COUNTIFS('Register'!$C$5:$C$743,"Drop 1",'Register'!$N$5:$N$743,"Open")</f>
        <v/>
      </c>
    </row>
    <row r="38">
      <c r="B38" s="31" t="inlineStr">
        <is>
          <t>Drop 2 - Independent</t>
        </is>
      </c>
      <c r="C38" s="27">
        <f>COUNTIFS('Register'!$C$5:$C$743,"Drop 2",'Register'!$H$5:$H$743,"High")</f>
        <v/>
      </c>
      <c r="D38" s="27">
        <f>COUNTIFS('Register'!$C$5:$C$743,"Drop 2",'Register'!$H$5:$H$743,"Medium")</f>
        <v/>
      </c>
      <c r="E38" s="27">
        <f>COUNTIFS('Register'!$C$5:$C$743,"Drop 2",'Register'!$H$5:$H$743,"Low")</f>
        <v/>
      </c>
      <c r="F38" s="27">
        <f>SUM(C38:E38)</f>
        <v/>
      </c>
      <c r="G38" s="27">
        <f>COUNTIFS('Register'!$C$5:$C$743,"Drop 2",'Register'!$N$5:$N$743,"Open")</f>
        <v/>
      </c>
    </row>
    <row r="39">
      <c r="B39" s="33" t="inlineStr">
        <is>
          <t>Programme (cross-drop)</t>
        </is>
      </c>
      <c r="C39" s="29">
        <f>COUNTIFS('Register'!$C$5:$C$743,"Programme",'Register'!$H$5:$H$743,"High")</f>
        <v/>
      </c>
      <c r="D39" s="29">
        <f>COUNTIFS('Register'!$C$5:$C$743,"Programme",'Register'!$H$5:$H$743,"Medium")</f>
        <v/>
      </c>
      <c r="E39" s="29">
        <f>COUNTIFS('Register'!$C$5:$C$743,"Programme",'Register'!$H$5:$H$743,"Low")</f>
        <v/>
      </c>
      <c r="F39" s="29">
        <f>SUM(C39:E39)</f>
        <v/>
      </c>
      <c r="G39" s="29">
        <f>COUNTIFS('Register'!$C$5:$C$743,"Programme",'Register'!$N$5:$N$743,"Open")</f>
        <v/>
      </c>
    </row>
    <row r="40">
      <c r="B40" s="31" t="inlineStr">
        <is>
          <t>Phase 2 (outside the January 2028 scope)</t>
        </is>
      </c>
      <c r="C40" s="27">
        <f>COUNTIFS('Register'!$C$5:$C$743,"Phase 2",'Register'!$H$5:$H$743,"High")</f>
        <v/>
      </c>
      <c r="D40" s="27">
        <f>COUNTIFS('Register'!$C$5:$C$743,"Phase 2",'Register'!$H$5:$H$743,"Medium")</f>
        <v/>
      </c>
      <c r="E40" s="27">
        <f>COUNTIFS('Register'!$C$5:$C$743,"Phase 2",'Register'!$H$5:$H$743,"Low")</f>
        <v/>
      </c>
      <c r="F40" s="27">
        <f>SUM(C40:E40)</f>
        <v/>
      </c>
      <c r="G40" s="27">
        <f>COUNTIFS('Register'!$C$5:$C$743,"Phase 2",'Register'!$N$5:$N$743,"Open")</f>
        <v/>
      </c>
    </row>
    <row r="42">
      <c r="B42" s="9" t="inlineStr">
        <is>
          <t>Items by type</t>
        </is>
      </c>
    </row>
    <row r="43">
      <c r="B43" s="24" t="inlineStr">
        <is>
          <t>Type</t>
        </is>
      </c>
      <c r="C43" s="25" t="inlineStr">
        <is>
          <t>High</t>
        </is>
      </c>
      <c r="D43" s="25" t="inlineStr">
        <is>
          <t>Medium</t>
        </is>
      </c>
      <c r="E43" s="25" t="inlineStr">
        <is>
          <t>Low</t>
        </is>
      </c>
      <c r="F43" s="25" t="inlineStr">
        <is>
          <t>Total</t>
        </is>
      </c>
      <c r="G43" s="25" t="inlineStr">
        <is>
          <t>Open</t>
        </is>
      </c>
    </row>
    <row r="44">
      <c r="B44" s="31" t="inlineStr">
        <is>
          <t>Contradiction within BRD</t>
        </is>
      </c>
      <c r="C44" s="27">
        <f>COUNTIFS('Register'!$E$5:$E$743,"Contradiction within BRD",'Register'!$H$5:$H$743,"High")</f>
        <v/>
      </c>
      <c r="D44" s="27">
        <f>COUNTIFS('Register'!$E$5:$E$743,"Contradiction within BRD",'Register'!$H$5:$H$743,"Medium")</f>
        <v/>
      </c>
      <c r="E44" s="27">
        <f>COUNTIFS('Register'!$E$5:$E$743,"Contradiction within BRD",'Register'!$H$5:$H$743,"Low")</f>
        <v/>
      </c>
      <c r="F44" s="27">
        <f>SUM(C44:E44)</f>
        <v/>
      </c>
      <c r="G44" s="27">
        <f>COUNTIFS('Register'!$E$5:$E$743,"Contradiction within BRD",'Register'!$N$5:$N$743,"Open")</f>
        <v/>
      </c>
    </row>
    <row r="45">
      <c r="B45" s="33" t="inlineStr">
        <is>
          <t>Conflict between BRDs</t>
        </is>
      </c>
      <c r="C45" s="29">
        <f>COUNTIFS('Register'!$E$5:$E$743,"Conflict between BRDs",'Register'!$H$5:$H$743,"High")</f>
        <v/>
      </c>
      <c r="D45" s="29">
        <f>COUNTIFS('Register'!$E$5:$E$743,"Conflict between BRDs",'Register'!$H$5:$H$743,"Medium")</f>
        <v/>
      </c>
      <c r="E45" s="29">
        <f>COUNTIFS('Register'!$E$5:$E$743,"Conflict between BRDs",'Register'!$H$5:$H$743,"Low")</f>
        <v/>
      </c>
      <c r="F45" s="29">
        <f>SUM(C45:E45)</f>
        <v/>
      </c>
      <c r="G45" s="29">
        <f>COUNTIFS('Register'!$E$5:$E$743,"Conflict between BRDs",'Register'!$N$5:$N$743,"Open")</f>
        <v/>
      </c>
    </row>
    <row r="46">
      <c r="B46" s="31" t="inlineStr">
        <is>
          <t>Gap / missing detail</t>
        </is>
      </c>
      <c r="C46" s="27">
        <f>COUNTIFS('Register'!$E$5:$E$743,"Gap / missing detail",'Register'!$H$5:$H$743,"High")</f>
        <v/>
      </c>
      <c r="D46" s="27">
        <f>COUNTIFS('Register'!$E$5:$E$743,"Gap / missing detail",'Register'!$H$5:$H$743,"Medium")</f>
        <v/>
      </c>
      <c r="E46" s="27">
        <f>COUNTIFS('Register'!$E$5:$E$743,"Gap / missing detail",'Register'!$H$5:$H$743,"Low")</f>
        <v/>
      </c>
      <c r="F46" s="27">
        <f>SUM(C46:E46)</f>
        <v/>
      </c>
      <c r="G46" s="27">
        <f>COUNTIFS('Register'!$E$5:$E$743,"Gap / missing detail",'Register'!$N$5:$N$743,"Open")</f>
        <v/>
      </c>
    </row>
    <row r="47">
      <c r="B47" s="33" t="inlineStr">
        <is>
          <t>Ambiguity</t>
        </is>
      </c>
      <c r="C47" s="29">
        <f>COUNTIFS('Register'!$E$5:$E$743,"Ambiguity",'Register'!$H$5:$H$743,"High")</f>
        <v/>
      </c>
      <c r="D47" s="29">
        <f>COUNTIFS('Register'!$E$5:$E$743,"Ambiguity",'Register'!$H$5:$H$743,"Medium")</f>
        <v/>
      </c>
      <c r="E47" s="29">
        <f>COUNTIFS('Register'!$E$5:$E$743,"Ambiguity",'Register'!$H$5:$H$743,"Low")</f>
        <v/>
      </c>
      <c r="F47" s="29">
        <f>SUM(C47:E47)</f>
        <v/>
      </c>
      <c r="G47" s="29">
        <f>COUNTIFS('Register'!$E$5:$E$743,"Ambiguity",'Register'!$N$5:$N$743,"Open")</f>
        <v/>
      </c>
    </row>
    <row r="48">
      <c r="B48" s="31" t="inlineStr">
        <is>
          <t>BRD vs platform</t>
        </is>
      </c>
      <c r="C48" s="27">
        <f>COUNTIFS('Register'!$E$5:$E$743,"BRD vs platform",'Register'!$H$5:$H$743,"High")</f>
        <v/>
      </c>
      <c r="D48" s="27">
        <f>COUNTIFS('Register'!$E$5:$E$743,"BRD vs platform",'Register'!$H$5:$H$743,"Medium")</f>
        <v/>
      </c>
      <c r="E48" s="27">
        <f>COUNTIFS('Register'!$E$5:$E$743,"BRD vs platform",'Register'!$H$5:$H$743,"Low")</f>
        <v/>
      </c>
      <c r="F48" s="27">
        <f>SUM(C48:E48)</f>
        <v/>
      </c>
      <c r="G48" s="27">
        <f>COUNTIFS('Register'!$E$5:$E$743,"BRD vs platform",'Register'!$N$5:$N$743,"Open")</f>
        <v/>
      </c>
    </row>
    <row r="49">
      <c r="B49" s="33" t="inlineStr">
        <is>
          <t>NFR inconsistency</t>
        </is>
      </c>
      <c r="C49" s="29">
        <f>COUNTIFS('Register'!$E$5:$E$743,"NFR inconsistency",'Register'!$H$5:$H$743,"High")</f>
        <v/>
      </c>
      <c r="D49" s="29">
        <f>COUNTIFS('Register'!$E$5:$E$743,"NFR inconsistency",'Register'!$H$5:$H$743,"Medium")</f>
        <v/>
      </c>
      <c r="E49" s="29">
        <f>COUNTIFS('Register'!$E$5:$E$743,"NFR inconsistency",'Register'!$H$5:$H$743,"Low")</f>
        <v/>
      </c>
      <c r="F49" s="29">
        <f>SUM(C49:E49)</f>
        <v/>
      </c>
      <c r="G49" s="29">
        <f>COUNTIFS('Register'!$E$5:$E$743,"NFR inconsistency",'Register'!$N$5:$N$743,"Open")</f>
        <v/>
      </c>
    </row>
    <row r="50">
      <c r="B50" s="31" t="inlineStr">
        <is>
          <t>Data / numbering issue</t>
        </is>
      </c>
      <c r="C50" s="27">
        <f>COUNTIFS('Register'!$E$5:$E$743,"Data / numbering issue",'Register'!$H$5:$H$743,"High")</f>
        <v/>
      </c>
      <c r="D50" s="27">
        <f>COUNTIFS('Register'!$E$5:$E$743,"Data / numbering issue",'Register'!$H$5:$H$743,"Medium")</f>
        <v/>
      </c>
      <c r="E50" s="27">
        <f>COUNTIFS('Register'!$E$5:$E$743,"Data / numbering issue",'Register'!$H$5:$H$743,"Low")</f>
        <v/>
      </c>
      <c r="F50" s="27">
        <f>SUM(C50:E50)</f>
        <v/>
      </c>
      <c r="G50" s="27">
        <f>COUNTIFS('Register'!$E$5:$E$743,"Data / numbering issue",'Register'!$N$5:$N$743,"Open")</f>
        <v/>
      </c>
    </row>
    <row r="51">
      <c r="B51" s="33" t="inlineStr">
        <is>
          <t>Document quality</t>
        </is>
      </c>
      <c r="C51" s="29">
        <f>COUNTIFS('Register'!$E$5:$E$743,"Document quality",'Register'!$H$5:$H$743,"High")</f>
        <v/>
      </c>
      <c r="D51" s="29">
        <f>COUNTIFS('Register'!$E$5:$E$743,"Document quality",'Register'!$H$5:$H$743,"Medium")</f>
        <v/>
      </c>
      <c r="E51" s="29">
        <f>COUNTIFS('Register'!$E$5:$E$743,"Document quality",'Register'!$H$5:$H$743,"Low")</f>
        <v/>
      </c>
      <c r="F51" s="29">
        <f>SUM(C51:E51)</f>
        <v/>
      </c>
      <c r="G51" s="29">
        <f>COUNTIFS('Register'!$E$5:$E$743,"Document quality",'Register'!$N$5:$N$743,"Open")</f>
        <v/>
      </c>
    </row>
    <row r="52">
      <c r="B52" s="31" t="inlineStr">
        <is>
          <t>Total</t>
        </is>
      </c>
      <c r="C52" s="32">
        <f>SUM(C44:C51)</f>
        <v/>
      </c>
      <c r="D52" s="32">
        <f>SUM(D44:D51)</f>
        <v/>
      </c>
      <c r="E52" s="32">
        <f>SUM(E44:E51)</f>
        <v/>
      </c>
      <c r="F52" s="32">
        <f>SUM(F44:F51)</f>
        <v/>
      </c>
      <c r="G52" s="32">
        <f>SUM(G44:G51)</f>
        <v/>
      </c>
    </row>
    <row r="54">
      <c r="B54" s="9" t="inlineStr">
        <is>
          <t>Open questions</t>
        </is>
      </c>
    </row>
    <row r="55">
      <c r="B55" s="19" t="inlineStr">
        <is>
          <t>From the Open questions sheet (status as recorded in the data file).</t>
        </is>
      </c>
    </row>
    <row r="56">
      <c r="B56" s="24" t="inlineStr">
        <is>
          <t>Status</t>
        </is>
      </c>
      <c r="C56" s="25" t="inlineStr">
        <is>
          <t>Questions</t>
        </is>
      </c>
      <c r="D56" s="34" t="n"/>
      <c r="E56" s="34" t="n"/>
      <c r="F56" s="34" t="n"/>
      <c r="G56" s="35" t="n"/>
    </row>
    <row r="57">
      <c r="B57" s="31" t="inlineStr">
        <is>
          <t>Open</t>
        </is>
      </c>
      <c r="C57" s="27" t="n">
        <v>370</v>
      </c>
    </row>
    <row r="58">
      <c r="B58" s="33" t="inlineStr">
        <is>
          <t>Partially answered</t>
        </is>
      </c>
      <c r="C58" s="29" t="n">
        <v>70</v>
      </c>
    </row>
    <row r="59">
      <c r="B59" s="31" t="inlineStr">
        <is>
          <t>Answered</t>
        </is>
      </c>
      <c r="C59" s="27" t="n">
        <v>13</v>
      </c>
    </row>
    <row r="60">
      <c r="B60" s="31" t="inlineStr">
        <is>
          <t>Consolidated under another question</t>
        </is>
      </c>
      <c r="C60" s="27" t="n">
        <v>99</v>
      </c>
    </row>
    <row r="61">
      <c r="B61" s="31" t="inlineStr">
        <is>
          <t>Total</t>
        </is>
      </c>
      <c r="C61" s="32" t="n">
        <v>453</v>
      </c>
    </row>
    <row r="63">
      <c r="B63" s="9" t="inlineStr">
        <is>
          <t>Resolve first</t>
        </is>
      </c>
    </row>
    <row r="64">
      <c r="B64" s="19" t="inlineStr">
        <is>
          <t>The 15 items that most affect the build, money or compliance, in the order proposed for resolution.</t>
        </is>
      </c>
    </row>
    <row r="65">
      <c r="B65" s="24" t="inlineStr">
        <is>
          <t>Item</t>
        </is>
      </c>
      <c r="C65" s="25" t="inlineStr">
        <is>
          <t>Ref</t>
        </is>
      </c>
      <c r="D65" s="25" t="inlineStr">
        <is>
          <t>Severity</t>
        </is>
      </c>
      <c r="E65" s="25" t="inlineStr">
        <is>
          <t>Status</t>
        </is>
      </c>
      <c r="F65" s="25" t="inlineStr">
        <is>
          <t>BRD(s)</t>
        </is>
      </c>
      <c r="G65" s="35" t="n"/>
      <c r="H65" s="25" t="inlineStr">
        <is>
          <t>Why first</t>
        </is>
      </c>
    </row>
    <row r="66" ht="27" customHeight="1">
      <c r="B66" s="21" t="inlineStr">
        <is>
          <t>1. Directory sign-in (EIAM, Entra ID) for all users</t>
        </is>
      </c>
      <c r="C66" s="27" t="inlineStr">
        <is>
          <t>DCR-143</t>
        </is>
      </c>
      <c r="D66" s="27" t="inlineStr">
        <is>
          <t>High</t>
        </is>
      </c>
      <c r="E66" s="27" t="inlineStr">
        <is>
          <t>Open</t>
        </is>
      </c>
      <c r="F66" s="12" t="inlineStr">
        <is>
          <t>Cross-BRD</t>
        </is>
      </c>
      <c r="G66" s="35" t="n"/>
      <c r="H66" s="12" t="inlineStr">
        <is>
          <t>Identity source for every BIBS user; EIAM is a Drop 0 integration (DCR-230).</t>
        </is>
      </c>
    </row>
    <row r="67" ht="27" customHeight="1">
      <c r="B67" s="22" t="inlineStr">
        <is>
          <t>2. BIBS-wide user access matrix</t>
        </is>
      </c>
      <c r="C67" s="29" t="inlineStr">
        <is>
          <t>DCR-121</t>
        </is>
      </c>
      <c r="D67" s="29" t="inlineStr">
        <is>
          <t>High</t>
        </is>
      </c>
      <c r="E67" s="29" t="inlineStr">
        <is>
          <t>Open</t>
        </is>
      </c>
      <c r="F67" s="14" t="inlineStr">
        <is>
          <t>BRD-11 UAM</t>
        </is>
      </c>
      <c r="G67" s="35" t="n"/>
      <c r="H67" s="14" t="inlineStr">
        <is>
          <t>Every module's roles and persona tests depend on it.</t>
        </is>
      </c>
    </row>
    <row r="68" ht="27" customHeight="1">
      <c r="B68" s="21" t="inlineStr">
        <is>
          <t>3. IGA (UIDM-ISC) against BRD-11 requests</t>
        </is>
      </c>
      <c r="C68" s="27" t="inlineStr">
        <is>
          <t>DCR-229</t>
        </is>
      </c>
      <c r="D68" s="27" t="inlineStr">
        <is>
          <t>High</t>
        </is>
      </c>
      <c r="E68" s="27" t="inlineStr">
        <is>
          <t>Open</t>
        </is>
      </c>
      <c r="F68" s="12" t="inlineStr">
        <is>
          <t>BRD-11 UAM, BRD-0 CORE</t>
        </is>
      </c>
      <c r="G68" s="35" t="n"/>
      <c r="H68" s="12" t="inlineStr">
        <is>
          <t>Decides whether access requests stay in BIBS.</t>
        </is>
      </c>
    </row>
    <row r="69" ht="27" customHeight="1">
      <c r="B69" s="22" t="inlineStr">
        <is>
          <t>4. Go-live date and migration calendar</t>
        </is>
      </c>
      <c r="C69" s="29" t="inlineStr">
        <is>
          <t>DCR-217</t>
        </is>
      </c>
      <c r="D69" s="29" t="inlineStr">
        <is>
          <t>High</t>
        </is>
      </c>
      <c r="E69" s="29" t="inlineStr">
        <is>
          <t>Open</t>
        </is>
      </c>
      <c r="F69" s="14" t="inlineStr">
        <is>
          <t>BRD-0 CORE, BRD-13 DM</t>
        </is>
      </c>
      <c r="G69" s="35" t="n"/>
      <c r="H69" s="14" t="inlineStr">
        <is>
          <t>Fixes T, the freeze weekend and the mock dates.</t>
        </is>
      </c>
    </row>
    <row r="70" ht="27" customHeight="1">
      <c r="B70" s="21" t="inlineStr">
        <is>
          <t>5. Architecture in the IER</t>
        </is>
      </c>
      <c r="C70" s="27" t="inlineStr">
        <is>
          <t>DCR-222</t>
        </is>
      </c>
      <c r="D70" s="27" t="inlineStr">
        <is>
          <t>High</t>
        </is>
      </c>
      <c r="E70" s="27" t="inlineStr">
        <is>
          <t>Open</t>
        </is>
      </c>
      <c r="F70" s="12" t="inlineStr">
        <is>
          <t>BRD-0 CORE</t>
        </is>
      </c>
      <c r="G70" s="35" t="n"/>
      <c r="H70" s="12" t="inlineStr">
        <is>
          <t>The IER sizes and costs ten microservices, Aurora / Mongo and a portal tenant that BIBS does not have.</t>
        </is>
      </c>
    </row>
    <row r="71" ht="27" customHeight="1">
      <c r="B71" s="22" t="inlineStr">
        <is>
          <t>6. Documents in S3 only</t>
        </is>
      </c>
      <c r="C71" s="29" t="inlineStr">
        <is>
          <t>DCR-227</t>
        </is>
      </c>
      <c r="D71" s="29" t="inlineStr">
        <is>
          <t>High</t>
        </is>
      </c>
      <c r="E71" s="29" t="inlineStr">
        <is>
          <t>Answered</t>
        </is>
      </c>
      <c r="F71" s="14" t="inlineStr">
        <is>
          <t>BRD-0 CORE, BRD-13 DM</t>
        </is>
      </c>
      <c r="G71" s="35" t="n"/>
      <c r="H71" s="14" t="inlineStr">
        <is>
          <t>Build item ST0 / ST1 across every module that stores files.</t>
        </is>
      </c>
    </row>
    <row r="72" ht="27" customHeight="1">
      <c r="B72" s="21" t="inlineStr">
        <is>
          <t>7. Renewal of submitted policies: boundary</t>
        </is>
      </c>
      <c r="C72" s="27" t="inlineStr">
        <is>
          <t>DCR-129</t>
        </is>
      </c>
      <c r="D72" s="27" t="inlineStr">
        <is>
          <t>High</t>
        </is>
      </c>
      <c r="E72" s="27" t="inlineStr">
        <is>
          <t>Open</t>
        </is>
      </c>
      <c r="F72" s="12" t="inlineStr">
        <is>
          <t>BRD-12 SP, BRD-6 RN</t>
        </is>
      </c>
      <c r="G72" s="35" t="n"/>
      <c r="H72" s="12" t="inlineStr">
        <is>
          <t>Two BRDs specify the same renewal letters, hold cover and booking.</t>
        </is>
      </c>
    </row>
    <row r="73" ht="27" customHeight="1">
      <c r="B73" s="22" t="inlineStr">
        <is>
          <t>8. One LAMD intake or two</t>
        </is>
      </c>
      <c r="C73" s="29" t="inlineStr">
        <is>
          <t>DCR-146</t>
        </is>
      </c>
      <c r="D73" s="29" t="inlineStr">
        <is>
          <t>High</t>
        </is>
      </c>
      <c r="E73" s="29" t="inlineStr">
        <is>
          <t>Open</t>
        </is>
      </c>
      <c r="F73" s="14" t="inlineStr">
        <is>
          <t>BRD-6 RN, BRD-12 SP</t>
        </is>
      </c>
      <c r="G73" s="35" t="n"/>
      <c r="H73" s="14" t="inlineStr">
        <is>
          <t>Loan status drives both renewal eligibility and submitted-policy buckets.</t>
        </is>
      </c>
    </row>
    <row r="74" ht="27" customHeight="1">
      <c r="B74" s="21" t="inlineStr">
        <is>
          <t>9. Online vs offline renewal disposition</t>
        </is>
      </c>
      <c r="C74" s="27" t="inlineStr">
        <is>
          <t>DCR-062</t>
        </is>
      </c>
      <c r="D74" s="27" t="inlineStr">
        <is>
          <t>High</t>
        </is>
      </c>
      <c r="E74" s="27" t="inlineStr">
        <is>
          <t>Open</t>
        </is>
      </c>
      <c r="F74" s="12" t="inlineStr">
        <is>
          <t>BRD-6 RN</t>
        </is>
      </c>
      <c r="G74" s="35" t="n"/>
      <c r="H74" s="12" t="inlineStr">
        <is>
          <t>Decides the AO disposition screens and the upload path.</t>
        </is>
      </c>
    </row>
    <row r="75" ht="27" customHeight="1">
      <c r="B75" s="22" t="inlineStr">
        <is>
          <t>10. Manual initiation vs straight-through renewal</t>
        </is>
      </c>
      <c r="C75" s="29" t="inlineStr">
        <is>
          <t>DCR-063</t>
        </is>
      </c>
      <c r="D75" s="29" t="inlineStr">
        <is>
          <t>High</t>
        </is>
      </c>
      <c r="E75" s="29" t="inlineStr">
        <is>
          <t>Open</t>
        </is>
      </c>
      <c r="F75" s="14" t="inlineStr">
        <is>
          <t>BRD-6 RN</t>
        </is>
      </c>
      <c r="G75" s="35" t="n"/>
      <c r="H75" s="14" t="inlineStr">
        <is>
          <t>Decides the renewal workflow triggers.</t>
        </is>
      </c>
    </row>
    <row r="76" ht="27" customHeight="1">
      <c r="B76" s="21" t="inlineStr">
        <is>
          <t>11. Incentive programmes across four BRDs</t>
        </is>
      </c>
      <c r="C76" s="27" t="inlineStr">
        <is>
          <t>DCR-037</t>
        </is>
      </c>
      <c r="D76" s="27" t="inlineStr">
        <is>
          <t>High</t>
        </is>
      </c>
      <c r="E76" s="27" t="inlineStr">
        <is>
          <t>Open</t>
        </is>
      </c>
      <c r="F76" s="12" t="inlineStr">
        <is>
          <t>Cross-BRD</t>
        </is>
      </c>
      <c r="G76" s="35" t="n"/>
      <c r="H76" s="12" t="inlineStr">
        <is>
          <t>Incentive income; one model for Product Maintenance, Remittance and Commission.</t>
        </is>
      </c>
    </row>
    <row r="77" ht="27" customHeight="1">
      <c r="B77" s="22" t="inlineStr">
        <is>
          <t>12. Paid AR above the DTIP balance</t>
        </is>
      </c>
      <c r="C77" s="29" t="inlineStr">
        <is>
          <t>DCR-015</t>
        </is>
      </c>
      <c r="D77" s="29" t="inlineStr">
        <is>
          <t>High</t>
        </is>
      </c>
      <c r="E77" s="29" t="inlineStr">
        <is>
          <t>Open</t>
        </is>
      </c>
      <c r="F77" s="14" t="inlineStr">
        <is>
          <t>BRD-2 OPS</t>
        </is>
      </c>
      <c r="G77" s="35" t="n"/>
      <c r="H77" s="14" t="inlineStr">
        <is>
          <t>Remittance to insurers capped or withheld.</t>
        </is>
      </c>
    </row>
    <row r="78" ht="27" customHeight="1">
      <c r="B78" s="21" t="inlineStr">
        <is>
          <t>13. Sanctions match: block or warn</t>
        </is>
      </c>
      <c r="C78" s="27" t="inlineStr">
        <is>
          <t>DCR-112</t>
        </is>
      </c>
      <c r="D78" s="27" t="inlineStr">
        <is>
          <t>High</t>
        </is>
      </c>
      <c r="E78" s="27" t="inlineStr">
        <is>
          <t>Open</t>
        </is>
      </c>
      <c r="F78" s="12" t="inlineStr">
        <is>
          <t>BRD-10 SANC, BRD-1 NB, BRD-6 RN</t>
        </is>
      </c>
      <c r="G78" s="35" t="n"/>
      <c r="H78" s="12" t="inlineStr">
        <is>
          <t>Compliance control on quotation, placement, booking and renewal.</t>
        </is>
      </c>
    </row>
    <row r="79" ht="27" customHeight="1">
      <c r="B79" s="22" t="inlineStr">
        <is>
          <t>14. Retention schedule per record type</t>
        </is>
      </c>
      <c r="C79" s="29" t="inlineStr">
        <is>
          <t>DCR-136</t>
        </is>
      </c>
      <c r="D79" s="29" t="inlineStr">
        <is>
          <t>High</t>
        </is>
      </c>
      <c r="E79" s="29" t="inlineStr">
        <is>
          <t>Open</t>
        </is>
      </c>
      <c r="F79" s="14" t="inlineStr">
        <is>
          <t>Cross-BRD</t>
        </is>
      </c>
      <c r="G79" s="35" t="n"/>
      <c r="H79" s="14" t="inlineStr">
        <is>
          <t>Legal record keeping and the archive design.</t>
        </is>
      </c>
    </row>
    <row r="80" ht="27" customHeight="1">
      <c r="B80" s="21" t="inlineStr">
        <is>
          <t>15. Go-live data migration scope</t>
        </is>
      </c>
      <c r="C80" s="27" t="inlineStr">
        <is>
          <t>DCR-157</t>
        </is>
      </c>
      <c r="D80" s="27" t="inlineStr">
        <is>
          <t>High</t>
        </is>
      </c>
      <c r="E80" s="27" t="inlineStr">
        <is>
          <t>Open</t>
        </is>
      </c>
      <c r="F80" s="12" t="inlineStr">
        <is>
          <t>Cross-BRD</t>
        </is>
      </c>
      <c r="G80" s="35" t="n"/>
      <c r="H80" s="12" t="inlineStr">
        <is>
          <t>Open items and history from EBIX, ISYS, QPS and Excel at cut-over.</t>
        </is>
      </c>
    </row>
  </sheetData>
  <mergeCells count="17">
    <mergeCell ref="F75:G75"/>
    <mergeCell ref="F73:G73"/>
    <mergeCell ref="F77:G77"/>
    <mergeCell ref="F69:G69"/>
    <mergeCell ref="F78:G78"/>
    <mergeCell ref="F72:G72"/>
    <mergeCell ref="F68:G68"/>
    <mergeCell ref="F65:G65"/>
    <mergeCell ref="F80:G80"/>
    <mergeCell ref="F76:G76"/>
    <mergeCell ref="F74:G74"/>
    <mergeCell ref="F79:G79"/>
    <mergeCell ref="F70:G70"/>
    <mergeCell ref="F71:G71"/>
    <mergeCell ref="F66:G66"/>
    <mergeCell ref="F67:G67"/>
    <mergeCell ref="C56:G56"/>
  </mergeCells>
  <printOptions horizontalCentered="1"/>
  <pageMargins left="0.4" right="0.4" top="0.8" bottom="0.6" header="0.5" footer="0.5"/>
  <pageSetup orientation="portrait" paperSize="1"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Q24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1" customWidth="1" min="3" max="3"/>
    <col width="26" customWidth="1" min="4" max="4"/>
    <col width="16" customWidth="1" min="5" max="5"/>
    <col width="50" customWidth="1" min="6" max="6"/>
    <col width="38" customWidth="1" min="7" max="7"/>
    <col width="10" customWidth="1" min="8" max="8"/>
    <col width="20" customWidth="1" min="9" max="9"/>
    <col width="36" customWidth="1" min="10" max="10"/>
    <col width="38" customWidth="1" min="11" max="11"/>
    <col width="22" customWidth="1" min="12" max="12"/>
    <col width="12" customWidth="1" min="13" max="13"/>
    <col width="12" customWidth="1" min="14" max="14"/>
    <col width="32" customWidth="1" min="15" max="15"/>
    <col width="12" customWidth="1" min="16" max="16"/>
    <col width="18" customWidth="1" min="17" max="17"/>
  </cols>
  <sheetData>
    <row r="1" ht="24" customHeight="1">
      <c r="A1" s="20" t="inlineStr">
        <is>
          <t>Register</t>
        </is>
      </c>
    </row>
    <row r="2">
      <c r="A2" s="36" t="inlineStr">
        <is>
          <t>One row per discrepancy, conflict, gap or clarification. Filter on BRD, drop, type, severity or status.</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37" t="inlineStr">
        <is>
          <t>Ref</t>
        </is>
      </c>
      <c r="B4" s="37" t="inlineStr">
        <is>
          <t>BRD(s) involved</t>
        </is>
      </c>
      <c r="C4" s="37" t="inlineStr">
        <is>
          <t>Drop</t>
        </is>
      </c>
      <c r="D4" s="37" t="inlineStr">
        <is>
          <t>BRD ID / section / page</t>
        </is>
      </c>
      <c r="E4" s="37" t="inlineStr">
        <is>
          <t>Type</t>
        </is>
      </c>
      <c r="F4" s="37" t="inlineStr">
        <is>
          <t>Description</t>
        </is>
      </c>
      <c r="G4" s="37" t="inlineStr">
        <is>
          <t>Impact (business / build / test)</t>
        </is>
      </c>
      <c r="H4" s="37" t="inlineStr">
        <is>
          <t>Severity</t>
        </is>
      </c>
      <c r="I4" s="37" t="inlineStr">
        <is>
          <t>Affected modules</t>
        </is>
      </c>
      <c r="J4" s="37" t="inlineStr">
        <is>
          <t>Proposed resolution / recommendation</t>
        </is>
      </c>
      <c r="K4" s="37" t="inlineStr">
        <is>
          <t>Clarification question to BDOI</t>
        </is>
      </c>
      <c r="L4" s="37" t="inlineStr">
        <is>
          <t>Owner (BDOI)</t>
        </is>
      </c>
      <c r="M4" s="37" t="inlineStr">
        <is>
          <t>Raised on</t>
        </is>
      </c>
      <c r="N4" s="37" t="inlineStr">
        <is>
          <t>Status</t>
        </is>
      </c>
      <c r="O4" s="37" t="inlineStr">
        <is>
          <t>BDOI response</t>
        </is>
      </c>
      <c r="P4" s="37" t="inlineStr">
        <is>
          <t>Resolution date</t>
        </is>
      </c>
      <c r="Q4" s="37" t="inlineStr">
        <is>
          <t>Related question IDs</t>
        </is>
      </c>
    </row>
    <row r="5" ht="67" customHeight="1">
      <c r="A5" s="38" t="inlineStr">
        <is>
          <t>DCR-001</t>
        </is>
      </c>
      <c r="B5" s="12" t="inlineStr">
        <is>
          <t>BRD-1 NB</t>
        </is>
      </c>
      <c r="C5" s="12" t="inlineStr">
        <is>
          <t>Drop 1</t>
        </is>
      </c>
      <c r="D5" s="12" t="inlineStr">
        <is>
          <t>BRNB.029 / BRD 1.3.1.1.3 (p.68); BRNB.063 / BRD 1.3.1 (p.109-110, p.153)</t>
        </is>
      </c>
      <c r="E5" s="12" t="inlineStr">
        <is>
          <t>Contradiction within BRD</t>
        </is>
      </c>
      <c r="F5" s="12" t="inlineStr">
        <is>
          <t>BRNB.029: "Quotation/Proposal creation must require a client code." BRNB.063: "Generate a quotation/proposal reference number creation without client code."</t>
        </is>
      </c>
      <c r="G5" s="12" t="inlineStr">
        <is>
          <t>Business: walk-in and bank-referred prospects may not be quotable. Build: decides whether a prospect client code is created at quotation. Test: one of the two rows fails whichever rule is built.</t>
        </is>
      </c>
      <c r="H5" s="39" t="inlineStr">
        <is>
          <t>High</t>
        </is>
      </c>
      <c r="I5" s="12" t="inlineStr">
        <is>
          <t>Quotation; Client (CRM)</t>
        </is>
      </c>
      <c r="J5" s="12" t="inlineStr">
        <is>
          <t>Allow a quotation without a confirmed client, and create a prospect client code automatically at quotation (BRNB.029 then holds for the prospect code).</t>
        </is>
      </c>
      <c r="K5" s="12" t="inlineStr">
        <is>
          <t>Can a quotation be created before the client exists? If yes, may BIBS create a prospect client code automatically at that point?</t>
        </is>
      </c>
      <c r="L5" s="12" t="inlineStr">
        <is>
          <t>Marketing and Processing - New Business (Product Owner)</t>
        </is>
      </c>
      <c r="M5" s="40" t="n">
        <v>46290</v>
      </c>
      <c r="N5" s="32" t="inlineStr">
        <is>
          <t>Open</t>
        </is>
      </c>
      <c r="O5" s="12" t="inlineStr"/>
      <c r="P5" s="40" t="n"/>
      <c r="Q5" s="12" t="inlineStr">
        <is>
          <t>Q13, Q20</t>
        </is>
      </c>
    </row>
    <row r="6" ht="41.8" customHeight="1">
      <c r="A6" s="38" t="inlineStr">
        <is>
          <t>DCR-002</t>
        </is>
      </c>
      <c r="B6" s="12" t="inlineStr">
        <is>
          <t>BRD-1 NB</t>
        </is>
      </c>
      <c r="C6" s="12" t="inlineStr">
        <is>
          <t>Drop 1</t>
        </is>
      </c>
      <c r="D6" s="12" t="inlineStr">
        <is>
          <t>Role matrix item 35 / 42 (p.124, p.127); BRD 2.1.16 (p.180)</t>
        </is>
      </c>
      <c r="E6" s="12" t="inlineStr">
        <is>
          <t>Data / numbering issue</t>
        </is>
      </c>
      <c r="F6" s="12" t="inlineStr">
        <is>
          <t>"Reactivate cancelled placed accounts" is in the role matrix and in legacy BRD 2.1.16, but no BRNB ID carries it, so it is missing from the BRNB consolidation.</t>
        </is>
      </c>
      <c r="G6" s="12" t="inlineStr">
        <is>
          <t>Build: the function is not traced to a governing requirement. Test: no acceptance criteria in the BRNB set.</t>
        </is>
      </c>
      <c r="H6" s="39" t="inlineStr">
        <is>
          <t>Medium</t>
        </is>
      </c>
      <c r="I6" s="12" t="inlineStr">
        <is>
          <t>Placement</t>
        </is>
      </c>
      <c r="J6" s="12" t="inlineStr">
        <is>
          <t>Add a BRNB ID for reactivation of cancelled placements, or confirm it is dropped.</t>
        </is>
      </c>
      <c r="K6" s="12" t="inlineStr">
        <is>
          <t>Is reactivation of a cancelled placement in scope? If yes, please confirm the BRNB ID and who may reactivate.</t>
        </is>
      </c>
      <c r="L6" s="12" t="inlineStr">
        <is>
          <t>Marketing and Processing - New Business (Product Owner)</t>
        </is>
      </c>
      <c r="M6" s="40" t="n">
        <v>46290</v>
      </c>
      <c r="N6" s="32" t="inlineStr">
        <is>
          <t>Open</t>
        </is>
      </c>
      <c r="O6" s="12" t="inlineStr"/>
      <c r="P6" s="40" t="n"/>
      <c r="Q6" s="12" t="inlineStr">
        <is>
          <t>Q25</t>
        </is>
      </c>
    </row>
    <row r="7" ht="41.8" customHeight="1">
      <c r="A7" s="38" t="inlineStr">
        <is>
          <t>DCR-003</t>
        </is>
      </c>
      <c r="B7" s="12" t="inlineStr">
        <is>
          <t>BRD-1 NB</t>
        </is>
      </c>
      <c r="C7" s="12" t="inlineStr">
        <is>
          <t>Drop 1</t>
        </is>
      </c>
      <c r="D7" s="12" t="inlineStr">
        <is>
          <t>Workshop addendum (p.1-44): row "send generated service invoice" without ID</t>
        </is>
      </c>
      <c r="E7" s="12" t="inlineStr">
        <is>
          <t>Data / numbering issue</t>
        </is>
      </c>
      <c r="F7" s="12" t="inlineStr">
        <is>
          <t>The workshop addendum has an unnumbered row "send generated service invoice". It is traced as BRNB.100b in the baseline.</t>
        </is>
      </c>
      <c r="G7" s="12" t="inlineStr">
        <is>
          <t>Test: acceptance cannot cite an official ID.</t>
        </is>
      </c>
      <c r="H7" s="39" t="inlineStr">
        <is>
          <t>Low</t>
        </is>
      </c>
      <c r="I7" s="12" t="inlineStr">
        <is>
          <t>Booking</t>
        </is>
      </c>
      <c r="J7" s="12" t="inlineStr">
        <is>
          <t>Assign an ID in the next addendum revision; BRNB.100b is used until then.</t>
        </is>
      </c>
      <c r="K7" s="12" t="inlineStr">
        <is>
          <t>Please confirm the ID for "send generated service invoice" (proposed BRNB.100b).</t>
        </is>
      </c>
      <c r="L7" s="12" t="inlineStr">
        <is>
          <t>Marketing and Processing - New Business (Product Owner)</t>
        </is>
      </c>
      <c r="M7" s="40" t="n">
        <v>46290</v>
      </c>
      <c r="N7" s="32" t="inlineStr">
        <is>
          <t>Open</t>
        </is>
      </c>
      <c r="O7" s="12" t="inlineStr"/>
      <c r="P7" s="40" t="n"/>
      <c r="Q7" s="12" t="inlineStr">
        <is>
          <t>Q32</t>
        </is>
      </c>
    </row>
    <row r="8" ht="41.8" customHeight="1">
      <c r="A8" s="38" t="inlineStr">
        <is>
          <t>DCR-004</t>
        </is>
      </c>
      <c r="B8" s="12" t="inlineStr">
        <is>
          <t>BRD-1 NB</t>
        </is>
      </c>
      <c r="C8" s="12" t="inlineStr">
        <is>
          <t>Drop 1</t>
        </is>
      </c>
      <c r="D8" s="12" t="inlineStr">
        <is>
          <t>BRNB.089 / BRD 3.4.3.1 (p.127)</t>
        </is>
      </c>
      <c r="E8" s="12" t="inlineStr">
        <is>
          <t>Document quality</t>
        </is>
      </c>
      <c r="F8" s="12" t="inlineStr">
        <is>
          <t>Under "a. Generate audit log report", criterion 1 reads "User should be able to assign cancel placement function", copied from the row above.</t>
        </is>
      </c>
      <c r="G8" s="12" t="inlineStr">
        <is>
          <t>Test: the criterion does not describe the audit log report.</t>
        </is>
      </c>
      <c r="H8" s="39" t="inlineStr">
        <is>
          <t>Low</t>
        </is>
      </c>
      <c r="I8" s="12" t="inlineStr">
        <is>
          <t>User Access; Reports</t>
        </is>
      </c>
      <c r="J8" s="12" t="inlineStr">
        <is>
          <t>Read criterion 1 as "generate the audit log report".</t>
        </is>
      </c>
      <c r="K8" s="12" t="inlineStr">
        <is>
          <t>Please confirm criterion 1 of BRNB.089 is "generate the audit log report".</t>
        </is>
      </c>
      <c r="L8" s="12" t="inlineStr">
        <is>
          <t>Marketing and Processing - New Business (Product Owner)</t>
        </is>
      </c>
      <c r="M8" s="40" t="n">
        <v>46290</v>
      </c>
      <c r="N8" s="32" t="inlineStr">
        <is>
          <t>Open</t>
        </is>
      </c>
      <c r="O8" s="12" t="inlineStr"/>
      <c r="P8" s="40" t="n"/>
      <c r="Q8" s="12" t="inlineStr"/>
    </row>
    <row r="9" ht="54.4" customHeight="1">
      <c r="A9" s="38" t="inlineStr">
        <is>
          <t>DCR-005</t>
        </is>
      </c>
      <c r="B9" s="12" t="inlineStr">
        <is>
          <t>BRD-1 NB</t>
        </is>
      </c>
      <c r="C9" s="12" t="inlineStr">
        <is>
          <t>Drop 1</t>
        </is>
      </c>
      <c r="D9" s="12" t="inlineStr">
        <is>
          <t>Appendix A, Fire computation (p.216)</t>
        </is>
      </c>
      <c r="E9" s="12" t="inlineStr">
        <is>
          <t>Ambiguity</t>
        </is>
      </c>
      <c r="F9" s="12" t="inlineStr">
        <is>
          <t>Appendix A gives "PTX (Premium Tax) 12% of the Net Premium" for Fire, next to FST 2% and LGT. 12% is the VAT rate; the premium tax rate and base are not stated elsewhere.</t>
        </is>
      </c>
      <c r="G9" s="12" t="inlineStr">
        <is>
          <t>Business: gross premium on quotations and invoices is wrong if the rate is wrong. Build: premium calculator and tax table. Test: expected premiums in test cases.</t>
        </is>
      </c>
      <c r="H9" s="39" t="inlineStr">
        <is>
          <t>High</t>
        </is>
      </c>
      <c r="I9" s="12" t="inlineStr">
        <is>
          <t>Quotation; Product Maintenance (rates and taxes); Booking</t>
        </is>
      </c>
      <c r="J9" s="12" t="inlineStr">
        <is>
          <t>Keep tax rates and bases in the Rates and Taxes master; seed them only after Comptrollership confirms.</t>
        </is>
      </c>
      <c r="K9" s="12" t="inlineStr">
        <is>
          <t>For Fire, which taxes apply (VAT or premium tax, DST, FST, LGT), at what rate and on which base? Does BDOI compute them or copy the insurer's figures?</t>
        </is>
      </c>
      <c r="L9" s="12" t="inlineStr">
        <is>
          <t>Marketing and Processing - New Business (Product Owner)</t>
        </is>
      </c>
      <c r="M9" s="40" t="n">
        <v>46290</v>
      </c>
      <c r="N9" s="32" t="inlineStr">
        <is>
          <t>Open</t>
        </is>
      </c>
      <c r="O9" s="12" t="inlineStr"/>
      <c r="P9" s="40" t="n"/>
      <c r="Q9" s="12" t="inlineStr">
        <is>
          <t>Q43, PQ10</t>
        </is>
      </c>
    </row>
    <row r="10" ht="41.8" customHeight="1">
      <c r="A10" s="38" t="inlineStr">
        <is>
          <t>DCR-006</t>
        </is>
      </c>
      <c r="B10" s="12" t="inlineStr">
        <is>
          <t>BRD-1 NB</t>
        </is>
      </c>
      <c r="C10" s="12" t="inlineStr">
        <is>
          <t>Drop 1</t>
        </is>
      </c>
      <c r="D10" s="12" t="inlineStr">
        <is>
          <t>Appendix A, Motor computation (p.216)</t>
        </is>
      </c>
      <c r="E10" s="12" t="inlineStr">
        <is>
          <t>Ambiguity</t>
        </is>
      </c>
      <c r="F10" s="12" t="inlineStr">
        <is>
          <t>OD / Theft cover formula gives two bases on one line: "81% of TSI" and "90% of TSI", without saying which applies when (new vs used vehicle, year of cover, multi-year).</t>
        </is>
      </c>
      <c r="G10" s="12" t="inlineStr">
        <is>
          <t>Business: Motor premium differs by 9 points of TSI. Build: motor rating rule. Test: expected premiums.</t>
        </is>
      </c>
      <c r="H10" s="39" t="inlineStr">
        <is>
          <t>High</t>
        </is>
      </c>
      <c r="I10" s="12" t="inlineStr">
        <is>
          <t>Quotation; Product Maintenance</t>
        </is>
      </c>
      <c r="J10" s="12" t="inlineStr">
        <is>
          <t>Model the OD / Theft base as a parameter per product and policy year until confirmed.</t>
        </is>
      </c>
      <c r="K10" s="12" t="inlineStr">
        <is>
          <t>When does the OD / Theft base use 81% of TSI and when 90%? Is it tied to multi-year policies (year 2 onwards)?</t>
        </is>
      </c>
      <c r="L10" s="12" t="inlineStr">
        <is>
          <t>Marketing and Processing - New Business (Product Owner)</t>
        </is>
      </c>
      <c r="M10" s="40" t="n">
        <v>46290</v>
      </c>
      <c r="N10" s="32" t="inlineStr">
        <is>
          <t>Open</t>
        </is>
      </c>
      <c r="O10" s="12" t="inlineStr"/>
      <c r="P10" s="40" t="n"/>
      <c r="Q10" s="12" t="inlineStr">
        <is>
          <t>Q35</t>
        </is>
      </c>
    </row>
    <row r="11" ht="41.8" customHeight="1">
      <c r="A11" s="38" t="inlineStr">
        <is>
          <t>DCR-007</t>
        </is>
      </c>
      <c r="B11" s="12" t="inlineStr">
        <is>
          <t>BRD-1 NB</t>
        </is>
      </c>
      <c r="C11" s="12" t="inlineStr">
        <is>
          <t>Drop 1</t>
        </is>
      </c>
      <c r="D11" s="12" t="inlineStr">
        <is>
          <t>Addendum data retention (p.82); main BRD usage requirements (p.212)</t>
        </is>
      </c>
      <c r="E11" s="12" t="inlineStr">
        <is>
          <t>NFR inconsistency</t>
        </is>
      </c>
      <c r="F11" s="12" t="inlineStr">
        <is>
          <t>The addendum sets 5 years online, 15 years offline, backup every 4 hours, backup retention 5 years (p.82). The main BRD says "Follow existing QPS set up" (p.212).</t>
        </is>
      </c>
      <c r="G11" s="12" t="inlineStr">
        <is>
          <t>Build: retention and archive rules. The baseline applies the addendum (later document).</t>
        </is>
      </c>
      <c r="H11" s="39" t="inlineStr">
        <is>
          <t>Medium</t>
        </is>
      </c>
      <c r="I11" s="12" t="inlineStr">
        <is>
          <t>Platform (retention and archive)</t>
        </is>
      </c>
      <c r="J11" s="12" t="inlineStr">
        <is>
          <t>Apply the addendum values (5 / 15 years, 4-hour backup, 5-year backup retention).</t>
        </is>
      </c>
      <c r="K11" s="12" t="inlineStr">
        <is>
          <t>Please confirm that the addendum retention values replace "Follow existing QPS set up" for New Business.</t>
        </is>
      </c>
      <c r="L11" s="12" t="inlineStr">
        <is>
          <t>Marketing and Processing - New Business (Product Owner)</t>
        </is>
      </c>
      <c r="M11" s="40" t="n">
        <v>46290</v>
      </c>
      <c r="N11" s="32" t="inlineStr">
        <is>
          <t>Open</t>
        </is>
      </c>
      <c r="O11" s="12" t="inlineStr"/>
      <c r="P11" s="40" t="n"/>
      <c r="Q11" s="12" t="inlineStr">
        <is>
          <t>Q39, XQ08</t>
        </is>
      </c>
    </row>
    <row r="12" ht="79.59999999999999" customHeight="1">
      <c r="A12" s="38" t="inlineStr">
        <is>
          <t>DCR-008</t>
        </is>
      </c>
      <c r="B12" s="12" t="inlineStr">
        <is>
          <t>BRD-1 NB; BRD-11 UAM</t>
        </is>
      </c>
      <c r="C12" s="12" t="inlineStr">
        <is>
          <t>Drop 0</t>
        </is>
      </c>
      <c r="D12" s="12" t="inlineStr">
        <is>
          <t>BRD-1 BRD 1.4.1.1 (p.93), 1.1.1.2-1.1.1.3 (p.137); BRD-11 BRD 1.001.1.2-1.001.1.3 (p.8), NFR 5 (p.17)</t>
        </is>
      </c>
      <c r="E12" s="12" t="inlineStr">
        <is>
          <t>Ambiguity</t>
        </is>
      </c>
      <c r="F12" s="12" t="inlineStr">
        <is>
          <t>BRD-1: "Receive warning 30 minutes prior to system triggered log out" after an inactivity warning at 15 minutes; it is unclear whether 30 minutes is an absolute session length. BRD-11 states "inactivity warning (15 minutes)" and "warning prior to system triggered log out (30 minutes)".</t>
        </is>
      </c>
      <c r="G12" s="12" t="inlineStr">
        <is>
          <t>Build: session timer. Test: logout timing cases.</t>
        </is>
      </c>
      <c r="H12" s="39" t="inlineStr">
        <is>
          <t>Medium</t>
        </is>
      </c>
      <c r="I12" s="12" t="inlineStr">
        <is>
          <t>Security (sessions)</t>
        </is>
      </c>
      <c r="J12" s="12" t="inlineStr">
        <is>
          <t>Inactivity log-out at 30 minutes with a warning at 15 minutes (SESSION_TIMEOUT_MINUTES = 30, SESSION_IDLE_WARNING_MINUTES = 15).</t>
        </is>
      </c>
      <c r="K12" s="12" t="inlineStr">
        <is>
          <t>Confirm that the 30 minutes is inactivity, not a maximum session length.</t>
        </is>
      </c>
      <c r="L12" s="12" t="inlineStr">
        <is>
          <t>UAM process owner (Product Owner) with ITIO</t>
        </is>
      </c>
      <c r="M12" s="40" t="n">
        <v>46290</v>
      </c>
      <c r="N12" s="32" t="inlineStr">
        <is>
          <t>Answered</t>
        </is>
      </c>
      <c r="O12" s="12" t="inlineStr">
        <is>
          <t>BRD-11 p.17 NFR 5: inactivity warning after 15 minutes, warning prior to system-triggered log out after 30 minutes.</t>
        </is>
      </c>
      <c r="P12" s="40" t="n"/>
      <c r="Q12" s="12" t="inlineStr">
        <is>
          <t>Q42</t>
        </is>
      </c>
    </row>
    <row r="13" ht="54.4" customHeight="1">
      <c r="A13" s="38" t="inlineStr">
        <is>
          <t>DCR-009</t>
        </is>
      </c>
      <c r="B13" s="12" t="inlineStr">
        <is>
          <t>BRD-1 NB; BRD-6 RN; BRD-12 SP; Report List</t>
        </is>
      </c>
      <c r="C13" s="12" t="inlineStr">
        <is>
          <t>Drop 1</t>
        </is>
      </c>
      <c r="D13" s="12" t="inlineStr">
        <is>
          <t>BRD-1 BRNB.018 (p.57); Report List #182 (p.57); BRD-6 reports 1.009.2-1.009.3</t>
        </is>
      </c>
      <c r="E13" s="12" t="inlineStr">
        <is>
          <t>Conflict between BRDs</t>
        </is>
      </c>
      <c r="F13" s="12" t="inlineStr">
        <is>
          <t>BRNB.018 asks for a "Late Renewal Requests Report" in New Business. The Renewal BRD has no such report, and Report List #182 "Late Renewal" is a TSU package report ("This should be under a separate TSU module").</t>
        </is>
      </c>
      <c r="G13" s="12" t="inlineStr">
        <is>
          <t>Build: no owner for the report. Test: BRNB.018 cannot be accepted.</t>
        </is>
      </c>
      <c r="H13" s="39" t="inlineStr">
        <is>
          <t>Medium</t>
        </is>
      </c>
      <c r="I13" s="12" t="inlineStr">
        <is>
          <t>Renewal; Reports</t>
        </is>
      </c>
      <c r="J13" s="12" t="inlineStr">
        <is>
          <t>Build it in Renewal as a variant of the renewal listing (renewals booked after expiry).</t>
        </is>
      </c>
      <c r="K13" s="12" t="inlineStr">
        <is>
          <t>Is the Late Renewal Requests Report still needed? If yes, is it the renewal listing filtered on late requests, and who uses it?</t>
        </is>
      </c>
      <c r="L13" s="12" t="inlineStr">
        <is>
          <t>Marketing and Processing - Renewal (RMEL)</t>
        </is>
      </c>
      <c r="M13" s="40" t="n">
        <v>46290</v>
      </c>
      <c r="N13" s="32" t="inlineStr">
        <is>
          <t>Open</t>
        </is>
      </c>
      <c r="O13" s="12" t="inlineStr"/>
      <c r="P13" s="40" t="n"/>
      <c r="Q13" s="12" t="inlineStr">
        <is>
          <t>Q09, RQ29, XQ09</t>
        </is>
      </c>
    </row>
    <row r="14" ht="67" customHeight="1">
      <c r="A14" s="38" t="inlineStr">
        <is>
          <t>DCR-010</t>
        </is>
      </c>
      <c r="B14" s="12" t="inlineStr">
        <is>
          <t>BRD-1 NB; BRD-6 RN; BRD-8 EB; BRD-12 SP</t>
        </is>
      </c>
      <c r="C14" s="12" t="inlineStr">
        <is>
          <t>Drop 1</t>
        </is>
      </c>
      <c r="D14" s="12" t="inlineStr">
        <is>
          <t>BRNB.097 (BRD-1); BRRN.033 (BRD-6, p.4-15); BRID-022.01 (BRD-8 Add. p.10); BRIDSP-26 / 27 (BRD-12 p.11)</t>
        </is>
      </c>
      <c r="E14" s="12" t="inlineStr">
        <is>
          <t>BRD vs platform</t>
        </is>
      </c>
      <c r="F14" s="12" t="inlineStr">
        <is>
          <t>Four BRDs require New Business / Renewal classification from creation to the invoice and as a report filter. BIBS booking sets every invoice to NEW_BUSINESS (booking InvoiceBuilder, line 129).</t>
        </is>
      </c>
      <c r="G14" s="12" t="inlineStr">
        <is>
          <t>Business: renewal production cannot be reported apart from new business. Build: shared change BT0 (account business type, invoice, report filters). Test: every booking and production report test.</t>
        </is>
      </c>
      <c r="H14" s="39" t="inlineStr">
        <is>
          <t>High</t>
        </is>
      </c>
      <c r="I14" s="12" t="inlineStr">
        <is>
          <t>Account; Booking; Reports; Renewal; Employee Benefits; Submitted Policies</t>
        </is>
      </c>
      <c r="J14" s="12" t="inlineStr">
        <is>
          <t>Build work item BT0 once for all three BRDs: business type on the account, carried to the invoice and used as a report filter.</t>
        </is>
      </c>
      <c r="K14" s="12" t="inlineStr">
        <is>
          <t>Confirm the two values (New Business, Renewal) and that a renewal with changed terms stays a Renewal (BRRN.033).</t>
        </is>
      </c>
      <c r="L14" s="12" t="inlineStr">
        <is>
          <t>BIBS Product Owner, with the owners of the BRDs involved</t>
        </is>
      </c>
      <c r="M14" s="40" t="n">
        <v>46290</v>
      </c>
      <c r="N14" s="32" t="inlineStr">
        <is>
          <t>Answered</t>
        </is>
      </c>
      <c r="O14" s="12" t="inlineStr">
        <is>
          <t>BRRN.033 (BRD-6), BRID-022.01 (BRD-8) and BRIDSP-26 / 27 (BRD-12) require the classification at creation and as a report filter.</t>
        </is>
      </c>
      <c r="P14" s="40" t="n"/>
      <c r="Q14" s="12" t="inlineStr"/>
    </row>
    <row r="15" ht="54.4" customHeight="1">
      <c r="A15" s="38" t="inlineStr">
        <is>
          <t>DCR-011</t>
        </is>
      </c>
      <c r="B15" s="12" t="inlineStr">
        <is>
          <t>BRD-2 OPS</t>
        </is>
      </c>
      <c r="C15" s="12" t="inlineStr">
        <is>
          <t>Drop 1</t>
        </is>
      </c>
      <c r="D15" s="12" t="inlineStr">
        <is>
          <t>RMTID.002: main BRD (p.50) and Addendum 1 (p.3-4)</t>
        </is>
      </c>
      <c r="E15" s="12" t="inlineStr">
        <is>
          <t>Contradiction within BRD</t>
        </is>
      </c>
      <c r="F15" s="12" t="inlineStr">
        <is>
          <t>Main BRD: "Facility to allow User to edit the extracted file" and push it "with or without edit". Addendum 1: users "mark specific record or row for exclusion"; only non-excluded data is pushed; no editing of financial data.</t>
        </is>
      </c>
      <c r="G15" s="12" t="inlineStr">
        <is>
          <t>Build: remittance extraction screen. The addendum governs.</t>
        </is>
      </c>
      <c r="H15" s="39" t="inlineStr">
        <is>
          <t>Medium</t>
        </is>
      </c>
      <c r="I15" s="12" t="inlineStr">
        <is>
          <t>Remittance</t>
        </is>
      </c>
      <c r="J15" s="12" t="inlineStr">
        <is>
          <t>Build exclusion only (no edit of financial fields), per Addendum 1.</t>
        </is>
      </c>
      <c r="K15" s="12" t="inlineStr">
        <is>
          <t>None; recorded for traceability. BDOI to confirm the main-BRD wording is superseded.</t>
        </is>
      </c>
      <c r="L15" s="12" t="inlineStr">
        <is>
          <t>Operations - Financial Transactions and Processing</t>
        </is>
      </c>
      <c r="M15" s="40" t="n">
        <v>46290</v>
      </c>
      <c r="N15" s="32" t="inlineStr">
        <is>
          <t>Answered</t>
        </is>
      </c>
      <c r="O15" s="12" t="inlineStr">
        <is>
          <t>Operations Addendum 1 (p.3-4): exclusion instead of edit; "When the file is pushed to Disbursement, only non-excluded data" is sent.</t>
        </is>
      </c>
      <c r="P15" s="40" t="n"/>
      <c r="Q15" s="12" t="inlineStr"/>
    </row>
    <row r="16" ht="41.8" customHeight="1">
      <c r="A16" s="38" t="inlineStr">
        <is>
          <t>DCR-012</t>
        </is>
      </c>
      <c r="B16" s="12" t="inlineStr">
        <is>
          <t>BRD-2 OPS</t>
        </is>
      </c>
      <c r="C16" s="12" t="inlineStr">
        <is>
          <t>Drop 1</t>
        </is>
      </c>
      <c r="D16" s="12" t="inlineStr">
        <is>
          <t>ADJID.015 (p.96); MKTID.008 (Adjustment section)</t>
        </is>
      </c>
      <c r="E16" s="12" t="inlineStr">
        <is>
          <t>Data / numbering issue</t>
        </is>
      </c>
      <c r="F16" s="12" t="inlineStr">
        <is>
          <t>ADJID.015 (persona "User", "Note: This is a Marketing activity") and MKTID.008 describe the same Endorsement Slip.</t>
        </is>
      </c>
      <c r="G16" s="12" t="inlineStr">
        <is>
          <t>Build: one function, two IDs. Test: two rows cite one screen.</t>
        </is>
      </c>
      <c r="H16" s="39" t="inlineStr">
        <is>
          <t>Medium</t>
        </is>
      </c>
      <c r="I16" s="12" t="inlineStr">
        <is>
          <t>Adjustment</t>
        </is>
      </c>
      <c r="J16" s="12" t="inlineStr">
        <is>
          <t>Build the Endorsement Slip once, available to Marketing and Adjustment users.</t>
        </is>
      </c>
      <c r="K16" s="12" t="inlineStr">
        <is>
          <t>Who prepares the Endorsement Slip: Marketing, the Adjustment unit, or both?</t>
        </is>
      </c>
      <c r="L16" s="12" t="inlineStr">
        <is>
          <t>Operations - Financial Transactions and Processing</t>
        </is>
      </c>
      <c r="M16" s="40" t="n">
        <v>46290</v>
      </c>
      <c r="N16" s="32" t="inlineStr">
        <is>
          <t>Open</t>
        </is>
      </c>
      <c r="O16" s="12" t="inlineStr"/>
      <c r="P16" s="40" t="n"/>
      <c r="Q16" s="12" t="inlineStr">
        <is>
          <t>OQ32</t>
        </is>
      </c>
    </row>
    <row r="17" ht="54.4" customHeight="1">
      <c r="A17" s="38" t="inlineStr">
        <is>
          <t>DCR-013</t>
        </is>
      </c>
      <c r="B17" s="12" t="inlineStr">
        <is>
          <t>BRD-2 OPS</t>
        </is>
      </c>
      <c r="C17" s="12" t="inlineStr">
        <is>
          <t>Drop 1</t>
        </is>
      </c>
      <c r="D17" s="12" t="inlineStr">
        <is>
          <t>RMTID.023 (p.62); PRCID.028 (p.85)</t>
        </is>
      </c>
      <c r="E17" s="12" t="inlineStr">
        <is>
          <t>Contradiction within BRD</t>
        </is>
      </c>
      <c r="F17" s="12" t="inlineStr">
        <is>
          <t>RMTID.023 (Remittance) and PRCID.028 (Production Reconciliation) both automate the early-remittance incentive. PRCID.028 limits it to CLG / CBG motor and fire; RMTID.023 does not.</t>
        </is>
      </c>
      <c r="G17" s="12" t="inlineStr">
        <is>
          <t>Business: incentive income may be computed twice or on the wrong lines. Build: one computation owner. Test: incentive amounts.</t>
        </is>
      </c>
      <c r="H17" s="39" t="inlineStr">
        <is>
          <t>High</t>
        </is>
      </c>
      <c r="I17" s="12" t="inlineStr">
        <is>
          <t>Remittance; Production Reconciliation; Commission</t>
        </is>
      </c>
      <c r="J17" s="12" t="inlineStr">
        <is>
          <t>One computation in Remittance, with eligible lines as data (CLG / CBG motor and fire at go-live).</t>
        </is>
      </c>
      <c r="K17" s="12" t="inlineStr">
        <is>
          <t>Is the early-remittance incentive one programme? Which lines and rates apply, and does the window start at inception or booking?</t>
        </is>
      </c>
      <c r="L17" s="12" t="inlineStr">
        <is>
          <t>Operations - Financial Transactions and Processing</t>
        </is>
      </c>
      <c r="M17" s="40" t="n">
        <v>46290</v>
      </c>
      <c r="N17" s="32" t="inlineStr">
        <is>
          <t>Open</t>
        </is>
      </c>
      <c r="O17" s="12" t="inlineStr"/>
      <c r="P17" s="40" t="n"/>
      <c r="Q17" s="12" t="inlineStr">
        <is>
          <t>OQ23, CQ24, AQ25</t>
        </is>
      </c>
    </row>
    <row r="18" ht="79.59999999999999" customHeight="1">
      <c r="A18" s="38" t="inlineStr">
        <is>
          <t>DCR-014</t>
        </is>
      </c>
      <c r="B18" s="12" t="inlineStr">
        <is>
          <t>BRD-2 OPS</t>
        </is>
      </c>
      <c r="C18" s="12" t="inlineStr">
        <is>
          <t>Drop 1</t>
        </is>
      </c>
      <c r="D18" s="12" t="inlineStr">
        <is>
          <t>Summary 5.f (p.22); CSHID.016 (p.37-38); ADJID.026 (p.101)</t>
        </is>
      </c>
      <c r="E18" s="12" t="inlineStr">
        <is>
          <t>Contradiction within BRD</t>
        </is>
      </c>
      <c r="F18" s="12" t="inlineStr">
        <is>
          <t>Three minimal-balance rules: summary 5.f "Auto-reverse records with minimal balances (Php 10.00 and below) to AP overages"; CSHID.016 balances "&lt;= Php 10.00" compared with PR2307; ADJID.026 "balances between 10.00 and 100.00 ... may be written off or credited". 10.00 is in both ranges.</t>
        </is>
      </c>
      <c r="G18" s="12" t="inlineStr">
        <is>
          <t>Business: small balances post to different GL accounts. Build: cashiering and adjustment rules. Test: boundary cases at 10.00.</t>
        </is>
      </c>
      <c r="H18" s="39" t="inlineStr">
        <is>
          <t>High</t>
        </is>
      </c>
      <c r="I18" s="12" t="inlineStr">
        <is>
          <t>Cashiering; Adjustment; FRBS / GL</t>
        </is>
      </c>
      <c r="J18" s="12" t="inlineStr">
        <is>
          <t>Up to 9.99 auto-reversed to AP overages; 10.00-100.00 write-off or credit through an adjustment. Thresholds as parameters.</t>
        </is>
      </c>
      <c r="K18" s="12" t="inlineStr">
        <is>
          <t>Please give one rule for small balances: the boundary at exactly 10.00, GL accounts, and who approves a write-off.</t>
        </is>
      </c>
      <c r="L18" s="12" t="inlineStr">
        <is>
          <t>Operations - Financial Transactions and Processing</t>
        </is>
      </c>
      <c r="M18" s="40" t="n">
        <v>46290</v>
      </c>
      <c r="N18" s="32" t="inlineStr">
        <is>
          <t>Open</t>
        </is>
      </c>
      <c r="O18" s="12" t="inlineStr"/>
      <c r="P18" s="40" t="n"/>
      <c r="Q18" s="12" t="inlineStr">
        <is>
          <t>OQ11, CQ03, OQ26</t>
        </is>
      </c>
    </row>
    <row r="19" ht="54.4" customHeight="1">
      <c r="A19" s="38" t="inlineStr">
        <is>
          <t>DCR-015</t>
        </is>
      </c>
      <c r="B19" s="12" t="inlineStr">
        <is>
          <t>BRD-2 OPS</t>
        </is>
      </c>
      <c r="C19" s="12" t="inlineStr">
        <is>
          <t>Drop 1</t>
        </is>
      </c>
      <c r="D19" s="12" t="inlineStr">
        <is>
          <t>RMTID.014 (p.56-57)</t>
        </is>
      </c>
      <c r="E19" s="12" t="inlineStr">
        <is>
          <t>Contradiction within BRD</t>
        </is>
      </c>
      <c r="F19" s="12" t="inlineStr">
        <is>
          <t>RMTID.014 "Validate that paid AR is not more than" the DTIP balance: the expected result remits only the DTIP balance, while the acceptance criteria flag and exclude the account.</t>
        </is>
      </c>
      <c r="G19" s="12" t="inlineStr">
        <is>
          <t>Business: remittance to insurers is capped or withheld. Build: remittance validation. Test: expected result differs.</t>
        </is>
      </c>
      <c r="H19" s="39" t="inlineStr">
        <is>
          <t>High</t>
        </is>
      </c>
      <c r="I19" s="12" t="inlineStr">
        <is>
          <t>Remittance</t>
        </is>
      </c>
      <c r="J19" s="12" t="inlineStr">
        <is>
          <t>Flag and exclude the account from the batch until resolved (acceptance criteria).</t>
        </is>
      </c>
      <c r="K19" s="12" t="inlineStr">
        <is>
          <t>When paid AR is more than the DTIP balance, should BIBS remit the DTIP balance or exclude the account?</t>
        </is>
      </c>
      <c r="L19" s="12" t="inlineStr">
        <is>
          <t>Operations - Financial Transactions and Processing</t>
        </is>
      </c>
      <c r="M19" s="40" t="n">
        <v>46290</v>
      </c>
      <c r="N19" s="32" t="inlineStr">
        <is>
          <t>Open</t>
        </is>
      </c>
      <c r="O19" s="12" t="inlineStr"/>
      <c r="P19" s="40" t="n"/>
      <c r="Q19" s="12" t="inlineStr">
        <is>
          <t>OQ19</t>
        </is>
      </c>
    </row>
    <row r="20" ht="41.8" customHeight="1">
      <c r="A20" s="38" t="inlineStr">
        <is>
          <t>DCR-016</t>
        </is>
      </c>
      <c r="B20" s="12" t="inlineStr">
        <is>
          <t>BRD-2 OPS</t>
        </is>
      </c>
      <c r="C20" s="12" t="inlineStr">
        <is>
          <t>Drop 1</t>
        </is>
      </c>
      <c r="D20" s="12" t="inlineStr">
        <is>
          <t>RMTID.019 (p.59)</t>
        </is>
      </c>
      <c r="E20" s="12" t="inlineStr">
        <is>
          <t>Ambiguity</t>
        </is>
      </c>
      <c r="F20" s="12" t="inlineStr">
        <is>
          <t>RMTID.019 "Validate remittance status upon submission" lists payment states (Unapplied Payment, With Outstanding Balance) together with remittance states.</t>
        </is>
      </c>
      <c r="G20" s="12" t="inlineStr">
        <is>
          <t>Build: remittance status model. Test: status transitions.</t>
        </is>
      </c>
      <c r="H20" s="39" t="inlineStr">
        <is>
          <t>Medium</t>
        </is>
      </c>
      <c r="I20" s="12" t="inlineStr">
        <is>
          <t>Remittance</t>
        </is>
      </c>
      <c r="J20" s="12" t="inlineStr">
        <is>
          <t>Keep payment state and remittance state as two separate fields.</t>
        </is>
      </c>
      <c r="K20" s="12" t="inlineStr">
        <is>
          <t>Please confirm the remittance status list and who approves a remittance batch (TL / TH).</t>
        </is>
      </c>
      <c r="L20" s="12" t="inlineStr">
        <is>
          <t>Operations - Financial Transactions and Processing</t>
        </is>
      </c>
      <c r="M20" s="40" t="n">
        <v>46290</v>
      </c>
      <c r="N20" s="32" t="inlineStr">
        <is>
          <t>Open</t>
        </is>
      </c>
      <c r="O20" s="12" t="inlineStr"/>
      <c r="P20" s="40" t="n"/>
      <c r="Q20" s="12" t="inlineStr">
        <is>
          <t>OQ21</t>
        </is>
      </c>
    </row>
    <row r="21" ht="54.4" customHeight="1">
      <c r="A21" s="38" t="inlineStr">
        <is>
          <t>DCR-017</t>
        </is>
      </c>
      <c r="B21" s="12" t="inlineStr">
        <is>
          <t>BRD-2 OPS</t>
        </is>
      </c>
      <c r="C21" s="12" t="inlineStr">
        <is>
          <t>Drop 1</t>
        </is>
      </c>
      <c r="D21" s="12" t="inlineStr">
        <is>
          <t>Key capability f (p.21); CSHID.007 (p.29)</t>
        </is>
      </c>
      <c r="E21" s="12" t="inlineStr">
        <is>
          <t>Contradiction within BRD</t>
        </is>
      </c>
      <c r="F21" s="12" t="inlineStr">
        <is>
          <t>CSHID.007: "One OR per Remittance Batch number" and "OR is issued per individual payment unless consolidation" criteria are met. Key capability f: "one OR per settlement batch per Insurer".</t>
        </is>
      </c>
      <c r="G21" s="12" t="inlineStr">
        <is>
          <t>Business: number of ORs issued for commission. Build: OR generation. Test: OR count.</t>
        </is>
      </c>
      <c r="H21" s="39" t="inlineStr">
        <is>
          <t>Medium</t>
        </is>
      </c>
      <c r="I21" s="12" t="inlineStr">
        <is>
          <t>Cashiering; Commission</t>
        </is>
      </c>
      <c r="J21" s="12" t="inlineStr">
        <is>
          <t>One OR per remittance batch per insurer by default; individual OR as an option.</t>
        </is>
      </c>
      <c r="K21" s="12" t="inlineStr">
        <is>
          <t>For commission received from insurers, which prevails: one OR per remittance batch, or one per payment?</t>
        </is>
      </c>
      <c r="L21" s="12" t="inlineStr">
        <is>
          <t>Operations - Financial Transactions and Processing</t>
        </is>
      </c>
      <c r="M21" s="40" t="n">
        <v>46290</v>
      </c>
      <c r="N21" s="32" t="inlineStr">
        <is>
          <t>Open</t>
        </is>
      </c>
      <c r="O21" s="12" t="inlineStr"/>
      <c r="P21" s="40" t="n"/>
      <c r="Q21" s="12" t="inlineStr">
        <is>
          <t>OQ49</t>
        </is>
      </c>
    </row>
    <row r="22" ht="54.4" customHeight="1">
      <c r="A22" s="38" t="inlineStr">
        <is>
          <t>DCR-018</t>
        </is>
      </c>
      <c r="B22" s="12" t="inlineStr">
        <is>
          <t>BRD-2 OPS</t>
        </is>
      </c>
      <c r="C22" s="12" t="inlineStr">
        <is>
          <t>Drop 1</t>
        </is>
      </c>
      <c r="D22" s="12" t="inlineStr">
        <is>
          <t>ADJID.002e (p.90), ADJID.010 (p.94); ADJID.004 item 4 (p.91)</t>
        </is>
      </c>
      <c r="E22" s="12" t="inlineStr">
        <is>
          <t>Contradiction within BRD</t>
        </is>
      </c>
      <c r="F22" s="12" t="inlineStr">
        <is>
          <t>"Extension of Cover" is a financial endorsement with additional premium and approval (ADJID.002e, ADJID.010) and a non-financial endorsement (ADJID.004: "extensions of cover/clauses/warranties/deductibles are added").</t>
        </is>
      </c>
      <c r="G22" s="12" t="inlineStr">
        <is>
          <t>Business: approval and premium may be skipped. Build: endorsement type list. Test: endorsement cases.</t>
        </is>
      </c>
      <c r="H22" s="39" t="inlineStr">
        <is>
          <t>Medium</t>
        </is>
      </c>
      <c r="I22" s="12" t="inlineStr">
        <is>
          <t>Adjustment</t>
        </is>
      </c>
      <c r="J22" s="12" t="inlineStr">
        <is>
          <t>Two types: "Extension of cover (period, with premium)" and "Additional clause / warranty (no premium)".</t>
        </is>
      </c>
      <c r="K22" s="12" t="inlineStr">
        <is>
          <t>Please confirm the endorsement type list and who approves additional premium.</t>
        </is>
      </c>
      <c r="L22" s="12" t="inlineStr">
        <is>
          <t>Operations - Financial Transactions and Processing</t>
        </is>
      </c>
      <c r="M22" s="40" t="n">
        <v>46290</v>
      </c>
      <c r="N22" s="32" t="inlineStr">
        <is>
          <t>Open</t>
        </is>
      </c>
      <c r="O22" s="12" t="inlineStr"/>
      <c r="P22" s="40" t="n"/>
      <c r="Q22" s="12" t="inlineStr">
        <is>
          <t>OQ35</t>
        </is>
      </c>
    </row>
    <row r="23" ht="67" customHeight="1">
      <c r="A23" s="38" t="inlineStr">
        <is>
          <t>DCR-019</t>
        </is>
      </c>
      <c r="B23" s="12" t="inlineStr">
        <is>
          <t>BRD-2 OPS</t>
        </is>
      </c>
      <c r="C23" s="12" t="inlineStr">
        <is>
          <t>Drop 1</t>
        </is>
      </c>
      <c r="D23" s="12" t="inlineStr">
        <is>
          <t>RMTID.001 (p.49); PRCID.004 (p.79); PRCID.016 (p.82); PRCID.024 / 025; ADJID.025 (p.100)</t>
        </is>
      </c>
      <c r="E23" s="12" t="inlineStr">
        <is>
          <t>Gap / missing detail</t>
        </is>
      </c>
      <c r="F23" s="12" t="inlineStr">
        <is>
          <t>Values left open in the signed BRD: "Batch Run: TDB" (RMTID.001); "Standard naming convention: TBD" (PRCID.004); company-concerned list "to be provided" (PRCID.016); automatch frequency blank (PRCID.024 / 025); supporting document list blank (ADJID.025).</t>
        </is>
      </c>
      <c r="G23" s="12" t="inlineStr">
        <is>
          <t>Build: defaults must be assumed. Test: no expected values.</t>
        </is>
      </c>
      <c r="H23" s="39" t="inlineStr">
        <is>
          <t>Medium</t>
        </is>
      </c>
      <c r="I23" s="12" t="inlineStr">
        <is>
          <t>Remittance; Production Reconciliation; Adjustment</t>
        </is>
      </c>
      <c r="J23" s="12" t="inlineStr">
        <is>
          <t>Build each as a parameter or list with a documented default.</t>
        </is>
      </c>
      <c r="K23" s="12" t="inlineStr">
        <is>
          <t>Please give the remittance extraction schedule, the production register naming, the company-concerned list, the automatch frequency and the endorsement document list.</t>
        </is>
      </c>
      <c r="L23" s="12" t="inlineStr">
        <is>
          <t>Operations - Financial Transactions and Processing</t>
        </is>
      </c>
      <c r="M23" s="40" t="n">
        <v>46290</v>
      </c>
      <c r="N23" s="32" t="inlineStr">
        <is>
          <t>Open</t>
        </is>
      </c>
      <c r="O23" s="12" t="inlineStr"/>
      <c r="P23" s="40" t="n"/>
      <c r="Q23" s="12" t="inlineStr">
        <is>
          <t>OQ17, OQ29, OQ30, OQ31, OQ32</t>
        </is>
      </c>
    </row>
    <row r="24" ht="54.4" customHeight="1">
      <c r="A24" s="38" t="inlineStr">
        <is>
          <t>DCR-020</t>
        </is>
      </c>
      <c r="B24" s="12" t="inlineStr">
        <is>
          <t>BRD-2 OPS</t>
        </is>
      </c>
      <c r="C24" s="12" t="inlineStr">
        <is>
          <t>Drop 1</t>
        </is>
      </c>
      <c r="D24" s="12" t="inlineStr">
        <is>
          <t>CSHID.008 (p.30-31)</t>
        </is>
      </c>
      <c r="E24" s="12" t="inlineStr">
        <is>
          <t>Ambiguity</t>
        </is>
      </c>
      <c r="F24" s="12" t="inlineStr">
        <is>
          <t>Trade, Direct Credit and CLPC files are "manually prepared by BU, send to IT, IT to run batch process - FS04", while Operations users upload payment files. The PDC list is an Excel upload and also "PDC from PMS".</t>
        </is>
      </c>
      <c r="G24" s="12" t="inlineStr">
        <is>
          <t>Build: upload screen vs batch intake. Test: file intake cases.</t>
        </is>
      </c>
      <c r="H24" s="39" t="inlineStr">
        <is>
          <t>Medium</t>
        </is>
      </c>
      <c r="I24" s="12" t="inlineStr">
        <is>
          <t>Cashiering</t>
        </is>
      </c>
      <c r="J24" s="12" t="inlineStr">
        <is>
          <t>Operations users upload all files in BIBS; a scheduled pick-up from FS04 can be added later.</t>
        </is>
      </c>
      <c r="K24" s="12" t="inlineStr">
        <is>
          <t>Who loads each payment file (Operations or IT batch)? What is PMS? Please share sample files and layouts.</t>
        </is>
      </c>
      <c r="L24" s="12" t="inlineStr">
        <is>
          <t>Operations - Financial Transactions and Processing</t>
        </is>
      </c>
      <c r="M24" s="40" t="n">
        <v>46290</v>
      </c>
      <c r="N24" s="32" t="inlineStr">
        <is>
          <t>Open</t>
        </is>
      </c>
      <c r="O24" s="12" t="inlineStr"/>
      <c r="P24" s="40" t="n"/>
      <c r="Q24" s="12" t="inlineStr">
        <is>
          <t>OQ03, OQ04</t>
        </is>
      </c>
    </row>
    <row r="25" ht="41.8" customHeight="1">
      <c r="A25" s="38" t="inlineStr">
        <is>
          <t>DCR-021</t>
        </is>
      </c>
      <c r="B25" s="12" t="inlineStr">
        <is>
          <t>BRD-2 OPS</t>
        </is>
      </c>
      <c r="C25" s="12" t="inlineStr">
        <is>
          <t>Drop 1</t>
        </is>
      </c>
      <c r="D25" s="12" t="inlineStr">
        <is>
          <t>CSHID.026 / 027, RMTID.038 / 040, ADJID.026-028, CMRID.015, MKTID.010-013</t>
        </is>
      </c>
      <c r="E25" s="12" t="inlineStr">
        <is>
          <t>Data / numbering issue</t>
        </is>
      </c>
      <c r="F25" s="12" t="inlineStr">
        <is>
          <t>Several IDs have no key-capability number. MKTID numbering does not follow document order (MKTID.013 is in Cashiering, MKTID.008 comes last, in Adjustment).</t>
        </is>
      </c>
      <c r="G25" s="12" t="inlineStr">
        <is>
          <t>Traceability only.</t>
        </is>
      </c>
      <c r="H25" s="39" t="inlineStr">
        <is>
          <t>Low</t>
        </is>
      </c>
      <c r="I25" s="12" t="inlineStr">
        <is>
          <t>Operations (all)</t>
        </is>
      </c>
      <c r="J25" s="12" t="inlineStr">
        <is>
          <t>Trace by ID; key capability inferred from the section.</t>
        </is>
      </c>
      <c r="K25" s="12" t="inlineStr">
        <is>
          <t>None; correct in the next revision.</t>
        </is>
      </c>
      <c r="L25" s="12" t="inlineStr">
        <is>
          <t>Operations - Financial Transactions and Processing</t>
        </is>
      </c>
      <c r="M25" s="40" t="n">
        <v>46290</v>
      </c>
      <c r="N25" s="32" t="inlineStr">
        <is>
          <t>Open</t>
        </is>
      </c>
      <c r="O25" s="12" t="inlineStr"/>
      <c r="P25" s="40" t="n"/>
      <c r="Q25" s="12" t="inlineStr"/>
    </row>
    <row r="26" ht="67" customHeight="1">
      <c r="A26" s="38" t="inlineStr">
        <is>
          <t>DCR-022</t>
        </is>
      </c>
      <c r="B26" s="12" t="inlineStr">
        <is>
          <t>BRD-2 OPS; BRD-4 CLXN; BRD-5 ACCT; BRD-7 CLM</t>
        </is>
      </c>
      <c r="C26" s="12" t="inlineStr">
        <is>
          <t>Drop 1</t>
        </is>
      </c>
      <c r="D26" s="12" t="inlineStr">
        <is>
          <t>BRD-2 BRQID.004-005 (p.16-20); BRD-4 p.37-39; BRD-5 DIS 3.25.0, FRBS 2.5.0; BRD-7 p.23</t>
        </is>
      </c>
      <c r="E26" s="12" t="inlineStr">
        <is>
          <t>Conflict between BRDs</t>
        </is>
      </c>
      <c r="F26" s="12" t="inlineStr">
        <is>
          <t>BRD-2 treats Collection, Accounting, Disbursement, Marketing and Claims as other systems that Operations integrates with. BRD-4, BRD-5 and BRD-7 describe Collections, Accounting, Disbursement and Claims as functions inside the target system.</t>
        </is>
      </c>
      <c r="G26" s="12" t="inlineStr">
        <is>
          <t>Build: in-app interfaces instead of external integrations.</t>
        </is>
      </c>
      <c r="H26" s="39" t="inlineStr">
        <is>
          <t>Medium</t>
        </is>
      </c>
      <c r="I26" s="12" t="inlineStr">
        <is>
          <t>Cashiering; Remittance; Collections; Disbursement; FRBS / GL; Claims</t>
        </is>
      </c>
      <c r="J26" s="12" t="inlineStr">
        <is>
          <t>Collections, Disbursement, FRBS and Claims are BIBS modules; Operations uses in-app ports.</t>
        </is>
      </c>
      <c r="K26" s="12" t="inlineStr">
        <is>
          <t>Confirm that the Marketing (ISYS) link is the only external system left in BRQID.004.</t>
        </is>
      </c>
      <c r="L26" s="12" t="inlineStr">
        <is>
          <t>BIBS Product Owner, with the owners of the BRDs involved</t>
        </is>
      </c>
      <c r="M26" s="40" t="n">
        <v>46290</v>
      </c>
      <c r="N26" s="32" t="inlineStr">
        <is>
          <t>Answered</t>
        </is>
      </c>
      <c r="O26" s="12" t="inlineStr">
        <is>
          <t>BRD-4 p.37-39 (Collection Management System); BRD-5 DIS 3.25.0 and FRBS 2.5.0 (Disbursement and GL in the target system); BRD-7 p.23 (claims module).</t>
        </is>
      </c>
      <c r="P26" s="40" t="n"/>
      <c r="Q26" s="12" t="inlineStr">
        <is>
          <t>OQ01, OQ02, OQ46</t>
        </is>
      </c>
    </row>
    <row r="27" ht="67" customHeight="1">
      <c r="A27" s="38" t="inlineStr">
        <is>
          <t>DCR-023</t>
        </is>
      </c>
      <c r="B27" s="12" t="inlineStr">
        <is>
          <t>BRD-2 OPS; BRD-4 CLXN</t>
        </is>
      </c>
      <c r="C27" s="12" t="inlineStr">
        <is>
          <t>Drop 1</t>
        </is>
      </c>
      <c r="D27" s="12" t="inlineStr">
        <is>
          <t>BRD-2 MKTID.001-013; BRD-4 BRCLXN.016, p.41</t>
        </is>
      </c>
      <c r="E27" s="12" t="inlineStr">
        <is>
          <t>Ambiguity</t>
        </is>
      </c>
      <c r="F27" s="12" t="inlineStr">
        <is>
          <t>MKTID (Marketing) and DBMID (Disbursement) rows are requirements on other units. BRD-4 covers only the 2307 and DP tagging dispositions; holds, special remittance, send-schedule and DP tagging at quotation (MKTID.001-009, 011) have no other BRD.</t>
        </is>
      </c>
      <c r="G27" s="12" t="inlineStr">
        <is>
          <t>Build: the Marketing screens stay in the Operations build.</t>
        </is>
      </c>
      <c r="H27" s="39" t="inlineStr">
        <is>
          <t>Medium</t>
        </is>
      </c>
      <c r="I27" s="12" t="inlineStr">
        <is>
          <t>Remittance; Collections; Adjustment</t>
        </is>
      </c>
      <c r="J27" s="12" t="inlineStr">
        <is>
          <t>MKTID.001-009 and 011 stay in Operations; MKTID.010 / 013 tagging moves to Collections dispositions.</t>
        </is>
      </c>
      <c r="K27" s="12" t="inlineStr">
        <is>
          <t>Confirm that Marketing performs holds, special remittance requests and the schedule request inside BIBS.</t>
        </is>
      </c>
      <c r="L27" s="12" t="inlineStr">
        <is>
          <t>Operations - Financial Transactions and Processing</t>
        </is>
      </c>
      <c r="M27" s="40" t="n">
        <v>46290</v>
      </c>
      <c r="N27" s="32" t="inlineStr">
        <is>
          <t>Open</t>
        </is>
      </c>
      <c r="O27" s="12" t="inlineStr"/>
      <c r="P27" s="40" t="n"/>
      <c r="Q27" s="12" t="inlineStr">
        <is>
          <t>OQ45</t>
        </is>
      </c>
    </row>
    <row r="28" ht="41.8" customHeight="1">
      <c r="A28" s="38" t="inlineStr">
        <is>
          <t>DCR-024</t>
        </is>
      </c>
      <c r="B28" s="12" t="inlineStr">
        <is>
          <t>BRD-2 OPS</t>
        </is>
      </c>
      <c r="C28" s="12" t="inlineStr">
        <is>
          <t>Drop 1</t>
        </is>
      </c>
      <c r="D28" s="12" t="inlineStr">
        <is>
          <t>Annex I acronyms (p.124)</t>
        </is>
      </c>
      <c r="E28" s="12" t="inlineStr">
        <is>
          <t>Document quality</t>
        </is>
      </c>
      <c r="F28" s="12" t="inlineStr">
        <is>
          <t>The acronym table gives "DTIP - Due To Insurer Provider" and "BDOI - BDO Insurance Brokers, Inc."</t>
        </is>
      </c>
      <c r="G28" s="12" t="inlineStr">
        <is>
          <t>Glossary only.</t>
        </is>
      </c>
      <c r="H28" s="39" t="inlineStr">
        <is>
          <t>Low</t>
        </is>
      </c>
      <c r="I28" s="12" t="inlineStr">
        <is>
          <t>-</t>
        </is>
      </c>
      <c r="J28" s="12" t="inlineStr">
        <is>
          <t>Glossary uses "Due to Insurance Provider" and the registered company name.</t>
        </is>
      </c>
      <c r="K28" s="12" t="inlineStr">
        <is>
          <t>Please confirm the expansion of DTIP.</t>
        </is>
      </c>
      <c r="L28" s="12" t="inlineStr">
        <is>
          <t>Operations - Financial Transactions and Processing</t>
        </is>
      </c>
      <c r="M28" s="40" t="n">
        <v>46290</v>
      </c>
      <c r="N28" s="32" t="inlineStr">
        <is>
          <t>Open</t>
        </is>
      </c>
      <c r="O28" s="12" t="inlineStr"/>
      <c r="P28" s="40" t="n"/>
      <c r="Q28" s="12" t="inlineStr"/>
    </row>
    <row r="29" ht="54.4" customHeight="1">
      <c r="A29" s="38" t="inlineStr">
        <is>
          <t>DCR-025</t>
        </is>
      </c>
      <c r="B29" s="12" t="inlineStr">
        <is>
          <t>BRD-2 OPS</t>
        </is>
      </c>
      <c r="C29" s="12" t="inlineStr">
        <is>
          <t>Drop 1</t>
        </is>
      </c>
      <c r="D29" s="12" t="inlineStr">
        <is>
          <t>Usage requirements, Commission Receivables (p.118-119)</t>
        </is>
      </c>
      <c r="E29" s="12" t="inlineStr">
        <is>
          <t>Gap / missing detail</t>
        </is>
      </c>
      <c r="F29" s="12" t="inlineStr">
        <is>
          <t>The Commission Receivables volume table is headed "Volume and Performance - Adjustment / Endorsement" (copy error). Transaction volumes and growth rates are blank for every area.</t>
        </is>
      </c>
      <c r="G29" s="12" t="inlineStr">
        <is>
          <t>Build: sizing assumed from BRD-1. Test: no volume targets for performance tests.</t>
        </is>
      </c>
      <c r="H29" s="39" t="inlineStr">
        <is>
          <t>Medium</t>
        </is>
      </c>
      <c r="I29" s="12" t="inlineStr">
        <is>
          <t>Platform (sizing)</t>
        </is>
      </c>
      <c r="J29" s="12" t="inlineStr">
        <is>
          <t>Size with the BRD-1 volumes plus Operations users.</t>
        </is>
      </c>
      <c r="K29" s="12" t="inlineStr">
        <is>
          <t>Please give monthly transaction volumes and growth per Operations area.</t>
        </is>
      </c>
      <c r="L29" s="12" t="inlineStr">
        <is>
          <t>Operations - Financial Transactions and Processing</t>
        </is>
      </c>
      <c r="M29" s="40" t="n">
        <v>46290</v>
      </c>
      <c r="N29" s="32" t="inlineStr">
        <is>
          <t>Open</t>
        </is>
      </c>
      <c r="O29" s="12" t="inlineStr"/>
      <c r="P29" s="40" t="n"/>
      <c r="Q29" s="12" t="inlineStr">
        <is>
          <t>OQ44</t>
        </is>
      </c>
    </row>
    <row r="30" ht="41.8" customHeight="1">
      <c r="A30" s="38" t="inlineStr">
        <is>
          <t>DCR-026</t>
        </is>
      </c>
      <c r="B30" s="12" t="inlineStr">
        <is>
          <t>BRD-2 OPS</t>
        </is>
      </c>
      <c r="C30" s="12" t="inlineStr">
        <is>
          <t>Drop 1</t>
        </is>
      </c>
      <c r="D30" s="12" t="inlineStr">
        <is>
          <t>Addendum 1 approval (p.6)</t>
        </is>
      </c>
      <c r="E30" s="12" t="inlineStr">
        <is>
          <t>Document quality</t>
        </is>
      </c>
      <c r="F30" s="12" t="inlineStr">
        <is>
          <t>A reviewer date on the addendum approval page is written "1/6/2025"; the addendum is dated 18-Dec-2025, so it is probably 1/6/2026.</t>
        </is>
      </c>
      <c r="G30" s="12" t="inlineStr">
        <is>
          <t>Approval record only.</t>
        </is>
      </c>
      <c r="H30" s="39" t="inlineStr">
        <is>
          <t>Low</t>
        </is>
      </c>
      <c r="I30" s="12" t="inlineStr">
        <is>
          <t>-</t>
        </is>
      </c>
      <c r="J30" s="12" t="inlineStr">
        <is>
          <t>None.</t>
        </is>
      </c>
      <c r="K30" s="12" t="inlineStr">
        <is>
          <t>Please confirm the date.</t>
        </is>
      </c>
      <c r="L30" s="12" t="inlineStr">
        <is>
          <t>Operations - Financial Transactions and Processing</t>
        </is>
      </c>
      <c r="M30" s="40" t="n">
        <v>46290</v>
      </c>
      <c r="N30" s="32" t="inlineStr">
        <is>
          <t>Open</t>
        </is>
      </c>
      <c r="O30" s="12" t="inlineStr"/>
      <c r="P30" s="40" t="n"/>
      <c r="Q30" s="12" t="inlineStr"/>
    </row>
    <row r="31" ht="67" customHeight="1">
      <c r="A31" s="38" t="inlineStr">
        <is>
          <t>DCR-027</t>
        </is>
      </c>
      <c r="B31" s="12" t="inlineStr">
        <is>
          <t>BRD-1 NB; BRD-2 OPS</t>
        </is>
      </c>
      <c r="C31" s="12" t="inlineStr">
        <is>
          <t>Drop 1</t>
        </is>
      </c>
      <c r="D31" s="12" t="inlineStr">
        <is>
          <t>BRD-1 BRNB.067 (p.114), BRNB.076 (p.118), BRNB.114; BRD-2 CSHID.008 (p.30), ADJID.001 / 003 / 011, MKTID.011</t>
        </is>
      </c>
      <c r="E31" s="12" t="inlineStr">
        <is>
          <t>Conflict between BRDs</t>
        </is>
      </c>
      <c r="F31" s="12" t="inlineStr">
        <is>
          <t>The same functions are specified twice: CLPC payment matching before placement (BRNB.067 / 068) and CLPC payment upload (CSHID.008); endorsements and cancellation in booking (BRNB.076 / 081 / 094) and in Adjustment (ADJID.001 / 003 / 011); DP tagging (BRNB.114, MKTID.011).</t>
        </is>
      </c>
      <c r="G31" s="12" t="inlineStr">
        <is>
          <t>Business: two owners for one process. Build: risk of two payment intakes and two endorsement paths. Test: duplicated cases.</t>
        </is>
      </c>
      <c r="H31" s="39" t="inlineStr">
        <is>
          <t>High</t>
        </is>
      </c>
      <c r="I31" s="12" t="inlineStr">
        <is>
          <t>Placement; Booking; Cashiering; Adjustment</t>
        </is>
      </c>
      <c r="J31" s="12" t="inlineStr">
        <is>
          <t>Cashiering is the single payment intake and placement reads its result; Adjustment owns endorsements and cancellations after booking; Marketing raises the request.</t>
        </is>
      </c>
      <c r="K31" s="12" t="inlineStr">
        <is>
          <t>Confirm Cashiering as the single payment intake, and who raises (Marketing) and processes (Adjustment) endorsements.</t>
        </is>
      </c>
      <c r="L31" s="12" t="inlineStr">
        <is>
          <t>BIBS Product Owner, with the owners of the BRDs involved</t>
        </is>
      </c>
      <c r="M31" s="40" t="n">
        <v>46290</v>
      </c>
      <c r="N31" s="32" t="inlineStr">
        <is>
          <t>Open</t>
        </is>
      </c>
      <c r="O31" s="12" t="inlineStr"/>
      <c r="P31" s="40" t="n"/>
      <c r="Q31" s="12" t="inlineStr">
        <is>
          <t>OQ12, OQ32, OQ38</t>
        </is>
      </c>
    </row>
    <row r="32" ht="54.4" customHeight="1">
      <c r="A32" s="38" t="inlineStr">
        <is>
          <t>DCR-028</t>
        </is>
      </c>
      <c r="B32" s="12" t="inlineStr">
        <is>
          <t>BRD-2 OPS</t>
        </is>
      </c>
      <c r="C32" s="12" t="inlineStr">
        <is>
          <t>Drop 1</t>
        </is>
      </c>
      <c r="D32" s="12" t="inlineStr">
        <is>
          <t>CSHID.026 (p.44); CSHID.027 / DBMID.001</t>
        </is>
      </c>
      <c r="E32" s="12" t="inlineStr">
        <is>
          <t>Gap / missing detail</t>
        </is>
      </c>
      <c r="F32" s="12" t="inlineStr">
        <is>
          <t>For 2307 cash payments CSHID.026 says only "Premium is reversed" and the remittance is processed, with no accounting entries. CSHID.027 / DBMID.001 give Dr PR2307 / Cr PR and Dr DTIP / Cr PR2307.</t>
        </is>
      </c>
      <c r="G32" s="12" t="inlineStr">
        <is>
          <t>Business: GL entries for CWT unclear. Build: posting rules. Test: GL expected entries.</t>
        </is>
      </c>
      <c r="H32" s="39" t="inlineStr">
        <is>
          <t>High</t>
        </is>
      </c>
      <c r="I32" s="12" t="inlineStr">
        <is>
          <t>Cashiering; Remittance; FRBS / GL</t>
        </is>
      </c>
      <c r="J32" s="12" t="inlineStr">
        <is>
          <t>Post Dr PR2307 / Cr PR on application and Dr DTIP / Cr PR2307 when the 2307 batch is released with the remittance.</t>
        </is>
      </c>
      <c r="K32" s="12" t="inlineStr">
        <is>
          <t>Please give the entries for CSHID.026 and the moment Dr DTIP / Cr PR2307 is posted.</t>
        </is>
      </c>
      <c r="L32" s="12" t="inlineStr">
        <is>
          <t>Operations - Financial Transactions and Processing</t>
        </is>
      </c>
      <c r="M32" s="40" t="n">
        <v>46290</v>
      </c>
      <c r="N32" s="32" t="inlineStr">
        <is>
          <t>Open</t>
        </is>
      </c>
      <c r="O32" s="12" t="inlineStr"/>
      <c r="P32" s="40" t="n"/>
      <c r="Q32" s="12" t="inlineStr">
        <is>
          <t>OQ10, OQ16, AQ16</t>
        </is>
      </c>
    </row>
    <row r="33" ht="41.8" customHeight="1">
      <c r="A33" s="38" t="inlineStr">
        <is>
          <t>DCR-029</t>
        </is>
      </c>
      <c r="B33" s="12" t="inlineStr">
        <is>
          <t>BRD-3 PM</t>
        </is>
      </c>
      <c r="C33" s="12" t="inlineStr">
        <is>
          <t>Drop 0</t>
        </is>
      </c>
      <c r="D33" s="12" t="inlineStr">
        <is>
          <t>BRPM.022 / BRPM.024 (p.31); earlier version BRQID.022 / 024 (p.36-61)</t>
        </is>
      </c>
      <c r="E33" s="12" t="inlineStr">
        <is>
          <t>Data / numbering issue</t>
        </is>
      </c>
      <c r="F33" s="12" t="inlineStr">
        <is>
          <t>BRPM.023 does not exist: BRPM.022 is followed by BRPM.024. The earlier signed version also skips BRQID.023.</t>
        </is>
      </c>
      <c r="G33" s="12" t="inlineStr">
        <is>
          <t>Traceability: a requirement may be missing.</t>
        </is>
      </c>
      <c r="H33" s="39" t="inlineStr">
        <is>
          <t>Low</t>
        </is>
      </c>
      <c r="I33" s="12" t="inlineStr">
        <is>
          <t>Product Maintenance</t>
        </is>
      </c>
      <c r="J33" s="12" t="inlineStr">
        <is>
          <t>Treat the gap as numbering only.</t>
        </is>
      </c>
      <c r="K33" s="12" t="inlineStr">
        <is>
          <t>Confirm that no requirement is missing at BRPM.023.</t>
        </is>
      </c>
      <c r="L33" s="12" t="inlineStr">
        <is>
          <t>Marketing Business Services (MBS) and TSU</t>
        </is>
      </c>
      <c r="M33" s="40" t="n">
        <v>46290</v>
      </c>
      <c r="N33" s="32" t="inlineStr">
        <is>
          <t>Open</t>
        </is>
      </c>
      <c r="O33" s="12" t="inlineStr"/>
      <c r="P33" s="40" t="n"/>
      <c r="Q33" s="12" t="inlineStr">
        <is>
          <t>PQ20</t>
        </is>
      </c>
    </row>
    <row r="34" ht="79.59999999999999" customHeight="1">
      <c r="A34" s="38" t="inlineStr">
        <is>
          <t>DCR-030</t>
        </is>
      </c>
      <c r="B34" s="12" t="inlineStr">
        <is>
          <t>BRD-3 PM</t>
        </is>
      </c>
      <c r="C34" s="12" t="inlineStr">
        <is>
          <t>Drop 0</t>
        </is>
      </c>
      <c r="D34" s="12" t="inlineStr">
        <is>
          <t>Earlier signed version BRQID.008 (p.36-61); final BRPM.007 (p.17)</t>
        </is>
      </c>
      <c r="E34" s="12" t="inlineStr">
        <is>
          <t>Gap / missing detail</t>
        </is>
      </c>
      <c r="F34" s="12" t="inlineStr">
        <is>
          <t>The pack holds an earlier signed version (pp.36-61). Its BRQID.008 required documented client negotiation before a new rate scheme applies to a renewal already advised. The final version drops it without a revision-log entry and keeps only "old packages locked for new business but accessible for renewals".</t>
        </is>
      </c>
      <c r="G34" s="12" t="inlineStr">
        <is>
          <t>Business: a renewal could be repriced after the RA without client evidence. Build: renewal acceptance evidence.</t>
        </is>
      </c>
      <c r="H34" s="39" t="inlineStr">
        <is>
          <t>Medium</t>
        </is>
      </c>
      <c r="I34" s="12" t="inlineStr">
        <is>
          <t>Product Maintenance; Renewal</t>
        </is>
      </c>
      <c r="J34" s="12" t="inlineStr">
        <is>
          <t>BRRN.038 AC 3 (acceptance evidence when a renewal has a financial impact) covers the dropped rule; no separate Product Maintenance control.</t>
        </is>
      </c>
      <c r="K34" s="12" t="inlineStr">
        <is>
          <t>Confirm that BRQID.008 was dropped on purpose and that BRRN.038 now governs.</t>
        </is>
      </c>
      <c r="L34" s="12" t="inlineStr">
        <is>
          <t>Marketing Business Services (MBS) and TSU</t>
        </is>
      </c>
      <c r="M34" s="40" t="n">
        <v>46290</v>
      </c>
      <c r="N34" s="32" t="inlineStr">
        <is>
          <t>Open</t>
        </is>
      </c>
      <c r="O34" s="12" t="inlineStr"/>
      <c r="P34" s="40" t="n"/>
      <c r="Q34" s="12" t="inlineStr">
        <is>
          <t>PQ10</t>
        </is>
      </c>
    </row>
    <row r="35" ht="92.2" customHeight="1">
      <c r="A35" s="38" t="inlineStr">
        <is>
          <t>DCR-031</t>
        </is>
      </c>
      <c r="B35" s="12" t="inlineStr">
        <is>
          <t>BRD-3 PM</t>
        </is>
      </c>
      <c r="C35" s="12" t="inlineStr">
        <is>
          <t>Drop 0</t>
        </is>
      </c>
      <c r="D35" s="12" t="inlineStr">
        <is>
          <t>Addendum p.2, p.3, p.4, p.8; main BRD approval p.34, p.59</t>
        </is>
      </c>
      <c r="E35" s="12" t="inlineStr">
        <is>
          <t>Document quality</t>
        </is>
      </c>
      <c r="F35" s="12" t="inlineStr">
        <is>
          <t>Copied headings: the addendum is titled "Business Requirements for New Business" (p.3) and "Table of New Business Requirements" (p.4); its approval says "New Business Fire and Motor" (p.8); the main BRD approval says "for the OPERATIONS request" (p.34, p.59). Revision log: "Added BRID PMADD07 and PMADD07" (p.2); preparer date "11/06/205" (p.34).</t>
        </is>
      </c>
      <c r="G35" s="12" t="inlineStr">
        <is>
          <t>Approval record: the signatures refer to another BRD title.</t>
        </is>
      </c>
      <c r="H35" s="39" t="inlineStr">
        <is>
          <t>Low</t>
        </is>
      </c>
      <c r="I35" s="12" t="inlineStr">
        <is>
          <t>-</t>
        </is>
      </c>
      <c r="J35" s="12" t="inlineStr">
        <is>
          <t>None for the build.</t>
        </is>
      </c>
      <c r="K35" s="12" t="inlineStr">
        <is>
          <t>Please confirm the approvals apply to Product Maintenance, and correct the headings in the next revision.</t>
        </is>
      </c>
      <c r="L35" s="12" t="inlineStr">
        <is>
          <t>Marketing Business Services (MBS) and TSU</t>
        </is>
      </c>
      <c r="M35" s="40" t="n">
        <v>46290</v>
      </c>
      <c r="N35" s="32" t="inlineStr">
        <is>
          <t>Open</t>
        </is>
      </c>
      <c r="O35" s="12" t="inlineStr"/>
      <c r="P35" s="40" t="n"/>
      <c r="Q35" s="12" t="inlineStr"/>
    </row>
    <row r="36" ht="67" customHeight="1">
      <c r="A36" s="38" t="inlineStr">
        <is>
          <t>DCR-032</t>
        </is>
      </c>
      <c r="B36" s="12" t="inlineStr">
        <is>
          <t>BRD-3 PM</t>
        </is>
      </c>
      <c r="C36" s="12" t="inlineStr">
        <is>
          <t>Drop 0</t>
        </is>
      </c>
      <c r="D36" s="12" t="inlineStr">
        <is>
          <t>Addendum table, column "Source BRD ID" (p.4-7)</t>
        </is>
      </c>
      <c r="E36" s="12" t="inlineStr">
        <is>
          <t>Gap / missing detail</t>
        </is>
      </c>
      <c r="F36" s="12" t="inlineStr">
        <is>
          <t>The "Source BRD ID" column is empty for every PMADD row, so the addendum does not say which main-BRD rows it refines. Read against the main BRD: PMADD06 details BRPM.015, PMADD04 details BRPM.010 / 013, PMADD03 details BRPM.014, PMADD05 details BRPM.002.</t>
        </is>
      </c>
      <c r="G36" s="12" t="inlineStr">
        <is>
          <t>Test: acceptance may be run against the superseded wording.</t>
        </is>
      </c>
      <c r="H36" s="39" t="inlineStr">
        <is>
          <t>Medium</t>
        </is>
      </c>
      <c r="I36" s="12" t="inlineStr">
        <is>
          <t>Product Maintenance</t>
        </is>
      </c>
      <c r="J36" s="12" t="inlineStr">
        <is>
          <t>Use the mapping above.</t>
        </is>
      </c>
      <c r="K36" s="12" t="inlineStr">
        <is>
          <t>Please confirm the PMADD to BRPM mapping.</t>
        </is>
      </c>
      <c r="L36" s="12" t="inlineStr">
        <is>
          <t>Marketing Business Services (MBS) and TSU</t>
        </is>
      </c>
      <c r="M36" s="40" t="n">
        <v>46290</v>
      </c>
      <c r="N36" s="32" t="inlineStr">
        <is>
          <t>Open</t>
        </is>
      </c>
      <c r="O36" s="12" t="inlineStr"/>
      <c r="P36" s="40" t="n"/>
      <c r="Q36" s="12" t="inlineStr"/>
    </row>
    <row r="37" ht="41.8" customHeight="1">
      <c r="A37" s="38" t="inlineStr">
        <is>
          <t>DCR-033</t>
        </is>
      </c>
      <c r="B37" s="12" t="inlineStr">
        <is>
          <t>BRD-3 PM</t>
        </is>
      </c>
      <c r="C37" s="12" t="inlineStr">
        <is>
          <t>Drop 0</t>
        </is>
      </c>
      <c r="D37" s="12" t="inlineStr">
        <is>
          <t>BRPM.003 (p.16); BRPM.013 (p.23)</t>
        </is>
      </c>
      <c r="E37" s="12" t="inlineStr">
        <is>
          <t>Data / numbering issue</t>
        </is>
      </c>
      <c r="F37" s="12" t="inlineStr">
        <is>
          <t>BRPM.003 has no priority level. BRPM.013 names the keying of insurer terms, but its acceptance criteria describe comparative tables and a monitoring sheet.</t>
        </is>
      </c>
      <c r="G37" s="12" t="inlineStr">
        <is>
          <t>Test: BRPM.013 criteria do not test the requirement.</t>
        </is>
      </c>
      <c r="H37" s="39" t="inlineStr">
        <is>
          <t>Low</t>
        </is>
      </c>
      <c r="I37" s="12" t="inlineStr">
        <is>
          <t>Product Maintenance</t>
        </is>
      </c>
      <c r="J37" s="12" t="inlineStr">
        <is>
          <t>Treat BRPM.003 as Must have; test BRPM.013 on the capture of insurer terms.</t>
        </is>
      </c>
      <c r="K37" s="12" t="inlineStr">
        <is>
          <t>Confirm the priority of BRPM.003 and the acceptance criteria of BRPM.013.</t>
        </is>
      </c>
      <c r="L37" s="12" t="inlineStr">
        <is>
          <t>Marketing Business Services (MBS) and TSU</t>
        </is>
      </c>
      <c r="M37" s="40" t="n">
        <v>46290</v>
      </c>
      <c r="N37" s="32" t="inlineStr">
        <is>
          <t>Open</t>
        </is>
      </c>
      <c r="O37" s="12" t="inlineStr"/>
      <c r="P37" s="40" t="n"/>
      <c r="Q37" s="12" t="inlineStr">
        <is>
          <t>PQ06</t>
        </is>
      </c>
    </row>
    <row r="38" ht="54.4" customHeight="1">
      <c r="A38" s="38" t="inlineStr">
        <is>
          <t>DCR-034</t>
        </is>
      </c>
      <c r="B38" s="12" t="inlineStr">
        <is>
          <t>BRD-3 PM; BRD-1 NB</t>
        </is>
      </c>
      <c r="C38" s="12" t="inlineStr">
        <is>
          <t>Drop 0</t>
        </is>
      </c>
      <c r="D38" s="12" t="inlineStr">
        <is>
          <t>BRD-3 BRPM.018 (p.28); BRD-1 BRNB.011</t>
        </is>
      </c>
      <c r="E38" s="12" t="inlineStr">
        <is>
          <t>Contradiction within BRD</t>
        </is>
      </c>
      <c r="F38" s="12" t="inlineStr">
        <is>
          <t>BRPM.018 is titled "Placement Update Reports" but its result speaks of "Package Status Update Reports" of package creation. BRD-1 already has a Placement Update Report (BRNB.011).</t>
        </is>
      </c>
      <c r="G38" s="12" t="inlineStr">
        <is>
          <t>Build: two reports with one name. Test: wrong report tested.</t>
        </is>
      </c>
      <c r="H38" s="39" t="inlineStr">
        <is>
          <t>Medium</t>
        </is>
      </c>
      <c r="I38" s="12" t="inlineStr">
        <is>
          <t>Product Maintenance; Reports</t>
        </is>
      </c>
      <c r="J38" s="12" t="inlineStr">
        <is>
          <t>Name it "Package Status Update Report", separate from the BRD-1 Placement Update Report.</t>
        </is>
      </c>
      <c r="K38" s="12" t="inlineStr">
        <is>
          <t>Confirm BRPM.018 is a package status report and give its columns.</t>
        </is>
      </c>
      <c r="L38" s="12" t="inlineStr">
        <is>
          <t>Marketing Business Services (MBS) and TSU</t>
        </is>
      </c>
      <c r="M38" s="40" t="n">
        <v>46290</v>
      </c>
      <c r="N38" s="32" t="inlineStr">
        <is>
          <t>Open</t>
        </is>
      </c>
      <c r="O38" s="12" t="inlineStr"/>
      <c r="P38" s="40" t="n"/>
      <c r="Q38" s="12" t="inlineStr">
        <is>
          <t>PQ15</t>
        </is>
      </c>
    </row>
    <row r="39" ht="54.4" customHeight="1">
      <c r="A39" s="38" t="inlineStr">
        <is>
          <t>DCR-035</t>
        </is>
      </c>
      <c r="B39" s="12" t="inlineStr">
        <is>
          <t>BRD-3 PM</t>
        </is>
      </c>
      <c r="C39" s="12" t="inlineStr">
        <is>
          <t>Drop 0</t>
        </is>
      </c>
      <c r="D39" s="12" t="inlineStr">
        <is>
          <t>Addendum footnote 2 (p.4); approval p.8; earlier version p.49</t>
        </is>
      </c>
      <c r="E39" s="12" t="inlineStr">
        <is>
          <t>Ambiguity</t>
        </is>
      </c>
      <c r="F39" s="12" t="inlineStr">
        <is>
          <t>Persona "User": "User could be but not limited to Marketing AO, TSU, Processing. User roles and authorization will be further defined in succeeding documentations." MBS and ManCom are not defined in the final version.</t>
        </is>
      </c>
      <c r="G39" s="12" t="inlineStr">
        <is>
          <t>Build: role-to-action matrix (PMADD05) has no agreed content. Test: access tests.</t>
        </is>
      </c>
      <c r="H39" s="39" t="inlineStr">
        <is>
          <t>Medium</t>
        </is>
      </c>
      <c r="I39" s="12" t="inlineStr">
        <is>
          <t>Product Maintenance; User Access</t>
        </is>
      </c>
      <c r="J39" s="12" t="inlineStr">
        <is>
          <t>Seed roles from the design persona list; BDOI confirms the matrix.</t>
        </is>
      </c>
      <c r="K39" s="12" t="inlineStr">
        <is>
          <t>Please provide the Product Maintenance role-to-action matrix and the ManCom membership and decision rule.</t>
        </is>
      </c>
      <c r="L39" s="12" t="inlineStr">
        <is>
          <t>Marketing Business Services (MBS) and TSU</t>
        </is>
      </c>
      <c r="M39" s="40" t="n">
        <v>46290</v>
      </c>
      <c r="N39" s="32" t="inlineStr">
        <is>
          <t>Open</t>
        </is>
      </c>
      <c r="O39" s="12" t="inlineStr"/>
      <c r="P39" s="40" t="n"/>
      <c r="Q39" s="12" t="inlineStr">
        <is>
          <t>PQ07, PQ17, OQ48</t>
        </is>
      </c>
    </row>
    <row r="40" ht="54.4" customHeight="1">
      <c r="A40" s="38" t="inlineStr">
        <is>
          <t>DCR-036</t>
        </is>
      </c>
      <c r="B40" s="12" t="inlineStr">
        <is>
          <t>BRD-3 PM</t>
        </is>
      </c>
      <c r="C40" s="12" t="inlineStr">
        <is>
          <t>Drop 0</t>
        </is>
      </c>
      <c r="D40" s="12" t="inlineStr">
        <is>
          <t>Revision log (p.11); PMADD01 (p.4)</t>
        </is>
      </c>
      <c r="E40" s="12" t="inlineStr">
        <is>
          <t>Gap / missing detail</t>
        </is>
      </c>
      <c r="F40" s="12" t="inlineStr">
        <is>
          <t>The revision log of 27-Oct-2025 says "Exclude Non-Package and include this as part of an addendum". The April 2026 addendum does not add it; PMADD01 mentions "non-package items if/when added".</t>
        </is>
      </c>
      <c r="G40" s="12" t="inlineStr">
        <is>
          <t>Build: scope of product maintenance for non-package products is undefined.</t>
        </is>
      </c>
      <c r="H40" s="39" t="inlineStr">
        <is>
          <t>Medium</t>
        </is>
      </c>
      <c r="I40" s="12" t="inlineStr">
        <is>
          <t>Product Maintenance</t>
        </is>
      </c>
      <c r="J40" s="12" t="inlineStr">
        <is>
          <t>Non-package product maintenance out of this phase; non-package placement stays in New Business.</t>
        </is>
      </c>
      <c r="K40" s="12" t="inlineStr">
        <is>
          <t>Confirm that maintenance of non-package products is out of scope for this phase.</t>
        </is>
      </c>
      <c r="L40" s="12" t="inlineStr">
        <is>
          <t>Marketing Business Services (MBS) and TSU</t>
        </is>
      </c>
      <c r="M40" s="40" t="n">
        <v>46290</v>
      </c>
      <c r="N40" s="32" t="inlineStr">
        <is>
          <t>Open</t>
        </is>
      </c>
      <c r="O40" s="12" t="inlineStr"/>
      <c r="P40" s="40" t="n"/>
      <c r="Q40" s="12" t="inlineStr">
        <is>
          <t>PQ19</t>
        </is>
      </c>
    </row>
    <row r="41" ht="92.2" customHeight="1">
      <c r="A41" s="38" t="inlineStr">
        <is>
          <t>DCR-037</t>
        </is>
      </c>
      <c r="B41" s="12" t="inlineStr">
        <is>
          <t>BRD-3 PM; BRD-5 ACCT; BRD-2 OPS; BRD-4 CLXN</t>
        </is>
      </c>
      <c r="C41" s="12" t="inlineStr">
        <is>
          <t>Drop 0</t>
        </is>
      </c>
      <c r="D41" s="12" t="inlineStr">
        <is>
          <t>BRD-3 PMADD07 / 08 (p.6-7); BRD-5 DIS 3.29.0-3.29.2 (Workshop addendum p.1-15); BRD-2 CMRID.003-006; BRD-4 BRCLXN.061-062 (draft)</t>
        </is>
      </c>
      <c r="E41" s="12" t="inlineStr">
        <is>
          <t>Conflict between BRDs</t>
        </is>
      </c>
      <c r="F41" s="12" t="inlineStr">
        <is>
          <t>Incentives are specified in four BRDs: criteria on the products matrix "(i.e. CPC2)" (BRD-3, no definition); CPC2 as package Fire / Motor incentive computed per remittance, and early incentive with service invoice and 2% withholding (BRD-5); No Touch, Top Up and Motor Mania schemes (BRD-2); incentive campaigns (BRD-4 draft rows). No BRD gives rates, tiers or targets.</t>
        </is>
      </c>
      <c r="G41" s="12" t="inlineStr">
        <is>
          <t>Business: incentive income and pass-on to branches. Build: one incentive model across modules. Test: no expected values.</t>
        </is>
      </c>
      <c r="H41" s="39" t="inlineStr">
        <is>
          <t>High</t>
        </is>
      </c>
      <c r="I41" s="12" t="inlineStr">
        <is>
          <t>Product Maintenance; Remittance; Commission; Collections; FRBS / GL</t>
        </is>
      </c>
      <c r="J41" s="12" t="inlineStr">
        <is>
          <t>Criteria kept once in Product Maintenance; CPC2 and early incentive computed in Remittance; schemes in Commission reference the criteria.</t>
        </is>
      </c>
      <c r="K41" s="12" t="inlineStr">
        <is>
          <t>Please list the incentive programmes (CPC2, early remittance, No Touch, Top Up, Motor Mania, campaigns) with rates, base, period, payer and whether each is billed by service invoice.</t>
        </is>
      </c>
      <c r="L41" s="12" t="inlineStr">
        <is>
          <t>BIBS Product Owner, with the owners of the BRDs involved</t>
        </is>
      </c>
      <c r="M41" s="40" t="n">
        <v>46290</v>
      </c>
      <c r="N41" s="32" t="inlineStr">
        <is>
          <t>Open</t>
        </is>
      </c>
      <c r="O41" s="12" t="inlineStr"/>
      <c r="P41" s="40" t="n"/>
      <c r="Q41" s="12" t="inlineStr">
        <is>
          <t>PQ04, OQ39, Q33, AQ24, CQ24, SP-SQ14</t>
        </is>
      </c>
    </row>
    <row r="42" ht="41.8" customHeight="1">
      <c r="A42" s="38" t="inlineStr">
        <is>
          <t>DCR-038</t>
        </is>
      </c>
      <c r="B42" s="12" t="inlineStr">
        <is>
          <t>BRD-3 PM; BRD-6 RN</t>
        </is>
      </c>
      <c r="C42" s="12" t="inlineStr">
        <is>
          <t>Drop 0</t>
        </is>
      </c>
      <c r="D42" s="12" t="inlineStr">
        <is>
          <t>BRD-3 BRPM.017, key capabilities 11-13 (p.14); BRD-6 renewal scope</t>
        </is>
      </c>
      <c r="E42" s="12" t="inlineStr">
        <is>
          <t>Ambiguity</t>
        </is>
      </c>
      <c r="F42" s="12" t="inlineStr">
        <is>
          <t>BRPM.017 "package renewal" is the renewal of the package (insurer agreement); BRD-6 is the renewal of client policies. Both use "renewal".</t>
        </is>
      </c>
      <c r="G42" s="12" t="inlineStr">
        <is>
          <t>Test: scenarios may be mixed.</t>
        </is>
      </c>
      <c r="H42" s="39" t="inlineStr">
        <is>
          <t>Low</t>
        </is>
      </c>
      <c r="I42" s="12" t="inlineStr">
        <is>
          <t>Product Maintenance; Renewal</t>
        </is>
      </c>
      <c r="J42" s="12" t="inlineStr">
        <is>
          <t>Keep them apart: "package renewal" in Product Maintenance, "policy renewal" in Renewal.</t>
        </is>
      </c>
      <c r="K42" s="12" t="inlineStr">
        <is>
          <t>Confirm the reading.</t>
        </is>
      </c>
      <c r="L42" s="12" t="inlineStr">
        <is>
          <t>BIBS Product Owner, with the owners of the BRDs involved</t>
        </is>
      </c>
      <c r="M42" s="40" t="n">
        <v>46290</v>
      </c>
      <c r="N42" s="32" t="inlineStr">
        <is>
          <t>Open</t>
        </is>
      </c>
      <c r="O42" s="12" t="inlineStr"/>
      <c r="P42" s="40" t="n"/>
      <c r="Q42" s="12" t="inlineStr">
        <is>
          <t>PQ11</t>
        </is>
      </c>
    </row>
    <row r="43" ht="67" customHeight="1">
      <c r="A43" s="38" t="inlineStr">
        <is>
          <t>DCR-039</t>
        </is>
      </c>
      <c r="B43" s="12" t="inlineStr">
        <is>
          <t>BRD-4 CLXN</t>
        </is>
      </c>
      <c r="C43" s="12" t="inlineStr">
        <is>
          <t>Drop 1</t>
        </is>
      </c>
      <c r="D43" s="12" t="inlineStr">
        <is>
          <t>Draft addendum (p.1-12, "x of 14"); signed addendum (p.13-22)</t>
        </is>
      </c>
      <c r="E43" s="12" t="inlineStr">
        <is>
          <t>Document quality</t>
        </is>
      </c>
      <c r="F43" s="12" t="inlineStr">
        <is>
          <t>The pack holds two versions of the workshop addendum. The draft ("x of 14", pages 13-14 not in the pack) has BRCLXN.049-064. The signed version stops at BRCLXN.060. BRCLXN.061-064 (commission, incentive campaigns, mixed payments) are therefore not approved.</t>
        </is>
      </c>
      <c r="G43" s="12" t="inlineStr">
        <is>
          <t>Business: scope of four requirements unclear. Build: rows designed as Draft. Test: no approved criteria.</t>
        </is>
      </c>
      <c r="H43" s="39" t="inlineStr">
        <is>
          <t>High</t>
        </is>
      </c>
      <c r="I43" s="12" t="inlineStr">
        <is>
          <t>Collections; Commission</t>
        </is>
      </c>
      <c r="J43" s="12" t="inlineStr">
        <is>
          <t>Build BRCLXN.061-064 only after BDOI confirms them.</t>
        </is>
      </c>
      <c r="K43" s="12" t="inlineStr">
        <is>
          <t>Are BRCLXN.061-064 in scope, and who owns them (Collections or Commission)? Please provide the signed version if it exists.</t>
        </is>
      </c>
      <c r="L43" s="12" t="inlineStr">
        <is>
          <t>Operations - Collections (Head of BDOI Operations)</t>
        </is>
      </c>
      <c r="M43" s="40" t="n">
        <v>46290</v>
      </c>
      <c r="N43" s="32" t="inlineStr">
        <is>
          <t>Open</t>
        </is>
      </c>
      <c r="O43" s="12" t="inlineStr"/>
      <c r="P43" s="40" t="n"/>
      <c r="Q43" s="12" t="inlineStr">
        <is>
          <t>CQ01, CQ19, CQ24</t>
        </is>
      </c>
    </row>
    <row r="44" ht="41.8" customHeight="1">
      <c r="A44" s="38" t="inlineStr">
        <is>
          <t>DCR-040</t>
        </is>
      </c>
      <c r="B44" s="12" t="inlineStr">
        <is>
          <t>BRD-4 CLXN</t>
        </is>
      </c>
      <c r="C44" s="12" t="inlineStr">
        <is>
          <t>Drop 2</t>
        </is>
      </c>
      <c r="D44" s="12" t="inlineStr">
        <is>
          <t>Renumbering addendum (p.24-25)</t>
        </is>
      </c>
      <c r="E44" s="12" t="inlineStr">
        <is>
          <t>Document quality</t>
        </is>
      </c>
      <c r="F44" s="12" t="inlineStr">
        <is>
          <t>The Collections renumbering addendum has the page header "CLAIMS" and the heading "Addendum1: Claims".</t>
        </is>
      </c>
      <c r="G44" s="12" t="inlineStr">
        <is>
          <t>Approval record only.</t>
        </is>
      </c>
      <c r="H44" s="39" t="inlineStr">
        <is>
          <t>Low</t>
        </is>
      </c>
      <c r="I44" s="12" t="inlineStr">
        <is>
          <t>-</t>
        </is>
      </c>
      <c r="J44" s="12" t="inlineStr">
        <is>
          <t>None.</t>
        </is>
      </c>
      <c r="K44" s="12" t="inlineStr">
        <is>
          <t>None; correct in the next revision.</t>
        </is>
      </c>
      <c r="L44" s="12" t="inlineStr">
        <is>
          <t>Operations - Collections (Head of BDOI Operations)</t>
        </is>
      </c>
      <c r="M44" s="40" t="n">
        <v>46290</v>
      </c>
      <c r="N44" s="32" t="inlineStr">
        <is>
          <t>Open</t>
        </is>
      </c>
      <c r="O44" s="12" t="inlineStr"/>
      <c r="P44" s="40" t="n"/>
      <c r="Q44" s="12" t="inlineStr"/>
    </row>
    <row r="45" ht="41.8" customHeight="1">
      <c r="A45" s="38" t="inlineStr">
        <is>
          <t>DCR-041</t>
        </is>
      </c>
      <c r="B45" s="12" t="inlineStr">
        <is>
          <t>BRD-4 CLXN</t>
        </is>
      </c>
      <c r="C45" s="12" t="inlineStr">
        <is>
          <t>Drop 2</t>
        </is>
      </c>
      <c r="D45" s="12" t="inlineStr">
        <is>
          <t>BRCLXN.001 (p.26); FRID-001 / RQID-001 (p.47)</t>
        </is>
      </c>
      <c r="E45" s="12" t="inlineStr">
        <is>
          <t>Contradiction within BRD</t>
        </is>
      </c>
      <c r="F45" s="12" t="inlineStr">
        <is>
          <t>FRID-001: outstanding premium receivable "at the Cover Number level". BRCLXN.001 (renumbering): "at the Invoice Number level". The change has no explanation.</t>
        </is>
      </c>
      <c r="G45" s="12" t="inlineStr">
        <is>
          <t>Build: grain of the collection list and the threshold rule (BRCLXN.003). Test: list totals.</t>
        </is>
      </c>
      <c r="H45" s="39" t="inlineStr">
        <is>
          <t>High</t>
        </is>
      </c>
      <c r="I45" s="12" t="inlineStr">
        <is>
          <t>Collections</t>
        </is>
      </c>
      <c r="J45" s="12" t="inlineStr">
        <is>
          <t>Invoice level (the governing BRCLXN wording), with totals per account and client.</t>
        </is>
      </c>
      <c r="K45" s="12" t="inlineStr">
        <is>
          <t>Confirm the invoice level, and whether the threshold applies per invoice, per account (ARN) or per client.</t>
        </is>
      </c>
      <c r="L45" s="12" t="inlineStr">
        <is>
          <t>Operations - Collections (Head of BDOI Operations)</t>
        </is>
      </c>
      <c r="M45" s="40" t="n">
        <v>46290</v>
      </c>
      <c r="N45" s="32" t="inlineStr">
        <is>
          <t>Open</t>
        </is>
      </c>
      <c r="O45" s="12" t="inlineStr"/>
      <c r="P45" s="40" t="n"/>
      <c r="Q45" s="12" t="inlineStr">
        <is>
          <t>CQ02, CQ03</t>
        </is>
      </c>
    </row>
    <row r="46" ht="41.8" customHeight="1">
      <c r="A46" s="38" t="inlineStr">
        <is>
          <t>DCR-042</t>
        </is>
      </c>
      <c r="B46" s="12" t="inlineStr">
        <is>
          <t>BRD-4 CLXN</t>
        </is>
      </c>
      <c r="C46" s="12" t="inlineStr">
        <is>
          <t>Drop 2</t>
        </is>
      </c>
      <c r="D46" s="12" t="inlineStr">
        <is>
          <t>BRCLXN.036 (p.31); FRID-036 (p.49); FRID-039 / 040 (p.49)</t>
        </is>
      </c>
      <c r="E46" s="12" t="inlineStr">
        <is>
          <t>Data / numbering issue</t>
        </is>
      </c>
      <c r="F46" s="12" t="inlineStr">
        <is>
          <t>BRCLXN.036 adds a field "BOOKER - Should be name of the booker" that FRID-036 does not have. FRID-045-048 have no RQ ID, and RQ IDs jump from RQID-031 to RQID-033.</t>
        </is>
      </c>
      <c r="G46" s="12" t="inlineStr">
        <is>
          <t>Traceability only; the BOOKER field is built.</t>
        </is>
      </c>
      <c r="H46" s="39" t="inlineStr">
        <is>
          <t>Low</t>
        </is>
      </c>
      <c r="I46" s="12" t="inlineStr">
        <is>
          <t>Collections</t>
        </is>
      </c>
      <c r="J46" s="12" t="inlineStr">
        <is>
          <t>Follow the BRCLXN wording.</t>
        </is>
      </c>
      <c r="K46" s="12" t="inlineStr">
        <is>
          <t>None; confirm BOOKER is the user who booked the invoice.</t>
        </is>
      </c>
      <c r="L46" s="12" t="inlineStr">
        <is>
          <t>Operations - Collections (Head of BDOI Operations)</t>
        </is>
      </c>
      <c r="M46" s="40" t="n">
        <v>46290</v>
      </c>
      <c r="N46" s="32" t="inlineStr">
        <is>
          <t>Open</t>
        </is>
      </c>
      <c r="O46" s="12" t="inlineStr"/>
      <c r="P46" s="40" t="n"/>
      <c r="Q46" s="12" t="inlineStr">
        <is>
          <t>CQ11</t>
        </is>
      </c>
    </row>
    <row r="47" ht="79.59999999999999" customHeight="1">
      <c r="A47" s="38" t="inlineStr">
        <is>
          <t>DCR-043</t>
        </is>
      </c>
      <c r="B47" s="12" t="inlineStr">
        <is>
          <t>BRD-4 CLXN</t>
        </is>
      </c>
      <c r="C47" s="12" t="inlineStr">
        <is>
          <t>Drop 2</t>
        </is>
      </c>
      <c r="D47" s="12" t="inlineStr">
        <is>
          <t>Stakeholder functions (p.43-46); handwritten caveat on the CMS approval (p.93); handwritten edit of FRID-015 (p.78)</t>
        </is>
      </c>
      <c r="E47" s="12" t="inlineStr">
        <is>
          <t>Contradiction within BRD</t>
        </is>
      </c>
      <c r="F47" s="12" t="inlineStr">
        <is>
          <t>Stakeholder functions include "Export the disposition list" and "View and export unapplied payment lists". The Head of BDOI Operations wrote on the approval sheet that export and download from the UI "may lead to slowdown &amp; performance issues" and "were not part of the original requirement".</t>
        </is>
      </c>
      <c r="G47" s="12" t="inlineStr">
        <is>
          <t>Build: exports allowed or not. Test: export cases.</t>
        </is>
      </c>
      <c r="H47" s="39" t="inlineStr">
        <is>
          <t>Medium</t>
        </is>
      </c>
      <c r="I47" s="12" t="inlineStr">
        <is>
          <t>Collections; Reports</t>
        </is>
      </c>
      <c r="J47" s="12" t="inlineStr">
        <is>
          <t>Exports run as asynchronous jobs with row limits and a separate export permission.</t>
        </is>
      </c>
      <c r="K47" s="12" t="inlineStr">
        <is>
          <t>May Collections users export lists? If yes, which roles?</t>
        </is>
      </c>
      <c r="L47" s="12" t="inlineStr">
        <is>
          <t>Operations - Collections (Head of BDOI Operations)</t>
        </is>
      </c>
      <c r="M47" s="40" t="n">
        <v>46290</v>
      </c>
      <c r="N47" s="32" t="inlineStr">
        <is>
          <t>Open</t>
        </is>
      </c>
      <c r="O47" s="12" t="inlineStr"/>
      <c r="P47" s="40" t="n"/>
      <c r="Q47" s="12" t="inlineStr">
        <is>
          <t>CQ06</t>
        </is>
      </c>
    </row>
    <row r="48" ht="67" customHeight="1">
      <c r="A48" s="38" t="inlineStr">
        <is>
          <t>DCR-044</t>
        </is>
      </c>
      <c r="B48" s="12" t="inlineStr">
        <is>
          <t>BRD-4 CLXN</t>
        </is>
      </c>
      <c r="C48" s="12" t="inlineStr">
        <is>
          <t>Drop 1</t>
        </is>
      </c>
      <c r="D48" s="12" t="inlineStr">
        <is>
          <t>NFR 3.04 (p.52), NFR 9.02 and 10.07 (p.53)</t>
        </is>
      </c>
      <c r="E48" s="12" t="inlineStr">
        <is>
          <t>Contradiction within BRD</t>
        </is>
      </c>
      <c r="F48" s="12" t="inlineStr">
        <is>
          <t>NFR 9.02: "For internal systems, concurrent open sessions should be allowed". NFR 10.07: "limit the number of concurrent sessions to a single device. An opened session to a different device will prompt a logoff on the previous device session."</t>
        </is>
      </c>
      <c r="G48" s="12" t="inlineStr">
        <is>
          <t>Security: session policy. Build: session registry. Test: multi-device login cases.</t>
        </is>
      </c>
      <c r="H48" s="39" t="inlineStr">
        <is>
          <t>High</t>
        </is>
      </c>
      <c r="I48" s="12" t="inlineStr">
        <is>
          <t>Security (sessions)</t>
        </is>
      </c>
      <c r="J48" s="12" t="inlineStr">
        <is>
          <t>Session log built; the single-device rule is enforced only after BDOI confirms it (parameter, off by default).</t>
        </is>
      </c>
      <c r="K48" s="12" t="inlineStr">
        <is>
          <t>Is one active session per user (a new device logs off the old one) required, and for all BIBS users or Collections only?</t>
        </is>
      </c>
      <c r="L48" s="12" t="inlineStr">
        <is>
          <t>Operations - Collections (Head of BDOI Operations)</t>
        </is>
      </c>
      <c r="M48" s="40" t="n">
        <v>46290</v>
      </c>
      <c r="N48" s="32" t="inlineStr">
        <is>
          <t>Open</t>
        </is>
      </c>
      <c r="O48" s="12" t="inlineStr"/>
      <c r="P48" s="40" t="n"/>
      <c r="Q48" s="12" t="inlineStr">
        <is>
          <t>CQ23, UQ09, XQ11</t>
        </is>
      </c>
    </row>
    <row r="49" ht="54.4" customHeight="1">
      <c r="A49" s="38" t="inlineStr">
        <is>
          <t>DCR-045</t>
        </is>
      </c>
      <c r="B49" s="12" t="inlineStr">
        <is>
          <t>BRD-4 CLXN; BRD-11 UAM</t>
        </is>
      </c>
      <c r="C49" s="12" t="inlineStr">
        <is>
          <t>Drop 0</t>
        </is>
      </c>
      <c r="D49" s="12" t="inlineStr">
        <is>
          <t>BRD-4 NFR 3.04 (p.52); BRD-11 NFR 1.c-d (p.13)</t>
        </is>
      </c>
      <c r="E49" s="12" t="inlineStr">
        <is>
          <t>Conflict between BRDs</t>
        </is>
      </c>
      <c r="F49" s="12" t="inlineStr">
        <is>
          <t>BRD-4: "The system should not allow users to have multiple roles." BRD-11: "More than one user can be assigned to a role"; "User can have more than one role".</t>
        </is>
      </c>
      <c r="G49" s="12" t="inlineStr">
        <is>
          <t>Security: segregation of duties. Build: role assignment rule.</t>
        </is>
      </c>
      <c r="H49" s="39" t="inlineStr">
        <is>
          <t>High</t>
        </is>
      </c>
      <c r="I49" s="12" t="inlineStr">
        <is>
          <t>User Access; Security</t>
        </is>
      </c>
      <c r="J49" s="12" t="inlineStr">
        <is>
          <t>Several roles per user allowed (BRD-11 governs access BIBS-wide); incompatible role pairs can be blocked as a segregation rule.</t>
        </is>
      </c>
      <c r="K49" s="12" t="inlineStr">
        <is>
          <t>Confirm that the single-role rule is dropped, or name the role pairs that one user must not hold together.</t>
        </is>
      </c>
      <c r="L49" s="12" t="inlineStr">
        <is>
          <t>UAM process owner (Product Owner) with ITIO</t>
        </is>
      </c>
      <c r="M49" s="40" t="n">
        <v>46290</v>
      </c>
      <c r="N49" s="32" t="inlineStr">
        <is>
          <t>Answered</t>
        </is>
      </c>
      <c r="O49" s="12" t="inlineStr">
        <is>
          <t>BRD-11 p.13, NFR 1.d: "User can have more than one role."</t>
        </is>
      </c>
      <c r="P49" s="40" t="n"/>
      <c r="Q49" s="12" t="inlineStr">
        <is>
          <t>CQ23, UQ09</t>
        </is>
      </c>
    </row>
    <row r="50" ht="79.59999999999999" customHeight="1">
      <c r="A50" s="38" t="inlineStr">
        <is>
          <t>DCR-046</t>
        </is>
      </c>
      <c r="B50" s="12" t="inlineStr">
        <is>
          <t>BRD-4 CLXN</t>
        </is>
      </c>
      <c r="C50" s="12" t="inlineStr">
        <is>
          <t>Drop 2</t>
        </is>
      </c>
      <c r="D50" s="12" t="inlineStr">
        <is>
          <t>BRCLXN.036 / FRID-036 (p.31, p.49); FRID-041 / 042 (p.32, p.49); report fields (p.59-61)</t>
        </is>
      </c>
      <c r="E50" s="12" t="inlineStr">
        <is>
          <t>BRD vs platform</t>
        </is>
      </c>
      <c r="F50" s="12" t="inlineStr">
        <is>
          <t>The BRD is written for EBIX, QPS and the Automated Payment System: "EBIX INVOICE NUMBER - Should be in this format - I00622656", cover number, QPS reference, BDOI SYS REF, and a daily "For Application To Invoice" file loaded to FS04 "before 6:00 AM". In BIBS, invoices have BIBS numbers and payments are applied in the application.</t>
        </is>
      </c>
      <c r="G50" s="12" t="inlineStr">
        <is>
          <t>Build: validation of invoice numbers during migration. Test: field mapping.</t>
        </is>
      </c>
      <c r="H50" s="39" t="inlineStr">
        <is>
          <t>Medium</t>
        </is>
      </c>
      <c r="I50" s="12" t="inlineStr">
        <is>
          <t>Collections; Cashiering</t>
        </is>
      </c>
      <c r="J50" s="12" t="inlineStr">
        <is>
          <t>Accept BIBS invoice numbers, and legacy EBIX numbers only for migrated items; keep the FS04 file only if a downstream system still reads it.</t>
        </is>
      </c>
      <c r="K50" s="12" t="inlineStr">
        <is>
          <t>After go-live, is the daily application file to FS04 still needed? How should legacy fields (cover no., QPS ref., BDOI SYS REF) map to BIBS?</t>
        </is>
      </c>
      <c r="L50" s="12" t="inlineStr">
        <is>
          <t>Operations - Collections (Head of BDOI Operations)</t>
        </is>
      </c>
      <c r="M50" s="40" t="n">
        <v>46290</v>
      </c>
      <c r="N50" s="32" t="inlineStr">
        <is>
          <t>Open</t>
        </is>
      </c>
      <c r="O50" s="12" t="inlineStr"/>
      <c r="P50" s="40" t="n"/>
      <c r="Q50" s="12" t="inlineStr">
        <is>
          <t>CQ12, CQ13, CQ22</t>
        </is>
      </c>
    </row>
    <row r="51" ht="41.8" customHeight="1">
      <c r="A51" s="38" t="inlineStr">
        <is>
          <t>DCR-047</t>
        </is>
      </c>
      <c r="B51" s="12" t="inlineStr">
        <is>
          <t>BRD-4 CLXN</t>
        </is>
      </c>
      <c r="C51" s="12" t="inlineStr">
        <is>
          <t>Drop 1</t>
        </is>
      </c>
      <c r="D51" s="12" t="inlineStr">
        <is>
          <t>Performance table (p.56-57); table numbers (p.58)</t>
        </is>
      </c>
      <c r="E51" s="12" t="inlineStr">
        <is>
          <t>Document quality</t>
        </is>
      </c>
      <c r="F51" s="12" t="inlineStr">
        <is>
          <t>Typing errors in the NFR tables: "6,0000" weekly volume, "3 minuntes". Tables carry template numbers "15a" and "23b".</t>
        </is>
      </c>
      <c r="G51" s="12" t="inlineStr">
        <is>
          <t>Weekly volume target unclear (6,000 or 60,000).</t>
        </is>
      </c>
      <c r="H51" s="39" t="inlineStr">
        <is>
          <t>Low</t>
        </is>
      </c>
      <c r="I51" s="12" t="inlineStr">
        <is>
          <t>Platform (sizing)</t>
        </is>
      </c>
      <c r="J51" s="12" t="inlineStr">
        <is>
          <t>Read as 6,000 per week.</t>
        </is>
      </c>
      <c r="K51" s="12" t="inlineStr">
        <is>
          <t>Please confirm the weekly report volume.</t>
        </is>
      </c>
      <c r="L51" s="12" t="inlineStr">
        <is>
          <t>Operations - Collections (Head of BDOI Operations)</t>
        </is>
      </c>
      <c r="M51" s="40" t="n">
        <v>46290</v>
      </c>
      <c r="N51" s="32" t="inlineStr">
        <is>
          <t>Open</t>
        </is>
      </c>
      <c r="O51" s="12" t="inlineStr"/>
      <c r="P51" s="40" t="n"/>
      <c r="Q51" s="12" t="inlineStr"/>
    </row>
    <row r="52" ht="54.4" customHeight="1">
      <c r="A52" s="38" t="inlineStr">
        <is>
          <t>DCR-048</t>
        </is>
      </c>
      <c r="B52" s="12" t="inlineStr">
        <is>
          <t>BRD-4 CLXN</t>
        </is>
      </c>
      <c r="C52" s="12" t="inlineStr">
        <is>
          <t>Drop 2</t>
        </is>
      </c>
      <c r="D52" s="12" t="inlineStr">
        <is>
          <t>Signed addendum approval (p.22); CMS BRD sign-off (p.62-65)</t>
        </is>
      </c>
      <c r="E52" s="12" t="inlineStr">
        <is>
          <t>Document quality</t>
        </is>
      </c>
      <c r="F52" s="12" t="inlineStr">
        <is>
          <t>Signed addendum: one Product Owner "for regularization - on leave", Head of Comptrollership "not required", two approvers "with signing". The CMS BRD sign-off approver block is unsigned; approval is by e-mail (p.64-65).</t>
        </is>
      </c>
      <c r="G52" s="12" t="inlineStr">
        <is>
          <t>Governance: approval evidence incomplete for one Product Owner.</t>
        </is>
      </c>
      <c r="H52" s="39" t="inlineStr">
        <is>
          <t>Medium</t>
        </is>
      </c>
      <c r="I52" s="12" t="inlineStr">
        <is>
          <t>-</t>
        </is>
      </c>
      <c r="J52" s="12" t="inlineStr">
        <is>
          <t>None for the build.</t>
        </is>
      </c>
      <c r="K52" s="12" t="inlineStr">
        <is>
          <t>Please complete the regularization signature.</t>
        </is>
      </c>
      <c r="L52" s="12" t="inlineStr">
        <is>
          <t>Operations - Collections (Head of BDOI Operations)</t>
        </is>
      </c>
      <c r="M52" s="40" t="n">
        <v>46290</v>
      </c>
      <c r="N52" s="32" t="inlineStr">
        <is>
          <t>Open</t>
        </is>
      </c>
      <c r="O52" s="12" t="inlineStr"/>
      <c r="P52" s="40" t="n"/>
      <c r="Q52" s="12" t="inlineStr"/>
    </row>
    <row r="53" ht="67" customHeight="1">
      <c r="A53" s="38" t="inlineStr">
        <is>
          <t>DCR-049</t>
        </is>
      </c>
      <c r="B53" s="12" t="inlineStr">
        <is>
          <t>BRD-5 ACCT</t>
        </is>
      </c>
      <c r="C53" s="12" t="inlineStr">
        <is>
          <t>Drop 1</t>
        </is>
      </c>
      <c r="D53" s="12" t="inlineStr">
        <is>
          <t>Workshop addendum (p.1-15, scanned); Addendum 1 approval text (p.38)</t>
        </is>
      </c>
      <c r="E53" s="12" t="inlineStr">
        <is>
          <t>Document quality</t>
        </is>
      </c>
      <c r="F53" s="12" t="inlineStr">
        <is>
          <t>The workshop addendum is titled "Financial Reporting, Disbursement and ACSL" and its purpose says "Business Requirements for New Business"; Addendum 1 approval text refers to "New Business Fire and Motor" (p.38). Page 13 of the scan is upside down.</t>
        </is>
      </c>
      <c r="G53" s="12" t="inlineStr">
        <is>
          <t>Approval record refers to another BRD.</t>
        </is>
      </c>
      <c r="H53" s="39" t="inlineStr">
        <is>
          <t>Low</t>
        </is>
      </c>
      <c r="I53" s="12" t="inlineStr">
        <is>
          <t>-</t>
        </is>
      </c>
      <c r="J53" s="12" t="inlineStr">
        <is>
          <t>None.</t>
        </is>
      </c>
      <c r="K53" s="12" t="inlineStr">
        <is>
          <t>Confirm the approvals apply to the Accounting, Disbursement and ACSL BRD.</t>
        </is>
      </c>
      <c r="L53" s="12" t="inlineStr">
        <is>
          <t>Comptrollership - FRBS, Disbursement and ACSL</t>
        </is>
      </c>
      <c r="M53" s="40" t="n">
        <v>46290</v>
      </c>
      <c r="N53" s="32" t="inlineStr">
        <is>
          <t>Open</t>
        </is>
      </c>
      <c r="O53" s="12" t="inlineStr"/>
      <c r="P53" s="40" t="n"/>
      <c r="Q53" s="12" t="inlineStr"/>
    </row>
    <row r="54" ht="92.2" customHeight="1">
      <c r="A54" s="38" t="inlineStr">
        <is>
          <t>DCR-050</t>
        </is>
      </c>
      <c r="B54" s="12" t="inlineStr">
        <is>
          <t>BRD-5 ACCT</t>
        </is>
      </c>
      <c r="C54" s="12" t="inlineStr">
        <is>
          <t>Drop 1</t>
        </is>
      </c>
      <c r="D54" s="12" t="inlineStr">
        <is>
          <t>FRBS 3.6.0 (p.65-66); DIS 2.17.3 (p.90); DIS 2.24.1 (p.93-94); ACSL 2.5.4 (p.117-118); DIS 3.30.1 (workshop addendum); Addendum 1 (p.33-34)</t>
        </is>
      </c>
      <c r="E54" s="12" t="inlineStr">
        <is>
          <t>Data / numbering issue</t>
        </is>
      </c>
      <c r="F54" s="12" t="inlineStr">
        <is>
          <t>Duplicate IDs: FRBS 3.6.0 (items p and q), DIS 2.17.3 (verify / approve), DIS 2.24.1 (add / tag status), ACSL 2.5.4 (receive request / provide result), DIS 3.30.1 (cost centre / headcount report). Addendum 1 renames some (2.17.4, 2.24.2, 2.5.5); FRBS 3.6.0 and DIS 3.30.1 remain duplicated. Access rows in the Accounting and Disbursement tables are all "BRD 1.1.0-1.1.3".</t>
        </is>
      </c>
      <c r="G54" s="12" t="inlineStr">
        <is>
          <t>Traceability and test references are ambiguous.</t>
        </is>
      </c>
      <c r="H54" s="39" t="inlineStr">
        <is>
          <t>Medium</t>
        </is>
      </c>
      <c r="I54" s="12" t="inlineStr">
        <is>
          <t>FRBS / GL; Disbursement; ACSL</t>
        </is>
      </c>
      <c r="J54" s="12" t="inlineStr">
        <is>
          <t>Baseline uses FRBS 1.1.x / DIS 1.1.x for access rows and DIS 3.30.2 for the second DIS 3.30.1.</t>
        </is>
      </c>
      <c r="K54" s="12" t="inlineStr">
        <is>
          <t>Please confirm the renumbering of the remaining duplicates.</t>
        </is>
      </c>
      <c r="L54" s="12" t="inlineStr">
        <is>
          <t>Comptrollership - FRBS, Disbursement and ACSL</t>
        </is>
      </c>
      <c r="M54" s="40" t="n">
        <v>46290</v>
      </c>
      <c r="N54" s="32" t="inlineStr">
        <is>
          <t>Open</t>
        </is>
      </c>
      <c r="O54" s="12" t="inlineStr"/>
      <c r="P54" s="40" t="n"/>
      <c r="Q54" s="12" t="inlineStr"/>
    </row>
    <row r="55" ht="29.2" customHeight="1">
      <c r="A55" s="38" t="inlineStr">
        <is>
          <t>DCR-051</t>
        </is>
      </c>
      <c r="B55" s="12" t="inlineStr">
        <is>
          <t>BRD-5 ACCT</t>
        </is>
      </c>
      <c r="C55" s="12" t="inlineStr">
        <is>
          <t>Drop 1</t>
        </is>
      </c>
      <c r="D55" s="12" t="inlineStr">
        <is>
          <t>MKT 1.20.0 (p.111); MKT 2.22.0 (p.111)</t>
        </is>
      </c>
      <c r="E55" s="12" t="inlineStr">
        <is>
          <t>Data / numbering issue</t>
        </is>
      </c>
      <c r="F55" s="12" t="inlineStr">
        <is>
          <t>Marketing request IDs jump from MKT 1.20.0 to MKT 2.22.0; there is no 2.21.0.</t>
        </is>
      </c>
      <c r="G55" s="12" t="inlineStr">
        <is>
          <t>Traceability only.</t>
        </is>
      </c>
      <c r="H55" s="39" t="inlineStr">
        <is>
          <t>Low</t>
        </is>
      </c>
      <c r="I55" s="12" t="inlineStr">
        <is>
          <t>Marketing Requests</t>
        </is>
      </c>
      <c r="J55" s="12" t="inlineStr">
        <is>
          <t>None.</t>
        </is>
      </c>
      <c r="K55" s="12" t="inlineStr">
        <is>
          <t>Confirm no requirement is missing.</t>
        </is>
      </c>
      <c r="L55" s="12" t="inlineStr">
        <is>
          <t>Comptrollership - FRBS, Disbursement and ACSL</t>
        </is>
      </c>
      <c r="M55" s="40" t="n">
        <v>46290</v>
      </c>
      <c r="N55" s="32" t="inlineStr">
        <is>
          <t>Open</t>
        </is>
      </c>
      <c r="O55" s="12" t="inlineStr"/>
      <c r="P55" s="40" t="n"/>
      <c r="Q55" s="12" t="inlineStr"/>
    </row>
    <row r="56" ht="41.8" customHeight="1">
      <c r="A56" s="38" t="inlineStr">
        <is>
          <t>DCR-052</t>
        </is>
      </c>
      <c r="B56" s="12" t="inlineStr">
        <is>
          <t>BRD-5 ACCT</t>
        </is>
      </c>
      <c r="C56" s="12" t="inlineStr">
        <is>
          <t>Drop 1</t>
        </is>
      </c>
      <c r="D56" s="12" t="inlineStr">
        <is>
          <t>MKT 1.10.0 (p.107); Appendix D (p.152-153)</t>
        </is>
      </c>
      <c r="E56" s="12" t="inlineStr">
        <is>
          <t>Gap / missing detail</t>
        </is>
      </c>
      <c r="F56" s="12" t="inlineStr">
        <is>
          <t>MKT 1.10.0: "Refund Request Form (for refund requests) - populate the below details:" and no list follows. The fields exist only on the Appendix D form images.</t>
        </is>
      </c>
      <c r="G56" s="12" t="inlineStr">
        <is>
          <t>Build: mandatory fields of the RRF / RFP. Test: field validations.</t>
        </is>
      </c>
      <c r="H56" s="39" t="inlineStr">
        <is>
          <t>Medium</t>
        </is>
      </c>
      <c r="I56" s="12" t="inlineStr">
        <is>
          <t>Marketing Requests; Disbursement</t>
        </is>
      </c>
      <c r="J56" s="12" t="inlineStr">
        <is>
          <t>Use the Appendix D form fields as the field list.</t>
        </is>
      </c>
      <c r="K56" s="12" t="inlineStr">
        <is>
          <t>Please confirm the mandatory RRF and RFP fields.</t>
        </is>
      </c>
      <c r="L56" s="12" t="inlineStr">
        <is>
          <t>Comptrollership - FRBS, Disbursement and ACSL</t>
        </is>
      </c>
      <c r="M56" s="40" t="n">
        <v>46290</v>
      </c>
      <c r="N56" s="32" t="inlineStr">
        <is>
          <t>Open</t>
        </is>
      </c>
      <c r="O56" s="12" t="inlineStr"/>
      <c r="P56" s="40" t="n"/>
      <c r="Q56" s="12" t="inlineStr">
        <is>
          <t>AQ18</t>
        </is>
      </c>
    </row>
    <row r="57" ht="54.4" customHeight="1">
      <c r="A57" s="38" t="inlineStr">
        <is>
          <t>DCR-053</t>
        </is>
      </c>
      <c r="B57" s="12" t="inlineStr">
        <is>
          <t>BRD-5 ACCT</t>
        </is>
      </c>
      <c r="C57" s="12" t="inlineStr">
        <is>
          <t>Drop 1</t>
        </is>
      </c>
      <c r="D57" s="12" t="inlineStr">
        <is>
          <t>DIS 2.7.8 (p.81); DIS 2.7.9 (p.82)</t>
        </is>
      </c>
      <c r="E57" s="12" t="inlineStr">
        <is>
          <t>Contradiction within BRD</t>
        </is>
      </c>
      <c r="F57" s="12" t="inlineStr">
        <is>
          <t>DIS 2.7.9 "Process Credit Ticket / TT": the expected result says "User should be able to process Demand" Draft, copied from DIS 2.7.8, while the steps describe the Credit Ticket / Telegraphic Transfer form.</t>
        </is>
      </c>
      <c r="G57" s="12" t="inlineStr">
        <is>
          <t>Test: expected result does not match the function.</t>
        </is>
      </c>
      <c r="H57" s="39" t="inlineStr">
        <is>
          <t>Medium</t>
        </is>
      </c>
      <c r="I57" s="12" t="inlineStr">
        <is>
          <t>Disbursement</t>
        </is>
      </c>
      <c r="J57" s="12" t="inlineStr">
        <is>
          <t>Read DIS 2.7.9 as Credit Ticket / TT processing.</t>
        </is>
      </c>
      <c r="K57" s="12" t="inlineStr">
        <is>
          <t>Confirm the expected result of DIS 2.7.9.</t>
        </is>
      </c>
      <c r="L57" s="12" t="inlineStr">
        <is>
          <t>Comptrollership - FRBS, Disbursement and ACSL</t>
        </is>
      </c>
      <c r="M57" s="40" t="n">
        <v>46290</v>
      </c>
      <c r="N57" s="32" t="inlineStr">
        <is>
          <t>Open</t>
        </is>
      </c>
      <c r="O57" s="12" t="inlineStr"/>
      <c r="P57" s="40" t="n"/>
      <c r="Q57" s="12" t="inlineStr">
        <is>
          <t>AQ14</t>
        </is>
      </c>
    </row>
    <row r="58" ht="67" customHeight="1">
      <c r="A58" s="38" t="inlineStr">
        <is>
          <t>DCR-054</t>
        </is>
      </c>
      <c r="B58" s="12" t="inlineStr">
        <is>
          <t>BRD-5 ACCT</t>
        </is>
      </c>
      <c r="C58" s="12" t="inlineStr">
        <is>
          <t>Drop 1</t>
        </is>
      </c>
      <c r="D58" s="12" t="inlineStr">
        <is>
          <t>FRBS 2.6.0 and 2.6.1 (p.58); Addendum 1 FRBS 2.6.0 (p.35-36)</t>
        </is>
      </c>
      <c r="E58" s="12" t="inlineStr">
        <is>
          <t>Contradiction within BRD</t>
        </is>
      </c>
      <c r="F58" s="12" t="inlineStr">
        <is>
          <t>Main BRD FRBS 2.6.0: close previous-month GL books "every 2nd banking day of the current month". Addendum 1: close "on a preferred date and time in the current month". FRBS 2.6.1 still refers to the closing date of the previous month.</t>
        </is>
      </c>
      <c r="G58" s="12" t="inlineStr">
        <is>
          <t>Business: month-end close. Build: closing validation. Test: closing-date cases.</t>
        </is>
      </c>
      <c r="H58" s="39" t="inlineStr">
        <is>
          <t>Medium</t>
        </is>
      </c>
      <c r="I58" s="12" t="inlineStr">
        <is>
          <t>FRBS / GL</t>
        </is>
      </c>
      <c r="J58" s="12" t="inlineStr">
        <is>
          <t>Manual close on a date chosen in the current month (Addendum 1); FRBS 2.6.1 validates against that date.</t>
        </is>
      </c>
      <c r="K58" s="12" t="inlineStr">
        <is>
          <t>Confirm the closing rule and whether a closed month may be reopened.</t>
        </is>
      </c>
      <c r="L58" s="12" t="inlineStr">
        <is>
          <t>Comptrollership - FRBS, Disbursement and ACSL</t>
        </is>
      </c>
      <c r="M58" s="40" t="n">
        <v>46290</v>
      </c>
      <c r="N58" s="32" t="inlineStr">
        <is>
          <t>Open</t>
        </is>
      </c>
      <c r="O58" s="12" t="inlineStr"/>
      <c r="P58" s="40" t="n"/>
      <c r="Q58" s="12" t="inlineStr">
        <is>
          <t>AQ04</t>
        </is>
      </c>
    </row>
    <row r="59" ht="79.59999999999999" customHeight="1">
      <c r="A59" s="38" t="inlineStr">
        <is>
          <t>DCR-055</t>
        </is>
      </c>
      <c r="B59" s="12" t="inlineStr">
        <is>
          <t>BRD-5 ACCT</t>
        </is>
      </c>
      <c r="C59" s="12" t="inlineStr">
        <is>
          <t>Drop 1</t>
        </is>
      </c>
      <c r="D59" s="12" t="inlineStr">
        <is>
          <t>Appendix A (p.143-144)</t>
        </is>
      </c>
      <c r="E59" s="12" t="inlineStr">
        <is>
          <t>Ambiguity</t>
        </is>
      </c>
      <c r="F59" s="12" t="inlineStr">
        <is>
          <t>Appendix A lists BIR Form 2550-M (monthly VAT) and payroll reports (SSS, 1601-C and others), although BIBS has no payroll. The last group ends with an unlabelled line "Referrers share in commission earned by BDOI. Computed at 2.5%/1% of fully paid commission", read as the service-fee definition.</t>
        </is>
      </c>
      <c r="G59" s="12" t="inlineStr">
        <is>
          <t>Build: reports with no data source in BIBS. Test: report scope.</t>
        </is>
      </c>
      <c r="H59" s="39" t="inlineStr">
        <is>
          <t>Medium</t>
        </is>
      </c>
      <c r="I59" s="12" t="inlineStr">
        <is>
          <t>FRBS / GL; Reports</t>
        </is>
      </c>
      <c r="J59" s="12" t="inlineStr">
        <is>
          <t>Payroll reports out of scope; 2550-M kept only if BDOI still files it.</t>
        </is>
      </c>
      <c r="K59" s="12" t="inlineStr">
        <is>
          <t>Is 2550-M still filed? Are payroll reports imported or out of scope? Confirm the service-fee definition.</t>
        </is>
      </c>
      <c r="L59" s="12" t="inlineStr">
        <is>
          <t>Comptrollership - FRBS, Disbursement and ACSL</t>
        </is>
      </c>
      <c r="M59" s="40" t="n">
        <v>46290</v>
      </c>
      <c r="N59" s="32" t="inlineStr">
        <is>
          <t>Open</t>
        </is>
      </c>
      <c r="O59" s="12" t="inlineStr"/>
      <c r="P59" s="40" t="n"/>
      <c r="Q59" s="12" t="inlineStr">
        <is>
          <t>AQ06, AQ07, AQ20</t>
        </is>
      </c>
    </row>
    <row r="60" ht="41.8" customHeight="1">
      <c r="A60" s="38" t="inlineStr">
        <is>
          <t>DCR-056</t>
        </is>
      </c>
      <c r="B60" s="12" t="inlineStr">
        <is>
          <t>BRD-5 ACCT</t>
        </is>
      </c>
      <c r="C60" s="12" t="inlineStr">
        <is>
          <t>Drop 1</t>
        </is>
      </c>
      <c r="D60" s="12" t="inlineStr">
        <is>
          <t>DIS 2.17.x (p.33, p.68, p.90)</t>
        </is>
      </c>
      <c r="E60" s="12" t="inlineStr">
        <is>
          <t>Ambiguity</t>
        </is>
      </c>
      <c r="F60" s="12" t="inlineStr">
        <is>
          <t>Account funding requirements refer to the "Main BDOIR China bank account", funded "via Business Online banking (BOB)".</t>
        </is>
      </c>
      <c r="G60" s="12" t="inlineStr">
        <is>
          <t>Build: bank account master and funding flow. Test: funding cases.</t>
        </is>
      </c>
      <c r="H60" s="39" t="inlineStr">
        <is>
          <t>Medium</t>
        </is>
      </c>
      <c r="I60" s="12" t="inlineStr">
        <is>
          <t>Disbursement</t>
        </is>
      </c>
      <c r="J60" s="12" t="inlineStr">
        <is>
          <t>Bank accounts as master data; no bank name in code.</t>
        </is>
      </c>
      <c r="K60" s="12" t="inlineStr">
        <is>
          <t>Which bank holds the main disbursement account, which accounts fund it, and are both approvers required in order?</t>
        </is>
      </c>
      <c r="L60" s="12" t="inlineStr">
        <is>
          <t>Comptrollership - FRBS, Disbursement and ACSL</t>
        </is>
      </c>
      <c r="M60" s="40" t="n">
        <v>46290</v>
      </c>
      <c r="N60" s="32" t="inlineStr">
        <is>
          <t>Open</t>
        </is>
      </c>
      <c r="O60" s="12" t="inlineStr"/>
      <c r="P60" s="40" t="n"/>
      <c r="Q60" s="12" t="inlineStr">
        <is>
          <t>AQ10</t>
        </is>
      </c>
    </row>
    <row r="61" ht="54.4" customHeight="1">
      <c r="A61" s="38" t="inlineStr">
        <is>
          <t>DCR-057</t>
        </is>
      </c>
      <c r="B61" s="12" t="inlineStr">
        <is>
          <t>BRD-5 ACCT</t>
        </is>
      </c>
      <c r="C61" s="12" t="inlineStr">
        <is>
          <t>Drop 1</t>
        </is>
      </c>
      <c r="D61" s="12" t="inlineStr">
        <is>
          <t>Main BRD availability (p.138); Addendum 1 availability (p.37)</t>
        </is>
      </c>
      <c r="E61" s="12" t="inlineStr">
        <is>
          <t>NFR inconsistency</t>
        </is>
      </c>
      <c r="F61" s="12" t="inlineStr">
        <is>
          <t>Main BRD: availability, downtime, maintenance and BCP "Follow existing QPS/EBIX Setup". Addendum 1: availability 100%, maintenance 7PM to 7AM, BCP threshold less than 3 days. 100% is not a measurable service level.</t>
        </is>
      </c>
      <c r="G61" s="12" t="inlineStr">
        <is>
          <t>Build: HA design. Test: availability cannot be verified at 100%.</t>
        </is>
      </c>
      <c r="H61" s="39" t="inlineStr">
        <is>
          <t>Medium</t>
        </is>
      </c>
      <c r="I61" s="12" t="inlineStr">
        <is>
          <t>Platform (availability)</t>
        </is>
      </c>
      <c r="J61" s="12" t="inlineStr">
        <is>
          <t>Apply Addendum 1 with a measurable target (for example 99.9% in service hours).</t>
        </is>
      </c>
      <c r="K61" s="12" t="inlineStr">
        <is>
          <t>Please give a measurable availability target for Accounting, Disbursement and ACSL.</t>
        </is>
      </c>
      <c r="L61" s="12" t="inlineStr">
        <is>
          <t>Comptrollership - FRBS, Disbursement and ACSL</t>
        </is>
      </c>
      <c r="M61" s="40" t="n">
        <v>46290</v>
      </c>
      <c r="N61" s="32" t="inlineStr">
        <is>
          <t>Open</t>
        </is>
      </c>
      <c r="O61" s="12" t="inlineStr"/>
      <c r="P61" s="40" t="n"/>
      <c r="Q61" s="12" t="inlineStr">
        <is>
          <t>AQ27, XQ08</t>
        </is>
      </c>
    </row>
    <row r="62" ht="67" customHeight="1">
      <c r="A62" s="38" t="inlineStr">
        <is>
          <t>DCR-058</t>
        </is>
      </c>
      <c r="B62" s="12" t="inlineStr">
        <is>
          <t>BRD-5 ACCT</t>
        </is>
      </c>
      <c r="C62" s="12" t="inlineStr">
        <is>
          <t>Drop 1</t>
        </is>
      </c>
      <c r="D62" s="12" t="inlineStr">
        <is>
          <t>Current process (p.45); ACSL 2.16.0 (Addendum 1 p.34); DIS 3.27.2</t>
        </is>
      </c>
      <c r="E62" s="12" t="inlineStr">
        <is>
          <t>BRD vs platform</t>
        </is>
      </c>
      <c r="F62" s="12" t="inlineStr">
        <is>
          <t>Current process: "A different invoice number is generated for transaction cancellations". ACSL 2.16.0 requires related transactions (booking, adjustment, cancellation) to be linked to a single invoice number. BIBS issues a new number per transaction.</t>
        </is>
      </c>
      <c r="G62" s="12" t="inlineStr">
        <is>
          <t>Business: BIR invoice uniqueness vs one reference per policy. Build: invoice numbering and sub-ledger. Test: ACSL reconciliation.</t>
        </is>
      </c>
      <c r="H62" s="39" t="inlineStr">
        <is>
          <t>High</t>
        </is>
      </c>
      <c r="I62" s="12" t="inlineStr">
        <is>
          <t>Booking; Adjustment; ACSL</t>
        </is>
      </c>
      <c r="J62" s="12" t="inlineStr">
        <is>
          <t>Keep a new BIR-compliant number per document, linked to a root invoice number shown on every related transaction.</t>
        </is>
      </c>
      <c r="K62" s="12" t="inlineStr">
        <is>
          <t>Is a root invoice number that links related transactions acceptable, or must the same invoice number be reused?</t>
        </is>
      </c>
      <c r="L62" s="12" t="inlineStr">
        <is>
          <t>Comptrollership - FRBS, Disbursement and ACSL</t>
        </is>
      </c>
      <c r="M62" s="40" t="n">
        <v>46290</v>
      </c>
      <c r="N62" s="32" t="inlineStr">
        <is>
          <t>Open</t>
        </is>
      </c>
      <c r="O62" s="12" t="inlineStr"/>
      <c r="P62" s="40" t="n"/>
      <c r="Q62" s="12" t="inlineStr">
        <is>
          <t>AQ29, Q32</t>
        </is>
      </c>
    </row>
    <row r="63" ht="54.4" customHeight="1">
      <c r="A63" s="38" t="inlineStr">
        <is>
          <t>DCR-059</t>
        </is>
      </c>
      <c r="B63" s="12" t="inlineStr">
        <is>
          <t>BRD-5 ACCT</t>
        </is>
      </c>
      <c r="C63" s="12" t="inlineStr">
        <is>
          <t>Drop 1</t>
        </is>
      </c>
      <c r="D63" s="12" t="inlineStr">
        <is>
          <t>Role matrices (p.66-67, 102-103, 113, 126); scanned copies (p.181, 216-217, 227, 240)</t>
        </is>
      </c>
      <c r="E63" s="12" t="inlineStr">
        <is>
          <t>Document quality</t>
        </is>
      </c>
      <c r="F63" s="12" t="inlineStr">
        <is>
          <t>The role matrices lost their tick marks in the digital pages and were read from the scanned copies; a few ticks are ambiguous.</t>
        </is>
      </c>
      <c r="G63" s="12" t="inlineStr">
        <is>
          <t>Build: role grants. Test: access tests.</t>
        </is>
      </c>
      <c r="H63" s="39" t="inlineStr">
        <is>
          <t>Medium</t>
        </is>
      </c>
      <c r="I63" s="12" t="inlineStr">
        <is>
          <t>FRBS / GL; Disbursement; Marketing Requests; ACSL; User Access</t>
        </is>
      </c>
      <c r="J63" s="12" t="inlineStr">
        <is>
          <t>Roles built from the scans; BDOI confirms.</t>
        </is>
      </c>
      <c r="K63" s="12" t="inlineStr">
        <is>
          <t>Please confirm the role matrices, and that the verifier must differ from the maker.</t>
        </is>
      </c>
      <c r="L63" s="12" t="inlineStr">
        <is>
          <t>Comptrollership - FRBS, Disbursement and ACSL</t>
        </is>
      </c>
      <c r="M63" s="40" t="n">
        <v>46290</v>
      </c>
      <c r="N63" s="32" t="inlineStr">
        <is>
          <t>Open</t>
        </is>
      </c>
      <c r="O63" s="12" t="inlineStr"/>
      <c r="P63" s="40" t="n"/>
      <c r="Q63" s="12" t="inlineStr">
        <is>
          <t>AQ28, OQ48</t>
        </is>
      </c>
    </row>
    <row r="64" ht="54.4" customHeight="1">
      <c r="A64" s="38" t="inlineStr">
        <is>
          <t>DCR-060</t>
        </is>
      </c>
      <c r="B64" s="12" t="inlineStr">
        <is>
          <t>BRD-5 ACCT</t>
        </is>
      </c>
      <c r="C64" s="12" t="inlineStr">
        <is>
          <t>Drop 1</t>
        </is>
      </c>
      <c r="D64" s="12" t="inlineStr">
        <is>
          <t>Business / System Admin table heading (p.127); DIS 2.23.x "Edit beginning check series" (p.93)</t>
        </is>
      </c>
      <c r="E64" s="12" t="inlineStr">
        <is>
          <t>Document quality</t>
        </is>
      </c>
      <c r="F64" s="12" t="inlineStr">
        <is>
          <t>The Business and System Administration table is headed "Accounting Controls and Subsidiary Ledger (ACSL) Unit Business Requirements". "Edit beginning check series" reads "User should be able to add edit series".</t>
        </is>
      </c>
      <c r="G64" s="12" t="inlineStr">
        <is>
          <t>None on the build.</t>
        </is>
      </c>
      <c r="H64" s="39" t="inlineStr">
        <is>
          <t>Low</t>
        </is>
      </c>
      <c r="I64" s="12" t="inlineStr">
        <is>
          <t>-</t>
        </is>
      </c>
      <c r="J64" s="12" t="inlineStr">
        <is>
          <t>None.</t>
        </is>
      </c>
      <c r="K64" s="12" t="inlineStr">
        <is>
          <t>None; correct in the next revision.</t>
        </is>
      </c>
      <c r="L64" s="12" t="inlineStr">
        <is>
          <t>Comptrollership - FRBS, Disbursement and ACSL</t>
        </is>
      </c>
      <c r="M64" s="40" t="n">
        <v>46290</v>
      </c>
      <c r="N64" s="32" t="inlineStr">
        <is>
          <t>Open</t>
        </is>
      </c>
      <c r="O64" s="12" t="inlineStr"/>
      <c r="P64" s="40" t="n"/>
      <c r="Q64" s="12" t="inlineStr"/>
    </row>
    <row r="65" ht="41.8" customHeight="1">
      <c r="A65" s="38" t="inlineStr">
        <is>
          <t>DCR-061</t>
        </is>
      </c>
      <c r="B65" s="12" t="inlineStr">
        <is>
          <t>BRD-6 RN</t>
        </is>
      </c>
      <c r="C65" s="12" t="inlineStr">
        <is>
          <t>Drop 1</t>
        </is>
      </c>
      <c r="D65" s="12" t="inlineStr">
        <is>
          <t>BRD 1.009.1 (p.58), BRD 1.010.1 (p.76), BRD 1.011.1 (p.78), BRD 2.005.1 (p.84)</t>
        </is>
      </c>
      <c r="E65" s="12" t="inlineStr">
        <is>
          <t>Document quality</t>
        </is>
      </c>
      <c r="F65" s="12" t="inlineStr">
        <is>
          <t>Working notes are left in the signed main BRD: "Discussed - 11/20/2025" (p.58), "Start here - next meeting" (p.76), "Type text here" (p.78), "Resume here" (p.84).</t>
        </is>
      </c>
      <c r="G65" s="12" t="inlineStr">
        <is>
          <t>None on the build; shows the text was edited after the May 2025 signature.</t>
        </is>
      </c>
      <c r="H65" s="39" t="inlineStr">
        <is>
          <t>Low</t>
        </is>
      </c>
      <c r="I65" s="12" t="inlineStr">
        <is>
          <t>-</t>
        </is>
      </c>
      <c r="J65" s="12" t="inlineStr">
        <is>
          <t>None.</t>
        </is>
      </c>
      <c r="K65" s="12" t="inlineStr">
        <is>
          <t>Please confirm that the signed text is final and remove the notes in the next revision.</t>
        </is>
      </c>
      <c r="L65" s="12" t="inlineStr">
        <is>
          <t>Marketing and Processing - Renewal (RMEL)</t>
        </is>
      </c>
      <c r="M65" s="40" t="n">
        <v>46290</v>
      </c>
      <c r="N65" s="32" t="inlineStr">
        <is>
          <t>Open</t>
        </is>
      </c>
      <c r="O65" s="12" t="inlineStr"/>
      <c r="P65" s="40" t="n"/>
      <c r="Q65" s="12" t="inlineStr"/>
    </row>
    <row r="66" ht="54.4" customHeight="1">
      <c r="A66" s="38" t="inlineStr">
        <is>
          <t>DCR-062</t>
        </is>
      </c>
      <c r="B66" s="12" t="inlineStr">
        <is>
          <t>BRD-6 RN</t>
        </is>
      </c>
      <c r="C66" s="12" t="inlineStr">
        <is>
          <t>Drop 1</t>
        </is>
      </c>
      <c r="D66" s="12" t="inlineStr">
        <is>
          <t>BRRN.018 / BRD 3.004.1 (p.31); main BRD section 2.004 (Online Dispositioning)</t>
        </is>
      </c>
      <c r="E66" s="12" t="inlineStr">
        <is>
          <t>Contradiction within BRD</t>
        </is>
      </c>
      <c r="F66" s="12" t="inlineStr">
        <is>
          <t>BRRN.018: "Dispositioning is performed outside the system, and the system's role is to accept a batch upload". The main BRD is "RMEL Phase 2 - Online Dispositioning" with AO disposition screens (2.004).</t>
        </is>
      </c>
      <c r="G66" s="12" t="inlineStr">
        <is>
          <t>Business: where AOs record dispositions. Build: disposition screens and upload. Test: both paths.</t>
        </is>
      </c>
      <c r="H66" s="39" t="inlineStr">
        <is>
          <t>High</t>
        </is>
      </c>
      <c r="I66" s="12" t="inlineStr">
        <is>
          <t>Renewal</t>
        </is>
      </c>
      <c r="J66" s="12" t="inlineStr">
        <is>
          <t>Build both: online disposition for AOs and batch upload for bulk segments (CLG, insurer files).</t>
        </is>
      </c>
      <c r="K66" s="12" t="inlineStr">
        <is>
          <t>Which segments disposition online and which by uploaded file? Who prepares the file and in which layout?</t>
        </is>
      </c>
      <c r="L66" s="12" t="inlineStr">
        <is>
          <t>Marketing and Processing - Renewal (RMEL)</t>
        </is>
      </c>
      <c r="M66" s="40" t="n">
        <v>46290</v>
      </c>
      <c r="N66" s="32" t="inlineStr">
        <is>
          <t>Open</t>
        </is>
      </c>
      <c r="O66" s="12" t="inlineStr"/>
      <c r="P66" s="40" t="n"/>
      <c r="Q66" s="12" t="inlineStr">
        <is>
          <t>RQ14, RQ15</t>
        </is>
      </c>
    </row>
    <row r="67" ht="79.59999999999999" customHeight="1">
      <c r="A67" s="38" t="inlineStr">
        <is>
          <t>DCR-063</t>
        </is>
      </c>
      <c r="B67" s="12" t="inlineStr">
        <is>
          <t>BRD-6 RN</t>
        </is>
      </c>
      <c r="C67" s="12" t="inlineStr">
        <is>
          <t>Drop 1</t>
        </is>
      </c>
      <c r="D67" s="12" t="inlineStr">
        <is>
          <t>BRRN.021 (p.4); BRRN.031, 035, 039, 040 (p.9-15)</t>
        </is>
      </c>
      <c r="E67" s="12" t="inlineStr">
        <is>
          <t>Contradiction within BRD</t>
        </is>
      </c>
      <c r="F67" s="12" t="inlineStr">
        <is>
          <t>BRRN.021: "Extraction does not automatically trigger renewal"; accounts do not progress "without explicit user initiation". BRRN.035: an "Approve / Renew As Is" insurer response advances the renewal "without manual user action"; BRRN.031 / 039 / 040 require straight-through processing.</t>
        </is>
      </c>
      <c r="G67" s="12" t="inlineStr">
        <is>
          <t>Business: control over renewal start. Build: workflow triggers. Test: STP scenarios.</t>
        </is>
      </c>
      <c r="H67" s="39" t="inlineStr">
        <is>
          <t>High</t>
        </is>
      </c>
      <c r="I67" s="12" t="inlineStr">
        <is>
          <t>Renewal</t>
        </is>
      </c>
      <c r="J67" s="12" t="inlineStr">
        <is>
          <t>Explicit initiation step after extraction (CLG in bulk, Non-Mortgage individually); straight-through processing only after initiation.</t>
        </is>
      </c>
      <c r="K67" s="12" t="inlineStr">
        <is>
          <t>Confirm: initiation is always manual, and every step after initiation may run without user action. Is CBG STP initiated automatically?</t>
        </is>
      </c>
      <c r="L67" s="12" t="inlineStr">
        <is>
          <t>Marketing and Processing - Renewal (RMEL)</t>
        </is>
      </c>
      <c r="M67" s="40" t="n">
        <v>46290</v>
      </c>
      <c r="N67" s="32" t="inlineStr">
        <is>
          <t>Open</t>
        </is>
      </c>
      <c r="O67" s="12" t="inlineStr"/>
      <c r="P67" s="40" t="n"/>
      <c r="Q67" s="12" t="inlineStr">
        <is>
          <t>RQ02</t>
        </is>
      </c>
    </row>
    <row r="68" ht="41.8" customHeight="1">
      <c r="A68" s="38" t="inlineStr">
        <is>
          <t>DCR-064</t>
        </is>
      </c>
      <c r="B68" s="12" t="inlineStr">
        <is>
          <t>BRD-6 RN</t>
        </is>
      </c>
      <c r="C68" s="12" t="inlineStr">
        <is>
          <t>Drop 1</t>
        </is>
      </c>
      <c r="D68" s="12" t="inlineStr">
        <is>
          <t>BRRN.025 (p.6)</t>
        </is>
      </c>
      <c r="E68" s="12" t="inlineStr">
        <is>
          <t>Ambiguity</t>
        </is>
      </c>
      <c r="F68" s="12" t="inlineStr">
        <is>
          <t>BRRN.025 sets the NRNS reminder "at the defined follow-up checkpoint (e.g., +90 days)" and "at the defined checkpoint (e.g., +90 days before expiry)".</t>
        </is>
      </c>
      <c r="G68" s="12" t="inlineStr">
        <is>
          <t>Build: reminder schedule. Test: reminder dates.</t>
        </is>
      </c>
      <c r="H68" s="39" t="inlineStr">
        <is>
          <t>Medium</t>
        </is>
      </c>
      <c r="I68" s="12" t="inlineStr">
        <is>
          <t>Renewal; Notifications</t>
        </is>
      </c>
      <c r="J68" s="12" t="inlineStr">
        <is>
          <t>Checkpoint as a parameter in days before expiry, default 90.</t>
        </is>
      </c>
      <c r="K68" s="12" t="inlineStr">
        <is>
          <t>Is the NRNS checkpoint 90 days before expiry, and what does "not yet submitted" mean?</t>
        </is>
      </c>
      <c r="L68" s="12" t="inlineStr">
        <is>
          <t>Marketing and Processing - Renewal (RMEL)</t>
        </is>
      </c>
      <c r="M68" s="40" t="n">
        <v>46290</v>
      </c>
      <c r="N68" s="32" t="inlineStr">
        <is>
          <t>Open</t>
        </is>
      </c>
      <c r="O68" s="12" t="inlineStr"/>
      <c r="P68" s="40" t="n"/>
      <c r="Q68" s="12" t="inlineStr">
        <is>
          <t>RQ18</t>
        </is>
      </c>
    </row>
    <row r="69" ht="67" customHeight="1">
      <c r="A69" s="38" t="inlineStr">
        <is>
          <t>DCR-065</t>
        </is>
      </c>
      <c r="B69" s="12" t="inlineStr">
        <is>
          <t>BRD-6 RN</t>
        </is>
      </c>
      <c r="C69" s="12" t="inlineStr">
        <is>
          <t>Drop 1</t>
        </is>
      </c>
      <c r="D69" s="12" t="inlineStr">
        <is>
          <t>1.003.4.1.1.21-24 (p.49-50); 3.003.4.1.8-21 (p.112-114); RA IDs 4.09.x (p.177-178); sections VIII / XI (p.145, p.177)</t>
        </is>
      </c>
      <c r="E69" s="12" t="inlineStr">
        <is>
          <t>Data / numbering issue</t>
        </is>
      </c>
      <c r="F69" s="12" t="inlineStr">
        <is>
          <t>Requirement IDs 1.003.4.1.1.21-24 are all labelled "1.21"; labels of 3.003.4.1.8-21 restart at 1.2; RA IDs use "4.09.x" instead of "4.009.x"; section "XI. Generate Renewal Advice" follows "VIII. Generate Report" (IX and X missing).</t>
        </is>
      </c>
      <c r="G69" s="12" t="inlineStr">
        <is>
          <t>Traceability of the expiring-list columns and RA rows.</t>
        </is>
      </c>
      <c r="H69" s="39" t="inlineStr">
        <is>
          <t>Low</t>
        </is>
      </c>
      <c r="I69" s="12" t="inlineStr">
        <is>
          <t>Renewal</t>
        </is>
      </c>
      <c r="J69" s="12" t="inlineStr">
        <is>
          <t>Baseline numbers the rows in page order.</t>
        </is>
      </c>
      <c r="K69" s="12" t="inlineStr">
        <is>
          <t>None; correct in the next revision.</t>
        </is>
      </c>
      <c r="L69" s="12" t="inlineStr">
        <is>
          <t>Marketing and Processing - Renewal (RMEL)</t>
        </is>
      </c>
      <c r="M69" s="40" t="n">
        <v>46290</v>
      </c>
      <c r="N69" s="32" t="inlineStr">
        <is>
          <t>Open</t>
        </is>
      </c>
      <c r="O69" s="12" t="inlineStr"/>
      <c r="P69" s="40" t="n"/>
      <c r="Q69" s="12" t="inlineStr"/>
    </row>
    <row r="70" ht="79.59999999999999" customHeight="1">
      <c r="A70" s="38" t="inlineStr">
        <is>
          <t>DCR-066</t>
        </is>
      </c>
      <c r="B70" s="12" t="inlineStr">
        <is>
          <t>BRD-6 RN</t>
        </is>
      </c>
      <c r="C70" s="12" t="inlineStr">
        <is>
          <t>Drop 1</t>
        </is>
      </c>
      <c r="D70" s="12" t="inlineStr">
        <is>
          <t>BRD 4.001.1.1 (p.148); 4.09.x (p.177-178); BRRN.010</t>
        </is>
      </c>
      <c r="E70" s="12" t="inlineStr">
        <is>
          <t>Contradiction within BRD</t>
        </is>
      </c>
      <c r="F70" s="12" t="inlineStr">
        <is>
          <t>In the Processing Officer section the requirement reads "Log in with a Operations Team Leader user profile" and the result "Processing Team Leader user profile". The RA encryption item (x.010.7.1) exists for the other personas but not for the Processing Officer, although BRRN.010 applies to all.</t>
        </is>
      </c>
      <c r="G70" s="12" t="inlineStr">
        <is>
          <t>Build: role of the Processing Officer; RA protection. Test: access and encryption cases.</t>
        </is>
      </c>
      <c r="H70" s="39" t="inlineStr">
        <is>
          <t>Medium</t>
        </is>
      </c>
      <c r="I70" s="12" t="inlineStr">
        <is>
          <t>Renewal; User Access</t>
        </is>
      </c>
      <c r="J70" s="12" t="inlineStr">
        <is>
          <t>Processing Officer logs in with its own profile; RA encryption applies to every persona (BRRN.010).</t>
        </is>
      </c>
      <c r="K70" s="12" t="inlineStr">
        <is>
          <t>Confirm the Processing Officer profile and that RA encryption applies to Processing Officers.</t>
        </is>
      </c>
      <c r="L70" s="12" t="inlineStr">
        <is>
          <t>Marketing and Processing - Renewal (RMEL)</t>
        </is>
      </c>
      <c r="M70" s="40" t="n">
        <v>46290</v>
      </c>
      <c r="N70" s="32" t="inlineStr">
        <is>
          <t>Open</t>
        </is>
      </c>
      <c r="O70" s="12" t="inlineStr"/>
      <c r="P70" s="40" t="n"/>
      <c r="Q70" s="12" t="inlineStr"/>
    </row>
    <row r="71" ht="54.4" customHeight="1">
      <c r="A71" s="38" t="inlineStr">
        <is>
          <t>DCR-067</t>
        </is>
      </c>
      <c r="B71" s="12" t="inlineStr">
        <is>
          <t>BRD-6 RN</t>
        </is>
      </c>
      <c r="C71" s="12" t="inlineStr">
        <is>
          <t>Drop 1</t>
        </is>
      </c>
      <c r="D71" s="12" t="inlineStr">
        <is>
          <t>BRD 2.004.9 (p.84)</t>
        </is>
      </c>
      <c r="E71" s="12" t="inlineStr">
        <is>
          <t>Contradiction within BRD</t>
        </is>
      </c>
      <c r="F71" s="12" t="inlineStr">
        <is>
          <t>Requirement 2.004.9 locks accounts after RA generation ("account should be locked on the marketing side"); its result reads "User should be able to provide disposition and edit locked accounts".</t>
        </is>
      </c>
      <c r="G71" s="12" t="inlineStr">
        <is>
          <t>Build: edit lock. Test: expected result inverted.</t>
        </is>
      </c>
      <c r="H71" s="39" t="inlineStr">
        <is>
          <t>Medium</t>
        </is>
      </c>
      <c r="I71" s="12" t="inlineStr">
        <is>
          <t>Renewal</t>
        </is>
      </c>
      <c r="J71" s="12" t="inlineStr">
        <is>
          <t>Locked accounts cannot be edited by Marketing; the negative scenario is the test.</t>
        </is>
      </c>
      <c r="K71" s="12" t="inlineStr">
        <is>
          <t>What unlocks an account after RA generation, and may Processing still edit it?</t>
        </is>
      </c>
      <c r="L71" s="12" t="inlineStr">
        <is>
          <t>Marketing and Processing - Renewal (RMEL)</t>
        </is>
      </c>
      <c r="M71" s="40" t="n">
        <v>46290</v>
      </c>
      <c r="N71" s="32" t="inlineStr">
        <is>
          <t>Open</t>
        </is>
      </c>
      <c r="O71" s="12" t="inlineStr"/>
      <c r="P71" s="40" t="n"/>
      <c r="Q71" s="12" t="inlineStr">
        <is>
          <t>RQ12</t>
        </is>
      </c>
    </row>
    <row r="72" ht="79.59999999999999" customHeight="1">
      <c r="A72" s="38" t="inlineStr">
        <is>
          <t>DCR-068</t>
        </is>
      </c>
      <c r="B72" s="12" t="inlineStr">
        <is>
          <t>BRD-6 RN</t>
        </is>
      </c>
      <c r="C72" s="12" t="inlineStr">
        <is>
          <t>Drop 1</t>
        </is>
      </c>
      <c r="D72" s="12" t="inlineStr">
        <is>
          <t>BRD 1.006 (p.54); 3.005.1 (p.117); 3.008.2.5; Addendum 1 BRRN.002 sources (p.22)</t>
        </is>
      </c>
      <c r="E72" s="12" t="inlineStr">
        <is>
          <t>Document quality</t>
        </is>
      </c>
      <c r="F72" s="12" t="inlineStr">
        <is>
          <t>Wording slips: "Transfer to account to other units" (1.006); "processing office (PO)" (3.005.1); 3.008.2.5 title "Return to the assigned Marketing TL" but result "Marketing AO or Marketing TL"; BRRN.002 cites source "BRD 3.003.4.1.1", an EBIX column that Addendum 1 puts out of scope.</t>
        </is>
      </c>
      <c r="G72" s="12" t="inlineStr">
        <is>
          <t>Minor; 3.008.2.5 recipient needs confirming.</t>
        </is>
      </c>
      <c r="H72" s="39" t="inlineStr">
        <is>
          <t>Low</t>
        </is>
      </c>
      <c r="I72" s="12" t="inlineStr">
        <is>
          <t>Renewal</t>
        </is>
      </c>
      <c r="J72" s="12" t="inlineStr">
        <is>
          <t>Return to the AO or TL who last handled the account.</t>
        </is>
      </c>
      <c r="K72" s="12" t="inlineStr">
        <is>
          <t>Confirm the recipient of a returned account (3.008.2.5).</t>
        </is>
      </c>
      <c r="L72" s="12" t="inlineStr">
        <is>
          <t>Marketing and Processing - Renewal (RMEL)</t>
        </is>
      </c>
      <c r="M72" s="40" t="n">
        <v>46290</v>
      </c>
      <c r="N72" s="32" t="inlineStr">
        <is>
          <t>Open</t>
        </is>
      </c>
      <c r="O72" s="12" t="inlineStr"/>
      <c r="P72" s="40" t="n"/>
      <c r="Q72" s="12" t="inlineStr"/>
    </row>
    <row r="73" ht="54.4" customHeight="1">
      <c r="A73" s="38" t="inlineStr">
        <is>
          <t>DCR-069</t>
        </is>
      </c>
      <c r="B73" s="12" t="inlineStr">
        <is>
          <t>BRD-6 RN</t>
        </is>
      </c>
      <c r="C73" s="12" t="inlineStr">
        <is>
          <t>Drop 1</t>
        </is>
      </c>
      <c r="D73" s="12" t="inlineStr">
        <is>
          <t>Main BRD approval (p.188)</t>
        </is>
      </c>
      <c r="E73" s="12" t="inlineStr">
        <is>
          <t>Document quality</t>
        </is>
      </c>
      <c r="F73" s="12" t="inlineStr">
        <is>
          <t>The Unit Head Combank / Corbank approved the main BRD "with email approval (see attached)"; the e-mail is not in the pack. The Head of Comptrollership line is blank (p.189).</t>
        </is>
      </c>
      <c r="G73" s="12" t="inlineStr">
        <is>
          <t>Governance: approval evidence incomplete.</t>
        </is>
      </c>
      <c r="H73" s="39" t="inlineStr">
        <is>
          <t>Medium</t>
        </is>
      </c>
      <c r="I73" s="12" t="inlineStr">
        <is>
          <t>-</t>
        </is>
      </c>
      <c r="J73" s="12" t="inlineStr">
        <is>
          <t>None for the build.</t>
        </is>
      </c>
      <c r="K73" s="12" t="inlineStr">
        <is>
          <t>Please add the approval e-mail to the pack.</t>
        </is>
      </c>
      <c r="L73" s="12" t="inlineStr">
        <is>
          <t>Marketing and Processing - Renewal (RMEL)</t>
        </is>
      </c>
      <c r="M73" s="40" t="n">
        <v>46290</v>
      </c>
      <c r="N73" s="32" t="inlineStr">
        <is>
          <t>Open</t>
        </is>
      </c>
      <c r="O73" s="12" t="inlineStr"/>
      <c r="P73" s="40" t="n"/>
      <c r="Q73" s="12" t="inlineStr"/>
    </row>
    <row r="74" ht="54.4" customHeight="1">
      <c r="A74" s="38" t="inlineStr">
        <is>
          <t>DCR-070</t>
        </is>
      </c>
      <c r="B74" s="12" t="inlineStr">
        <is>
          <t>BRD-6 RN</t>
        </is>
      </c>
      <c r="C74" s="12" t="inlineStr">
        <is>
          <t>Drop 1</t>
        </is>
      </c>
      <c r="D74" s="12" t="inlineStr">
        <is>
          <t>Summary counters 1.009.3.2 (p.70-74)</t>
        </is>
      </c>
      <c r="E74" s="12" t="inlineStr">
        <is>
          <t>Gap / missing detail</t>
        </is>
      </c>
      <c r="F74" s="12" t="inlineStr">
        <is>
          <t>The summary counters include "For ARF", "Renew to TSU", "Disapproved Accounts" and "unrenewed ... to other bank", which no disposition, reason or step in the BRD produces. ARF is not defined.</t>
        </is>
      </c>
      <c r="G74" s="12" t="inlineStr">
        <is>
          <t>Build: counters cannot be computed. Test: counter values.</t>
        </is>
      </c>
      <c r="H74" s="39" t="inlineStr">
        <is>
          <t>Medium</t>
        </is>
      </c>
      <c r="I74" s="12" t="inlineStr">
        <is>
          <t>Renewal; Reports</t>
        </is>
      </c>
      <c r="J74" s="12" t="inlineStr">
        <is>
          <t>Counters mapped to renewal stages; unmapped counters show zero until defined.</t>
        </is>
      </c>
      <c r="K74" s="12" t="inlineStr">
        <is>
          <t>Please define each of the 34 counters, including For ARF, Renew to TSU, Disapproved and to Other Bank.</t>
        </is>
      </c>
      <c r="L74" s="12" t="inlineStr">
        <is>
          <t>Marketing and Processing - Renewal (RMEL)</t>
        </is>
      </c>
      <c r="M74" s="40" t="n">
        <v>46290</v>
      </c>
      <c r="N74" s="32" t="inlineStr">
        <is>
          <t>Open</t>
        </is>
      </c>
      <c r="O74" s="12" t="inlineStr"/>
      <c r="P74" s="40" t="n"/>
      <c r="Q74" s="12" t="inlineStr">
        <is>
          <t>RQ10, Q10</t>
        </is>
      </c>
    </row>
    <row r="75" ht="54.4" customHeight="1">
      <c r="A75" s="38" t="inlineStr">
        <is>
          <t>DCR-071</t>
        </is>
      </c>
      <c r="B75" s="12" t="inlineStr">
        <is>
          <t>BRD-6 RN</t>
        </is>
      </c>
      <c r="C75" s="12" t="inlineStr">
        <is>
          <t>Drop 1</t>
        </is>
      </c>
      <c r="D75" s="12" t="inlineStr">
        <is>
          <t>Usage requirements (p.186-188); Addendum 1 out of scope (p.21, p.34)</t>
        </is>
      </c>
      <c r="E75" s="12" t="inlineStr">
        <is>
          <t>Contradiction within BRD</t>
        </is>
      </c>
      <c r="F75" s="12" t="inlineStr">
        <is>
          <t>Availability, downtime, maintenance, DR, retention and anonymisation are "Follow existing QPS set up", while Addendum 1 states "Requirements referencing BDOIsys, EBIX, or QPS ... are excluded".</t>
        </is>
      </c>
      <c r="G75" s="12" t="inlineStr">
        <is>
          <t>Build: no NFR values for Renewal. Test: no targets.</t>
        </is>
      </c>
      <c r="H75" s="39" t="inlineStr">
        <is>
          <t>Medium</t>
        </is>
      </c>
      <c r="I75" s="12" t="inlineStr">
        <is>
          <t>Platform</t>
        </is>
      </c>
      <c r="J75" s="12" t="inlineStr">
        <is>
          <t>Apply the BIBS-wide NFR set once agreed (DCR-133 to DCR-139).</t>
        </is>
      </c>
      <c r="K75" s="12" t="inlineStr">
        <is>
          <t>Please give the Renewal NFR values (availability, maintenance, DR, retention).</t>
        </is>
      </c>
      <c r="L75" s="12" t="inlineStr">
        <is>
          <t>Marketing and Processing - Renewal (RMEL)</t>
        </is>
      </c>
      <c r="M75" s="40" t="n">
        <v>46290</v>
      </c>
      <c r="N75" s="32" t="inlineStr">
        <is>
          <t>Open</t>
        </is>
      </c>
      <c r="O75" s="12" t="inlineStr"/>
      <c r="P75" s="40" t="n"/>
      <c r="Q75" s="12" t="inlineStr">
        <is>
          <t>RQ28, XQ08</t>
        </is>
      </c>
    </row>
    <row r="76" ht="41.8" customHeight="1">
      <c r="A76" s="38" t="inlineStr">
        <is>
          <t>DCR-072</t>
        </is>
      </c>
      <c r="B76" s="12" t="inlineStr">
        <is>
          <t>BRD-6 RN</t>
        </is>
      </c>
      <c r="C76" s="12" t="inlineStr">
        <is>
          <t>Drop 1</t>
        </is>
      </c>
      <c r="D76" s="12" t="inlineStr">
        <is>
          <t>BRRN.010 negative scenario (p.28)</t>
        </is>
      </c>
      <c r="E76" s="12" t="inlineStr">
        <is>
          <t>Ambiguity</t>
        </is>
      </c>
      <c r="F76" s="12" t="inlineStr">
        <is>
          <t>BRRN.010 treats sending the RA "outside BDOI's approved domains or without TLS" as a data-privacy violation, but clients use any e-mail domain.</t>
        </is>
      </c>
      <c r="G76" s="12" t="inlineStr">
        <is>
          <t>Build: recipient policy for RA e-mails. Test: sending rules.</t>
        </is>
      </c>
      <c r="H76" s="39" t="inlineStr">
        <is>
          <t>Medium</t>
        </is>
      </c>
      <c r="I76" s="12" t="inlineStr">
        <is>
          <t>Renewal; Notifications</t>
        </is>
      </c>
      <c r="J76" s="12" t="inlineStr">
        <is>
          <t>Send to the registered client e-mail over TLS; restrict only internal copies to BDO domains.</t>
        </is>
      </c>
      <c r="K76" s="12" t="inlineStr">
        <is>
          <t>What are the "approved domains"? Is the RA sent to the client, the AO or the bank unit?</t>
        </is>
      </c>
      <c r="L76" s="12" t="inlineStr">
        <is>
          <t>Marketing and Processing - Renewal (RMEL)</t>
        </is>
      </c>
      <c r="M76" s="40" t="n">
        <v>46290</v>
      </c>
      <c r="N76" s="32" t="inlineStr">
        <is>
          <t>Open</t>
        </is>
      </c>
      <c r="O76" s="12" t="inlineStr"/>
      <c r="P76" s="40" t="n"/>
      <c r="Q76" s="12" t="inlineStr">
        <is>
          <t>RQ16, Q07</t>
        </is>
      </c>
    </row>
    <row r="77" ht="41.8" customHeight="1">
      <c r="A77" s="38" t="inlineStr">
        <is>
          <t>DCR-073</t>
        </is>
      </c>
      <c r="B77" s="12" t="inlineStr">
        <is>
          <t>BRD-6 RN</t>
        </is>
      </c>
      <c r="C77" s="12" t="inlineStr">
        <is>
          <t>Drop 1</t>
        </is>
      </c>
      <c r="D77" s="12" t="inlineStr">
        <is>
          <t>Reason 2.004.4.9 (p.83); BRRN.009; 3.004.4; counter 1.009.3.2.32 (p.74)</t>
        </is>
      </c>
      <c r="E77" s="12" t="inlineStr">
        <is>
          <t>Ambiguity</t>
        </is>
      </c>
      <c r="F77" s="12" t="inlineStr">
        <is>
          <t>"Non-renewable Accounts" is both a reason the AO selects (2.004.4.9) and a system tag (BRRN.009, 3.004.4) that triggers the NFR letter.</t>
        </is>
      </c>
      <c r="G77" s="12" t="inlineStr">
        <is>
          <t>Build: reason list vs tag. Test: NFR letter trigger.</t>
        </is>
      </c>
      <c r="H77" s="39" t="inlineStr">
        <is>
          <t>Medium</t>
        </is>
      </c>
      <c r="I77" s="12" t="inlineStr">
        <is>
          <t>Renewal</t>
        </is>
      </c>
      <c r="J77" s="12" t="inlineStr">
        <is>
          <t>System tag from the non-renewable risk codes; AO reason kept for manual cases.</t>
        </is>
      </c>
      <c r="K77" s="12" t="inlineStr">
        <is>
          <t>Is the NFR sent automatically on the system tag without review? Is NFR the same letter as NRL?</t>
        </is>
      </c>
      <c r="L77" s="12" t="inlineStr">
        <is>
          <t>Marketing and Processing - Renewal (RMEL)</t>
        </is>
      </c>
      <c r="M77" s="40" t="n">
        <v>46290</v>
      </c>
      <c r="N77" s="32" t="inlineStr">
        <is>
          <t>Open</t>
        </is>
      </c>
      <c r="O77" s="12" t="inlineStr"/>
      <c r="P77" s="40" t="n"/>
      <c r="Q77" s="12" t="inlineStr">
        <is>
          <t>RQ07</t>
        </is>
      </c>
    </row>
    <row r="78" ht="41.8" customHeight="1">
      <c r="A78" s="38" t="inlineStr">
        <is>
          <t>DCR-074</t>
        </is>
      </c>
      <c r="B78" s="12" t="inlineStr">
        <is>
          <t>BRD-6 RN</t>
        </is>
      </c>
      <c r="C78" s="12" t="inlineStr">
        <is>
          <t>Drop 1</t>
        </is>
      </c>
      <c r="D78" s="12" t="inlineStr">
        <is>
          <t>BRRN.004 / BRRN.011 (p.23)</t>
        </is>
      </c>
      <c r="E78" s="12" t="inlineStr">
        <is>
          <t>BRD vs platform</t>
        </is>
      </c>
      <c r="F78" s="12" t="inlineStr">
        <is>
          <t>BRRN.004 / 011 require one scrollable view with no pagination. The BDO UX guidelines use a pager ("Showing 1 to n of N").</t>
        </is>
      </c>
      <c r="G78" s="12" t="inlineStr">
        <is>
          <t>Build: grid pattern. Test: large list performance.</t>
        </is>
      </c>
      <c r="H78" s="39" t="inlineStr">
        <is>
          <t>Low</t>
        </is>
      </c>
      <c r="I78" s="12" t="inlineStr">
        <is>
          <t>Renewal</t>
        </is>
      </c>
      <c r="J78" s="12" t="inlineStr">
        <is>
          <t>Virtualised grid with a row count, no pager.</t>
        </is>
      </c>
      <c r="K78" s="12" t="inlineStr">
        <is>
          <t>Is a virtualised scrollable grid with a total row count acceptable?</t>
        </is>
      </c>
      <c r="L78" s="12" t="inlineStr">
        <is>
          <t>Marketing and Processing - Renewal (RMEL)</t>
        </is>
      </c>
      <c r="M78" s="40" t="n">
        <v>46290</v>
      </c>
      <c r="N78" s="32" t="inlineStr">
        <is>
          <t>Open</t>
        </is>
      </c>
      <c r="O78" s="12" t="inlineStr"/>
      <c r="P78" s="40" t="n"/>
      <c r="Q78" s="12" t="inlineStr">
        <is>
          <t>RQ05</t>
        </is>
      </c>
    </row>
    <row r="79" ht="54.4" customHeight="1">
      <c r="A79" s="38" t="inlineStr">
        <is>
          <t>DCR-075</t>
        </is>
      </c>
      <c r="B79" s="12" t="inlineStr">
        <is>
          <t>BRD-6 RN; BRD-3 PM</t>
        </is>
      </c>
      <c r="C79" s="12" t="inlineStr">
        <is>
          <t>Drop 0</t>
        </is>
      </c>
      <c r="D79" s="12" t="inlineStr">
        <is>
          <t>BRD-6 Addendum 1 out of scope (p.34), BRRN.005; BRD-3 BRPM.007</t>
        </is>
      </c>
      <c r="E79" s="12" t="inlineStr">
        <is>
          <t>Gap / missing detail</t>
        </is>
      </c>
      <c r="F79" s="12" t="inlineStr">
        <is>
          <t>Addendum 1 excludes requirements that reference BDOIsys, EBIX or QPS, but policies booked in EBIX / QPS that expire after go-live are not in BIBS. No requirement covers loading them for renewal.</t>
        </is>
      </c>
      <c r="G79" s="12" t="inlineStr">
        <is>
          <t>Business: first-year renewals of legacy policies could be missed. Build: one-time load of expiring policies. Test: renewal list completeness.</t>
        </is>
      </c>
      <c r="H79" s="39" t="inlineStr">
        <is>
          <t>High</t>
        </is>
      </c>
      <c r="I79" s="12" t="inlineStr">
        <is>
          <t>Renewal; Data migration</t>
        </is>
      </c>
      <c r="J79" s="12" t="inlineStr">
        <is>
          <t>One-time load of policies expiring in the first 12 months after go-live, keyed by the EBIX invoice number.</t>
        </is>
      </c>
      <c r="K79" s="12" t="inlineStr">
        <is>
          <t>Is a load of expiring legacy policies required? From which system, and for how many months of expiry?</t>
        </is>
      </c>
      <c r="L79" s="12" t="inlineStr">
        <is>
          <t>Marketing and Processing - Renewal (RMEL)</t>
        </is>
      </c>
      <c r="M79" s="40" t="n">
        <v>46290</v>
      </c>
      <c r="N79" s="32" t="inlineStr">
        <is>
          <t>Open</t>
        </is>
      </c>
      <c r="O79" s="12" t="inlineStr"/>
      <c r="P79" s="40" t="n"/>
      <c r="Q79" s="12" t="inlineStr">
        <is>
          <t>RQ27, RQ06, CQ07</t>
        </is>
      </c>
    </row>
    <row r="80" ht="54.4" customHeight="1">
      <c r="A80" s="38" t="inlineStr">
        <is>
          <t>DCR-076</t>
        </is>
      </c>
      <c r="B80" s="12" t="inlineStr">
        <is>
          <t>BRD-6 RN</t>
        </is>
      </c>
      <c r="C80" s="12" t="inlineStr">
        <is>
          <t>Drop 1</t>
        </is>
      </c>
      <c r="D80" s="12" t="inlineStr">
        <is>
          <t>Workshop addendum heading (p.4); Addendum 1 page header vs approval text (p.19-38)</t>
        </is>
      </c>
      <c r="E80" s="12" t="inlineStr">
        <is>
          <t>Document quality</t>
        </is>
      </c>
      <c r="F80" s="12" t="inlineStr">
        <is>
          <t>The Renewal workshop addendum table is titled "Table of New Business Requirements" (p.4). Addendum 1 pages are headed "Renewal Addendum" while the approval text says "RMEL Phase 2 - Online Dispositioning request".</t>
        </is>
      </c>
      <c r="G80" s="12" t="inlineStr">
        <is>
          <t>None on the build.</t>
        </is>
      </c>
      <c r="H80" s="39" t="inlineStr">
        <is>
          <t>Low</t>
        </is>
      </c>
      <c r="I80" s="12" t="inlineStr">
        <is>
          <t>-</t>
        </is>
      </c>
      <c r="J80" s="12" t="inlineStr">
        <is>
          <t>None.</t>
        </is>
      </c>
      <c r="K80" s="12" t="inlineStr">
        <is>
          <t>None; correct in the next revision.</t>
        </is>
      </c>
      <c r="L80" s="12" t="inlineStr">
        <is>
          <t>Marketing and Processing - Renewal (RMEL)</t>
        </is>
      </c>
      <c r="M80" s="40" t="n">
        <v>46290</v>
      </c>
      <c r="N80" s="32" t="inlineStr">
        <is>
          <t>Open</t>
        </is>
      </c>
      <c r="O80" s="12" t="inlineStr"/>
      <c r="P80" s="40" t="n"/>
      <c r="Q80" s="12" t="inlineStr"/>
    </row>
    <row r="81" ht="54.4" customHeight="1">
      <c r="A81" s="38" t="inlineStr">
        <is>
          <t>DCR-077</t>
        </is>
      </c>
      <c r="B81" s="12" t="inlineStr">
        <is>
          <t>BRD-6 RN</t>
        </is>
      </c>
      <c r="C81" s="12" t="inlineStr">
        <is>
          <t>Drop 1</t>
        </is>
      </c>
      <c r="D81" s="12" t="inlineStr">
        <is>
          <t>Main BRD rows, column "Process Step" (p.44-185); workshop addendum "Source BRD ID" column (p.4-15)</t>
        </is>
      </c>
      <c r="E81" s="12" t="inlineStr">
        <is>
          <t>Gap / missing detail</t>
        </is>
      </c>
      <c r="F81" s="12" t="inlineStr">
        <is>
          <t>Main BRD rows carry a "Process Step" (1-6) but the process flow they refer to is not in the pack. The workshop addendum leaves "Source BRD ID" empty for BRRN.020-040.</t>
        </is>
      </c>
      <c r="G81" s="12" t="inlineStr">
        <is>
          <t>Traceability of BRRN.020-040 to the persona steps is inferred.</t>
        </is>
      </c>
      <c r="H81" s="39" t="inlineStr">
        <is>
          <t>Low</t>
        </is>
      </c>
      <c r="I81" s="12" t="inlineStr">
        <is>
          <t>Renewal</t>
        </is>
      </c>
      <c r="J81" s="12" t="inlineStr">
        <is>
          <t>Mapping in the Renewal spec, section 4.</t>
        </is>
      </c>
      <c r="K81" s="12" t="inlineStr">
        <is>
          <t>Please provide the process flow and the source IDs of BRRN.020-040.</t>
        </is>
      </c>
      <c r="L81" s="12" t="inlineStr">
        <is>
          <t>Marketing and Processing - Renewal (RMEL)</t>
        </is>
      </c>
      <c r="M81" s="40" t="n">
        <v>46290</v>
      </c>
      <c r="N81" s="32" t="inlineStr">
        <is>
          <t>Open</t>
        </is>
      </c>
      <c r="O81" s="12" t="inlineStr"/>
      <c r="P81" s="40" t="n"/>
      <c r="Q81" s="12" t="inlineStr"/>
    </row>
    <row r="82" ht="67" customHeight="1">
      <c r="A82" s="38" t="inlineStr">
        <is>
          <t>DCR-078</t>
        </is>
      </c>
      <c r="B82" s="12" t="inlineStr">
        <is>
          <t>BRD-7 CLM</t>
        </is>
      </c>
      <c r="C82" s="12" t="inlineStr">
        <is>
          <t>Drop 2</t>
        </is>
      </c>
      <c r="D82" s="12" t="inlineStr">
        <is>
          <t>BRCLM.014 (p.14); overview (p.23); target process (p.27); stakeholder matrix (p.28)</t>
        </is>
      </c>
      <c r="E82" s="12" t="inlineStr">
        <is>
          <t>Ambiguity</t>
        </is>
      </c>
      <c r="F82" s="12" t="inlineStr">
        <is>
          <t>The "Requested Type of Settlement" values are outcomes (e.g. "Closed - Denied", "Settled - LOA Issued"). The overview lists "Settlement Types" and "Settlement Status" separately, and p.27 / p.28 ask to "Maintain Settlement Type Status values" with no ID and no values.</t>
        </is>
      </c>
      <c r="G82" s="12" t="inlineStr">
        <is>
          <t>Business: claim closure and reporting. Build: status and settlement model. Test: closure cases.</t>
        </is>
      </c>
      <c r="H82" s="39" t="inlineStr">
        <is>
          <t>High</t>
        </is>
      </c>
      <c r="I82" s="12" t="inlineStr">
        <is>
          <t>Claims</t>
        </is>
      </c>
      <c r="J82" s="12" t="inlineStr">
        <is>
          <t>One settlement-type list with a "closes claim" flag, maintained as a list of values.</t>
        </is>
      </c>
      <c r="K82" s="12" t="inlineStr">
        <is>
          <t>Are settlement type and settlement status one list or two? Which values close the claim?</t>
        </is>
      </c>
      <c r="L82" s="12" t="inlineStr">
        <is>
          <t>Claims and Risk Management</t>
        </is>
      </c>
      <c r="M82" s="40" t="n">
        <v>46290</v>
      </c>
      <c r="N82" s="32" t="inlineStr">
        <is>
          <t>Open</t>
        </is>
      </c>
      <c r="O82" s="12" t="inlineStr"/>
      <c r="P82" s="40" t="n"/>
      <c r="Q82" s="12" t="inlineStr">
        <is>
          <t>CLQ05, CLQ28</t>
        </is>
      </c>
    </row>
    <row r="83" ht="41.8" customHeight="1">
      <c r="A83" s="38" t="inlineStr">
        <is>
          <t>DCR-079</t>
        </is>
      </c>
      <c r="B83" s="12" t="inlineStr">
        <is>
          <t>BRD-7 CLM</t>
        </is>
      </c>
      <c r="C83" s="12" t="inlineStr">
        <is>
          <t>Drop 2</t>
        </is>
      </c>
      <c r="D83" s="12" t="inlineStr">
        <is>
          <t>BRCLM.005 (p.13); BRCLM.035 (p.16); stakeholder matrix (p.28)</t>
        </is>
      </c>
      <c r="E83" s="12" t="inlineStr">
        <is>
          <t>Contradiction within BRD</t>
        </is>
      </c>
      <c r="F83" s="12" t="inlineStr">
        <is>
          <t>Claims Officers "Tag closures as temporary or permanent" (p.28, BRCLM.035), while closing a claim is a Team Head / Team Lead permission (BRCLM.005).</t>
        </is>
      </c>
      <c r="G83" s="12" t="inlineStr">
        <is>
          <t>Build: closure permissions. Test: access cases.</t>
        </is>
      </c>
      <c r="H83" s="39" t="inlineStr">
        <is>
          <t>Medium</t>
        </is>
      </c>
      <c r="I83" s="12" t="inlineStr">
        <is>
          <t>Claims</t>
        </is>
      </c>
      <c r="J83" s="12" t="inlineStr">
        <is>
          <t>Officers set temporary closure; TL / TH close permanently and reopen.</t>
        </is>
      </c>
      <c r="K83" s="12" t="inlineStr">
        <is>
          <t>Who may close a claim permanently, and who may reopen it?</t>
        </is>
      </c>
      <c r="L83" s="12" t="inlineStr">
        <is>
          <t>Claims and Risk Management</t>
        </is>
      </c>
      <c r="M83" s="40" t="n">
        <v>46290</v>
      </c>
      <c r="N83" s="32" t="inlineStr">
        <is>
          <t>Open</t>
        </is>
      </c>
      <c r="O83" s="12" t="inlineStr"/>
      <c r="P83" s="40" t="n"/>
      <c r="Q83" s="12" t="inlineStr">
        <is>
          <t>CLQ06</t>
        </is>
      </c>
    </row>
    <row r="84" ht="54.4" customHeight="1">
      <c r="A84" s="38" t="inlineStr">
        <is>
          <t>DCR-080</t>
        </is>
      </c>
      <c r="B84" s="12" t="inlineStr">
        <is>
          <t>BRD-7 CLM</t>
        </is>
      </c>
      <c r="C84" s="12" t="inlineStr">
        <is>
          <t>Drop 2</t>
        </is>
      </c>
      <c r="D84" s="12" t="inlineStr">
        <is>
          <t>Retention table NFR 25.18-25.25 (p.41)</t>
        </is>
      </c>
      <c r="E84" s="12" t="inlineStr">
        <is>
          <t>Contradiction within BRD</t>
        </is>
      </c>
      <c r="F84" s="12" t="inlineStr">
        <is>
          <t>Audit logs are archived "16 years" while every record type is purged "after 15 years". The table header says "Values on the table are sample requirements you can use" (also the capacity table, p.39).</t>
        </is>
      </c>
      <c r="G84" s="12" t="inlineStr">
        <is>
          <t>Build: retention rules; whether the values are binding. Test: purge cases.</t>
        </is>
      </c>
      <c r="H84" s="39" t="inlineStr">
        <is>
          <t>Medium</t>
        </is>
      </c>
      <c r="I84" s="12" t="inlineStr">
        <is>
          <t>Claims; Platform (retention)</t>
        </is>
      </c>
      <c r="J84" s="12" t="inlineStr">
        <is>
          <t>Treat the values as requirements; audit logs purged after 16 years.</t>
        </is>
      </c>
      <c r="K84" s="12" t="inlineStr">
        <is>
          <t>Are the capacity and retention values requirements or samples? Is the audit-log archive 15 or 16 years?</t>
        </is>
      </c>
      <c r="L84" s="12" t="inlineStr">
        <is>
          <t>Claims and Risk Management</t>
        </is>
      </c>
      <c r="M84" s="40" t="n">
        <v>46290</v>
      </c>
      <c r="N84" s="32" t="inlineStr">
        <is>
          <t>Open</t>
        </is>
      </c>
      <c r="O84" s="12" t="inlineStr"/>
      <c r="P84" s="40" t="n"/>
      <c r="Q84" s="12" t="inlineStr">
        <is>
          <t>CLQ24, Q39</t>
        </is>
      </c>
    </row>
    <row r="85" ht="79.59999999999999" customHeight="1">
      <c r="A85" s="38" t="inlineStr">
        <is>
          <t>DCR-081</t>
        </is>
      </c>
      <c r="B85" s="12" t="inlineStr">
        <is>
          <t>BRD-7 CLM</t>
        </is>
      </c>
      <c r="C85" s="12" t="inlineStr">
        <is>
          <t>Drop 2</t>
        </is>
      </c>
      <c r="D85" s="12" t="inlineStr">
        <is>
          <t>Overview and assumptions (p.23)</t>
        </is>
      </c>
      <c r="E85" s="12" t="inlineStr">
        <is>
          <t>BRD vs platform</t>
        </is>
      </c>
      <c r="F85" s="12" t="inlineStr">
        <is>
          <t>The BRD asks for "a facility in eBIX" and assumes "the existing claims module is functional and can be enhanced"; assumption 3: "Data migration and integration with existing systems will be seamless". In BIBS the broker claims module is a new build; the platform's insurer-side claims module does not fit a broker.</t>
        </is>
      </c>
      <c r="G85" s="12" t="inlineStr">
        <is>
          <t>Build: new module; claims history must be migrated. Test: migration.</t>
        </is>
      </c>
      <c r="H85" s="39" t="inlineStr">
        <is>
          <t>Medium</t>
        </is>
      </c>
      <c r="I85" s="12" t="inlineStr">
        <is>
          <t>Claims; Data migration</t>
        </is>
      </c>
      <c r="J85" s="12" t="inlineStr">
        <is>
          <t>New broker claims module; open and historical claims migrated from EBIX / ISYS.</t>
        </is>
      </c>
      <c r="K85" s="12" t="inlineStr">
        <is>
          <t>Which open and historical claims (years, format) must be migrated?</t>
        </is>
      </c>
      <c r="L85" s="12" t="inlineStr">
        <is>
          <t>Claims and Risk Management</t>
        </is>
      </c>
      <c r="M85" s="40" t="n">
        <v>46290</v>
      </c>
      <c r="N85" s="32" t="inlineStr">
        <is>
          <t>Open</t>
        </is>
      </c>
      <c r="O85" s="12" t="inlineStr"/>
      <c r="P85" s="40" t="n"/>
      <c r="Q85" s="12" t="inlineStr">
        <is>
          <t>CLQ14</t>
        </is>
      </c>
    </row>
    <row r="86" ht="54.4" customHeight="1">
      <c r="A86" s="38" t="inlineStr">
        <is>
          <t>DCR-082</t>
        </is>
      </c>
      <c r="B86" s="12" t="inlineStr">
        <is>
          <t>BRD-7 CLM</t>
        </is>
      </c>
      <c r="C86" s="12" t="inlineStr">
        <is>
          <t>Drop 2</t>
        </is>
      </c>
      <c r="D86" s="12" t="inlineStr">
        <is>
          <t>p.13 ("1BRCLM.004"); BRCLM.027, 029, 030; glossary (p.22); approval (p.9)</t>
        </is>
      </c>
      <c r="E86" s="12" t="inlineStr">
        <is>
          <t>Document quality</t>
        </is>
      </c>
      <c r="F86" s="12" t="inlineStr">
        <is>
          <t>ID printed "1BRCLM.004"; BRCLM.027, 029 and 030 have no process component; the glossary and references page is empty (CNR, CASA, LOA, PLA, CRF undefined); a reviewer name is printed "Dan Ace Cəuton".</t>
        </is>
      </c>
      <c r="G86" s="12" t="inlineStr">
        <is>
          <t>None on the build; acronyms need a glossary.</t>
        </is>
      </c>
      <c r="H86" s="39" t="inlineStr">
        <is>
          <t>Low</t>
        </is>
      </c>
      <c r="I86" s="12" t="inlineStr">
        <is>
          <t>Claims</t>
        </is>
      </c>
      <c r="J86" s="12" t="inlineStr">
        <is>
          <t>None.</t>
        </is>
      </c>
      <c r="K86" s="12" t="inlineStr">
        <is>
          <t>Please expand CNR and CASA.</t>
        </is>
      </c>
      <c r="L86" s="12" t="inlineStr">
        <is>
          <t>Claims and Risk Management</t>
        </is>
      </c>
      <c r="M86" s="40" t="n">
        <v>46290</v>
      </c>
      <c r="N86" s="32" t="inlineStr">
        <is>
          <t>Open</t>
        </is>
      </c>
      <c r="O86" s="12" t="inlineStr"/>
      <c r="P86" s="40" t="n"/>
      <c r="Q86" s="12" t="inlineStr">
        <is>
          <t>CLQ12</t>
        </is>
      </c>
    </row>
    <row r="87" ht="54.4" customHeight="1">
      <c r="A87" s="38" t="inlineStr">
        <is>
          <t>DCR-083</t>
        </is>
      </c>
      <c r="B87" s="12" t="inlineStr">
        <is>
          <t>BRD-7 CLM</t>
        </is>
      </c>
      <c r="C87" s="12" t="inlineStr">
        <is>
          <t>Drop 2</t>
        </is>
      </c>
      <c r="D87" s="12" t="inlineStr">
        <is>
          <t>Workshop addendum purpose (p.4); BRCLM.037-043 (p.5-7)</t>
        </is>
      </c>
      <c r="E87" s="12" t="inlineStr">
        <is>
          <t>Ambiguity</t>
        </is>
      </c>
      <c r="F87" s="12" t="inlineStr">
        <is>
          <t>The workshop addendum "does not introduce a change in project scope", yet it adds seven must-have requirements (multi-location, claims-prone locations, insurer updates, location references, several insurer claim numbers).</t>
        </is>
      </c>
      <c r="G87" s="12" t="inlineStr">
        <is>
          <t>Business: scope baseline. Build: BRCLM.037-043 are baselined in scope.</t>
        </is>
      </c>
      <c r="H87" s="39" t="inlineStr">
        <is>
          <t>Medium</t>
        </is>
      </c>
      <c r="I87" s="12" t="inlineStr">
        <is>
          <t>Claims</t>
        </is>
      </c>
      <c r="J87" s="12" t="inlineStr">
        <is>
          <t>Treat BRCLM.037-043 as in scope.</t>
        </is>
      </c>
      <c r="K87" s="12" t="inlineStr">
        <is>
          <t>Confirm BRCLM.037-043 are in scope for the first release.</t>
        </is>
      </c>
      <c r="L87" s="12" t="inlineStr">
        <is>
          <t>Claims and Risk Management</t>
        </is>
      </c>
      <c r="M87" s="40" t="n">
        <v>46290</v>
      </c>
      <c r="N87" s="32" t="inlineStr">
        <is>
          <t>Open</t>
        </is>
      </c>
      <c r="O87" s="12" t="inlineStr"/>
      <c r="P87" s="40" t="n"/>
      <c r="Q87" s="12" t="inlineStr">
        <is>
          <t>CLQ16, CLQ17, CLQ18, CLQ19</t>
        </is>
      </c>
    </row>
    <row r="88" ht="79.59999999999999" customHeight="1">
      <c r="A88" s="38" t="inlineStr">
        <is>
          <t>DCR-084</t>
        </is>
      </c>
      <c r="B88" s="12" t="inlineStr">
        <is>
          <t>BRD-7 CLM; Report List</t>
        </is>
      </c>
      <c r="C88" s="12" t="inlineStr">
        <is>
          <t>Drop 2</t>
        </is>
      </c>
      <c r="D88" s="12" t="inlineStr">
        <is>
          <t>BRD-7 report list (p.42-44); Report List claims reports (p.39-42)</t>
        </is>
      </c>
      <c r="E88" s="12" t="inlineStr">
        <is>
          <t>Conflict between BRDs</t>
        </is>
      </c>
      <c r="F88" s="12" t="inlineStr">
        <is>
          <t>The Report List names ISYS as source of the claims reports and adds fields (adjuster appointed, loss reserve, paid to date, last action date) and age brackets 0-30 / 31-60 / 61-90 / 91-180 / 181+ that the Claims BRD does not list. The BRD sends report files to a "Shared Drive" (p.39-40).</t>
        </is>
      </c>
      <c r="G88" s="12" t="inlineStr">
        <is>
          <t>Build: report layouts and delivery. Test: report columns.</t>
        </is>
      </c>
      <c r="H88" s="39" t="inlineStr">
        <is>
          <t>Medium</t>
        </is>
      </c>
      <c r="I88" s="12" t="inlineStr">
        <is>
          <t>Claims; Reports</t>
        </is>
      </c>
      <c r="J88" s="12" t="inlineStr">
        <is>
          <t>BIBS replaces ISYS for claims reports; columns from both documents; files kept in BIBS.</t>
        </is>
      </c>
      <c r="K88" s="12" t="inlineStr">
        <is>
          <t>Does BIBS replace ISYS for claims reporting? Confirm the columns and aging brackets and whether files must be placed on a shared drive.</t>
        </is>
      </c>
      <c r="L88" s="12" t="inlineStr">
        <is>
          <t>Claims and Risk Management</t>
        </is>
      </c>
      <c r="M88" s="40" t="n">
        <v>46290</v>
      </c>
      <c r="N88" s="32" t="inlineStr">
        <is>
          <t>Open</t>
        </is>
      </c>
      <c r="O88" s="12" t="inlineStr"/>
      <c r="P88" s="40" t="n"/>
      <c r="Q88" s="12" t="inlineStr">
        <is>
          <t>CLQ21, OQ43, OQ17</t>
        </is>
      </c>
    </row>
    <row r="89" ht="79.59999999999999" customHeight="1">
      <c r="A89" s="38" t="inlineStr">
        <is>
          <t>DCR-085</t>
        </is>
      </c>
      <c r="B89" s="12" t="inlineStr">
        <is>
          <t>BRD-7 CLM</t>
        </is>
      </c>
      <c r="C89" s="12" t="inlineStr">
        <is>
          <t>Drop 2</t>
        </is>
      </c>
      <c r="D89" s="12" t="inlineStr">
        <is>
          <t>BRCLM.001; NFR 15.05 (p.39-40)</t>
        </is>
      </c>
      <c r="E89" s="12" t="inlineStr">
        <is>
          <t>Gap / missing detail</t>
        </is>
      </c>
      <c r="F89" s="12" t="inlineStr">
        <is>
          <t>BRCLM.001 blocks a claim on unpaid premium by disabling the "Claims Authorization Code", which is not defined (EBIX function, code to the insurer, or internal approval), nor is "unpaid" (any invoice of the policy year, the invoice covering the loss date, instalments, direct payment).</t>
        </is>
      </c>
      <c r="G89" s="12" t="inlineStr">
        <is>
          <t>Business: valid claims could be blocked. Build: premium validation rule. Test: claim intake cases.</t>
        </is>
      </c>
      <c r="H89" s="39" t="inlineStr">
        <is>
          <t>High</t>
        </is>
      </c>
      <c r="I89" s="12" t="inlineStr">
        <is>
          <t>Claims; Collections</t>
        </is>
      </c>
      <c r="J89" s="12" t="inlineStr">
        <is>
          <t>Block when the invoice covering the loss date has an outstanding balance, with TL / TH override and reason.</t>
        </is>
      </c>
      <c r="K89" s="12" t="inlineStr">
        <is>
          <t>What is the Claims Authorization Code, which unpaid invoices block a claim, and may a TL / TH override?</t>
        </is>
      </c>
      <c r="L89" s="12" t="inlineStr">
        <is>
          <t>Claims and Risk Management</t>
        </is>
      </c>
      <c r="M89" s="40" t="n">
        <v>46290</v>
      </c>
      <c r="N89" s="32" t="inlineStr">
        <is>
          <t>Open</t>
        </is>
      </c>
      <c r="O89" s="12" t="inlineStr"/>
      <c r="P89" s="40" t="n"/>
      <c r="Q89" s="12" t="inlineStr">
        <is>
          <t>CLQ01</t>
        </is>
      </c>
    </row>
    <row r="90" ht="54.4" customHeight="1">
      <c r="A90" s="38" t="inlineStr">
        <is>
          <t>DCR-086</t>
        </is>
      </c>
      <c r="B90" s="12" t="inlineStr">
        <is>
          <t>BRD-7 CLM; BRD-2 OPS</t>
        </is>
      </c>
      <c r="C90" s="12" t="inlineStr">
        <is>
          <t>Drop 1</t>
        </is>
      </c>
      <c r="D90" s="12" t="inlineStr">
        <is>
          <t>BRD-7 BRCLM.010 statuses (p.13-14), current process (p.24-26); BRD-2 MKTID.009</t>
        </is>
      </c>
      <c r="E90" s="12" t="inlineStr">
        <is>
          <t>Gap / missing detail</t>
        </is>
      </c>
      <c r="F90" s="12" t="inlineStr">
        <is>
          <t>Claims statuses include "With BDOI - For Transmittal of Settlement Check", but no BRD says whether claim money ever passes through BDOI (cheque payable to BDOI, fund transfer) or what is recorded for the transmittal.</t>
        </is>
      </c>
      <c r="G90" s="12" t="inlineStr">
        <is>
          <t>Business: cash handling. Build: Cashiering and Disbursement flows only if money passes through BDOI. Test: settlement cases.</t>
        </is>
      </c>
      <c r="H90" s="39" t="inlineStr">
        <is>
          <t>High</t>
        </is>
      </c>
      <c r="I90" s="12" t="inlineStr">
        <is>
          <t>Claims; Cashiering; Disbursement</t>
        </is>
      </c>
      <c r="J90" s="12" t="inlineStr">
        <is>
          <t>No claim money through BDOI; record cheque number, bank, amount and received / released dates only.</t>
        </is>
      </c>
      <c r="K90" s="12" t="inlineStr">
        <is>
          <t>Does BDOI ever receive or pay claim money? What must be recorded when transmitting a settlement cheque?</t>
        </is>
      </c>
      <c r="L90" s="12" t="inlineStr">
        <is>
          <t>Claims and Risk Management</t>
        </is>
      </c>
      <c r="M90" s="40" t="n">
        <v>46290</v>
      </c>
      <c r="N90" s="32" t="inlineStr">
        <is>
          <t>Open</t>
        </is>
      </c>
      <c r="O90" s="12" t="inlineStr"/>
      <c r="P90" s="40" t="n"/>
      <c r="Q90" s="12" t="inlineStr">
        <is>
          <t>CLQ10, OQ46</t>
        </is>
      </c>
    </row>
    <row r="91" ht="54.4" customHeight="1">
      <c r="A91" s="38" t="inlineStr">
        <is>
          <t>DCR-087</t>
        </is>
      </c>
      <c r="B91" s="12" t="inlineStr">
        <is>
          <t>BRD-8 EB</t>
        </is>
      </c>
      <c r="C91" s="12" t="inlineStr">
        <is>
          <t>Drop 2</t>
        </is>
      </c>
      <c r="D91" s="12" t="inlineStr">
        <is>
          <t>BRID-001 (p.24); Turn-around-time annex (p.59)</t>
        </is>
      </c>
      <c r="E91" s="12" t="inlineStr">
        <is>
          <t>Contradiction within BRD</t>
        </is>
      </c>
      <c r="F91" s="12" t="inlineStr">
        <is>
          <t>BRID-001 sends the renewal advice "at a defined period (e.g., 180 days)" before expiry; the TAT annex says "Send renewal notice to client: 135 days prior to inception date".</t>
        </is>
      </c>
      <c r="G91" s="12" t="inlineStr">
        <is>
          <t>Build: RA schedule. Test: RA dates.</t>
        </is>
      </c>
      <c r="H91" s="39" t="inlineStr">
        <is>
          <t>Medium</t>
        </is>
      </c>
      <c r="I91" s="12" t="inlineStr">
        <is>
          <t>Employee Benefits; Notifications</t>
        </is>
      </c>
      <c r="J91" s="12" t="inlineStr">
        <is>
          <t>Lead time as a parameter, default 135 days (the specific value).</t>
        </is>
      </c>
      <c r="K91" s="12" t="inlineStr">
        <is>
          <t>Is the EB renewal advice sent 180 or 135 days before expiry? How many reminders?</t>
        </is>
      </c>
      <c r="L91" s="12" t="inlineStr">
        <is>
          <t>Employee Benefits - Marketing, Processing and Collection</t>
        </is>
      </c>
      <c r="M91" s="40" t="n">
        <v>46290</v>
      </c>
      <c r="N91" s="32" t="inlineStr">
        <is>
          <t>Open</t>
        </is>
      </c>
      <c r="O91" s="12" t="inlineStr"/>
      <c r="P91" s="40" t="n"/>
      <c r="Q91" s="12" t="inlineStr">
        <is>
          <t>EBQ02</t>
        </is>
      </c>
    </row>
    <row r="92" ht="41.8" customHeight="1">
      <c r="A92" s="38" t="inlineStr">
        <is>
          <t>DCR-088</t>
        </is>
      </c>
      <c r="B92" s="12" t="inlineStr">
        <is>
          <t>BRD-8 EB</t>
        </is>
      </c>
      <c r="C92" s="12" t="inlineStr">
        <is>
          <t>Drop 2</t>
        </is>
      </c>
      <c r="D92" s="12" t="inlineStr">
        <is>
          <t>BRID-008 (p.30-31); addendum flow (Add. p.4); main flow (p.22)</t>
        </is>
      </c>
      <c r="E92" s="12" t="inlineStr">
        <is>
          <t>Contradiction within BRD</t>
        </is>
      </c>
      <c r="F92" s="12" t="inlineStr">
        <is>
          <t>The BRID-008 negative scenario treats a BOR uploaded for a renewal transaction as invalid, while both flow charts request the BOR in the renewal lane.</t>
        </is>
      </c>
      <c r="G92" s="12" t="inlineStr">
        <is>
          <t>Build: BOR validation. Test: renewal with BOR.</t>
        </is>
      </c>
      <c r="H92" s="39" t="inlineStr">
        <is>
          <t>Medium</t>
        </is>
      </c>
      <c r="I92" s="12" t="inlineStr">
        <is>
          <t>Employee Benefits; Documents</t>
        </is>
      </c>
      <c r="J92" s="12" t="inlineStr">
        <is>
          <t>BOR required for new business and for renewals being remarketed to other insurers.</t>
        </is>
      </c>
      <c r="K92" s="12" t="inlineStr">
        <is>
          <t>When is a Broker on Record needed for a renewal: never, when remarketing, or always?</t>
        </is>
      </c>
      <c r="L92" s="12" t="inlineStr">
        <is>
          <t>Employee Benefits - Marketing, Processing and Collection</t>
        </is>
      </c>
      <c r="M92" s="40" t="n">
        <v>46290</v>
      </c>
      <c r="N92" s="32" t="inlineStr">
        <is>
          <t>Open</t>
        </is>
      </c>
      <c r="O92" s="12" t="inlineStr"/>
      <c r="P92" s="40" t="n"/>
      <c r="Q92" s="12" t="inlineStr">
        <is>
          <t>EBQ05, EBQ06</t>
        </is>
      </c>
    </row>
    <row r="93" ht="41.8" customHeight="1">
      <c r="A93" s="38" t="inlineStr">
        <is>
          <t>DCR-089</t>
        </is>
      </c>
      <c r="B93" s="12" t="inlineStr">
        <is>
          <t>BRD-8 EB</t>
        </is>
      </c>
      <c r="C93" s="12" t="inlineStr">
        <is>
          <t>Drop 2</t>
        </is>
      </c>
      <c r="D93" s="12" t="inlineStr">
        <is>
          <t>Addendum out of scope (Add. p.13); main BRD BRID-028; current role matrix (p.58)</t>
        </is>
      </c>
      <c r="E93" s="12" t="inlineStr">
        <is>
          <t>Contradiction within BRD</t>
        </is>
      </c>
      <c r="F93" s="12" t="inlineStr">
        <is>
          <t>The addendum states "BRID-0028 as high risks account is not applicable to Employee Benefits", but BRID-028 remains in the main BRD and in the current role matrix.</t>
        </is>
      </c>
      <c r="G93" s="12" t="inlineStr">
        <is>
          <t>Build: none (OUT).</t>
        </is>
      </c>
      <c r="H93" s="39" t="inlineStr">
        <is>
          <t>Low</t>
        </is>
      </c>
      <c r="I93" s="12" t="inlineStr">
        <is>
          <t>Employee Benefits</t>
        </is>
      </c>
      <c r="J93" s="12" t="inlineStr">
        <is>
          <t>BRID-028 out of scope.</t>
        </is>
      </c>
      <c r="K93" s="12" t="inlineStr">
        <is>
          <t>Confirm that no high-risk handling applies to EB.</t>
        </is>
      </c>
      <c r="L93" s="12" t="inlineStr">
        <is>
          <t>Employee Benefits - Marketing, Processing and Collection</t>
        </is>
      </c>
      <c r="M93" s="40" t="n">
        <v>46290</v>
      </c>
      <c r="N93" s="32" t="inlineStr">
        <is>
          <t>Answered</t>
        </is>
      </c>
      <c r="O93" s="12" t="inlineStr">
        <is>
          <t>EB Addendum p.13: "BRID-0028 as high risks account is not applicable to Employee Benefits."</t>
        </is>
      </c>
      <c r="P93" s="40" t="n"/>
      <c r="Q93" s="12" t="inlineStr">
        <is>
          <t>EBQ26</t>
        </is>
      </c>
    </row>
    <row r="94" ht="67" customHeight="1">
      <c r="A94" s="38" t="inlineStr">
        <is>
          <t>DCR-090</t>
        </is>
      </c>
      <c r="B94" s="12" t="inlineStr">
        <is>
          <t>BRD-8 EB</t>
        </is>
      </c>
      <c r="C94" s="12" t="inlineStr">
        <is>
          <t>Drop 2</t>
        </is>
      </c>
      <c r="D94" s="12" t="inlineStr">
        <is>
          <t>Addendum flow (Add. p.4); main flow (p.22)</t>
        </is>
      </c>
      <c r="E94" s="12" t="inlineStr">
        <is>
          <t>Gap / missing detail</t>
        </is>
      </c>
      <c r="F94" s="12" t="inlineStr">
        <is>
          <t>The addendum flow adds steps not in the main flow and without requirement rows: franchise approval before TOR release, and an ISACOM approval "if the policy will be awarded to a non-accredited provider". ISACOM and franchise are not defined.</t>
        </is>
      </c>
      <c r="G94" s="12" t="inlineStr">
        <is>
          <t>Build: approval steps. Test: no criteria.</t>
        </is>
      </c>
      <c r="H94" s="39" t="inlineStr">
        <is>
          <t>Medium</t>
        </is>
      </c>
      <c r="I94" s="12" t="inlineStr">
        <is>
          <t>Employee Benefits</t>
        </is>
      </c>
      <c r="J94" s="12" t="inlineStr">
        <is>
          <t>Franchise approval and ISACOM approval as optional workflow steps, off until defined.</t>
        </is>
      </c>
      <c r="K94" s="12" t="inlineStr">
        <is>
          <t>What is ISACOM and when is its approval needed? What is a franchise, and is it needed for the incumbent?</t>
        </is>
      </c>
      <c r="L94" s="12" t="inlineStr">
        <is>
          <t>Employee Benefits - Marketing, Processing and Collection</t>
        </is>
      </c>
      <c r="M94" s="40" t="n">
        <v>46290</v>
      </c>
      <c r="N94" s="32" t="inlineStr">
        <is>
          <t>Open</t>
        </is>
      </c>
      <c r="O94" s="12" t="inlineStr"/>
      <c r="P94" s="40" t="n"/>
      <c r="Q94" s="12" t="inlineStr">
        <is>
          <t>EBQ07, EBQ24</t>
        </is>
      </c>
    </row>
    <row r="95" ht="41.8" customHeight="1">
      <c r="A95" s="38" t="inlineStr">
        <is>
          <t>DCR-091</t>
        </is>
      </c>
      <c r="B95" s="12" t="inlineStr">
        <is>
          <t>BRD-8 EB</t>
        </is>
      </c>
      <c r="C95" s="12" t="inlineStr">
        <is>
          <t>Drop 2</t>
        </is>
      </c>
      <c r="D95" s="12" t="inlineStr">
        <is>
          <t>Volumes per team (Add. p.14)</t>
        </is>
      </c>
      <c r="E95" s="12" t="inlineStr">
        <is>
          <t>Data / numbering issue</t>
        </is>
      </c>
      <c r="F95" s="12" t="inlineStr">
        <is>
          <t>Growth percentages do not match the figures: Voluntary 550 to 560 is shown as 3% (1.8%); BDO 400 to 550 as 38% (37.5%); Solicited 700 to 900 as 29% (28.6%).</t>
        </is>
      </c>
      <c r="G95" s="12" t="inlineStr">
        <is>
          <t>Sizing only.</t>
        </is>
      </c>
      <c r="H95" s="39" t="inlineStr">
        <is>
          <t>Low</t>
        </is>
      </c>
      <c r="I95" s="12" t="inlineStr">
        <is>
          <t>Platform (sizing)</t>
        </is>
      </c>
      <c r="J95" s="12" t="inlineStr">
        <is>
          <t>Use the absolute figures.</t>
        </is>
      </c>
      <c r="K95" s="12" t="inlineStr">
        <is>
          <t>None.</t>
        </is>
      </c>
      <c r="L95" s="12" t="inlineStr">
        <is>
          <t>Employee Benefits - Marketing, Processing and Collection</t>
        </is>
      </c>
      <c r="M95" s="40" t="n">
        <v>46290</v>
      </c>
      <c r="N95" s="32" t="inlineStr">
        <is>
          <t>Open</t>
        </is>
      </c>
      <c r="O95" s="12" t="inlineStr"/>
      <c r="P95" s="40" t="n"/>
      <c r="Q95" s="12" t="inlineStr"/>
    </row>
    <row r="96" ht="67" customHeight="1">
      <c r="A96" s="38" t="inlineStr">
        <is>
          <t>DCR-092</t>
        </is>
      </c>
      <c r="B96" s="12" t="inlineStr">
        <is>
          <t>BRD-8 EB</t>
        </is>
      </c>
      <c r="C96" s="12" t="inlineStr">
        <is>
          <t>Drop 2</t>
        </is>
      </c>
      <c r="D96" s="12" t="inlineStr">
        <is>
          <t>Usage requirements (p.53-54)</t>
        </is>
      </c>
      <c r="E96" s="12" t="inlineStr">
        <is>
          <t>Gap / missing detail</t>
        </is>
      </c>
      <c r="F96" s="12" t="inlineStr">
        <is>
          <t>The EB usage table gives users only (Marketing 13, Processing 4, Collection 3); transaction volume, growth and expected response time are blank. Peak hours are written "08:30 - 07:00pm". Insurer and client portal users are not sized.</t>
        </is>
      </c>
      <c r="G96" s="12" t="inlineStr">
        <is>
          <t>Build: portal sizing. Test: no response-time target.</t>
        </is>
      </c>
      <c r="H96" s="39" t="inlineStr">
        <is>
          <t>Medium</t>
        </is>
      </c>
      <c r="I96" s="12" t="inlineStr">
        <is>
          <t>Employee Benefits; Insurer / Client Portal</t>
        </is>
      </c>
      <c r="J96" s="12" t="inlineStr">
        <is>
          <t>Apply the BIBS response-time target; size the portal after EBQ13.</t>
        </is>
      </c>
      <c r="K96" s="12" t="inlineStr">
        <is>
          <t>Please give response times, and the number of insurer and client portal users.</t>
        </is>
      </c>
      <c r="L96" s="12" t="inlineStr">
        <is>
          <t>Employee Benefits - Marketing, Processing and Collection</t>
        </is>
      </c>
      <c r="M96" s="40" t="n">
        <v>46290</v>
      </c>
      <c r="N96" s="32" t="inlineStr">
        <is>
          <t>Open</t>
        </is>
      </c>
      <c r="O96" s="12" t="inlineStr"/>
      <c r="P96" s="40" t="n"/>
      <c r="Q96" s="12" t="inlineStr">
        <is>
          <t>EBQ25, EBQ13</t>
        </is>
      </c>
    </row>
    <row r="97" ht="41.8" customHeight="1">
      <c r="A97" s="38" t="inlineStr">
        <is>
          <t>DCR-093</t>
        </is>
      </c>
      <c r="B97" s="12" t="inlineStr">
        <is>
          <t>BRD-8 EB</t>
        </is>
      </c>
      <c r="C97" s="12" t="inlineStr">
        <is>
          <t>Drop 2</t>
        </is>
      </c>
      <c r="D97" s="12" t="inlineStr">
        <is>
          <t>Executive summary (p.20)</t>
        </is>
      </c>
      <c r="E97" s="12" t="inlineStr">
        <is>
          <t>Gap / missing detail</t>
        </is>
      </c>
      <c r="F97" s="12" t="inlineStr">
        <is>
          <t>The executive summary cites internal guidelines "MIS Credit / no payment no booking on adjustment"; no requirement row defines them.</t>
        </is>
      </c>
      <c r="G97" s="12" t="inlineStr">
        <is>
          <t>Business: booking of member movements. Build: adjustment booking rule.</t>
        </is>
      </c>
      <c r="H97" s="39" t="inlineStr">
        <is>
          <t>Medium</t>
        </is>
      </c>
      <c r="I97" s="12" t="inlineStr">
        <is>
          <t>Employee Benefits; Adjustment; Booking</t>
        </is>
      </c>
      <c r="J97" s="12" t="inlineStr">
        <is>
          <t>Book a member-movement adjustment only after payment, when the guideline applies.</t>
        </is>
      </c>
      <c r="K97" s="12" t="inlineStr">
        <is>
          <t>What is "MIS Credit", and does "no payment no booking" apply to every EB adjustment?</t>
        </is>
      </c>
      <c r="L97" s="12" t="inlineStr">
        <is>
          <t>Employee Benefits - Marketing, Processing and Collection</t>
        </is>
      </c>
      <c r="M97" s="40" t="n">
        <v>46290</v>
      </c>
      <c r="N97" s="32" t="inlineStr">
        <is>
          <t>Open</t>
        </is>
      </c>
      <c r="O97" s="12" t="inlineStr"/>
      <c r="P97" s="40" t="n"/>
      <c r="Q97" s="12" t="inlineStr">
        <is>
          <t>EBQ16</t>
        </is>
      </c>
    </row>
    <row r="98" ht="54.4" customHeight="1">
      <c r="A98" s="38" t="inlineStr">
        <is>
          <t>DCR-094</t>
        </is>
      </c>
      <c r="B98" s="12" t="inlineStr">
        <is>
          <t>BRD-8 EB</t>
        </is>
      </c>
      <c r="C98" s="12" t="inlineStr">
        <is>
          <t>Drop 2</t>
        </is>
      </c>
      <c r="D98" s="12" t="inlineStr">
        <is>
          <t>BRID-007 (p.29); BRID-013, 014, 030</t>
        </is>
      </c>
      <c r="E98" s="12" t="inlineStr">
        <is>
          <t>Gap / missing detail</t>
        </is>
      </c>
      <c r="F98" s="12" t="inlineStr">
        <is>
          <t>EB handles employee master lists and utilization reports (health-related data). The BRD has no data-privacy requirement (access, masking, retention) beyond password protection of outbound files.</t>
        </is>
      </c>
      <c r="G98" s="12" t="inlineStr">
        <is>
          <t>Business: Data Privacy Act exposure. Build: access classes and masking. Test: privacy tests.</t>
        </is>
      </c>
      <c r="H98" s="39" t="inlineStr">
        <is>
          <t>High</t>
        </is>
      </c>
      <c r="I98" s="12" t="inlineStr">
        <is>
          <t>Employee Benefits; Documents; Insurer / Client Portal</t>
        </is>
      </c>
      <c r="J98" s="12" t="inlineStr">
        <is>
          <t>Treat master lists and utilization as sensitive personal information: need-to-know access classes, download logging, encryption.</t>
        </is>
      </c>
      <c r="K98" s="12" t="inlineStr">
        <is>
          <t>Please confirm the access, masking and retention rules for member data and utilization reports.</t>
        </is>
      </c>
      <c r="L98" s="12" t="inlineStr">
        <is>
          <t>Employee Benefits - Marketing, Processing and Collection</t>
        </is>
      </c>
      <c r="M98" s="40" t="n">
        <v>46290</v>
      </c>
      <c r="N98" s="32" t="inlineStr">
        <is>
          <t>Open</t>
        </is>
      </c>
      <c r="O98" s="12" t="inlineStr"/>
      <c r="P98" s="40" t="n"/>
      <c r="Q98" s="12" t="inlineStr">
        <is>
          <t>EBQ15, XQ04</t>
        </is>
      </c>
    </row>
    <row r="99" ht="41.8" customHeight="1">
      <c r="A99" s="38" t="inlineStr">
        <is>
          <t>DCR-095</t>
        </is>
      </c>
      <c r="B99" s="12" t="inlineStr">
        <is>
          <t>BRD-8 EB</t>
        </is>
      </c>
      <c r="C99" s="12" t="inlineStr">
        <is>
          <t>Drop 2</t>
        </is>
      </c>
      <c r="D99" s="12" t="inlineStr">
        <is>
          <t>Addendum revision log (Add. p.2); approval (p.55); TAT annex (p.59)</t>
        </is>
      </c>
      <c r="E99" s="12" t="inlineStr">
        <is>
          <t>Document quality</t>
        </is>
      </c>
      <c r="F99" s="12" t="inlineStr">
        <is>
          <t>Revision log starts "February 04,2025" (other entries 2026); an input date reads "11/124/2025"; the TAT annex still says "Booking in EBIX".</t>
        </is>
      </c>
      <c r="G99" s="12" t="inlineStr">
        <is>
          <t>None on the build.</t>
        </is>
      </c>
      <c r="H99" s="39" t="inlineStr">
        <is>
          <t>Low</t>
        </is>
      </c>
      <c r="I99" s="12" t="inlineStr">
        <is>
          <t>-</t>
        </is>
      </c>
      <c r="J99" s="12" t="inlineStr">
        <is>
          <t>None.</t>
        </is>
      </c>
      <c r="K99" s="12" t="inlineStr">
        <is>
          <t>None; correct in the next revision.</t>
        </is>
      </c>
      <c r="L99" s="12" t="inlineStr">
        <is>
          <t>Employee Benefits - Marketing, Processing and Collection</t>
        </is>
      </c>
      <c r="M99" s="40" t="n">
        <v>46290</v>
      </c>
      <c r="N99" s="32" t="inlineStr">
        <is>
          <t>Open</t>
        </is>
      </c>
      <c r="O99" s="12" t="inlineStr"/>
      <c r="P99" s="40" t="n"/>
      <c r="Q99" s="12" t="inlineStr"/>
    </row>
    <row r="100" ht="67" customHeight="1">
      <c r="A100" s="38" t="inlineStr">
        <is>
          <t>DCR-096</t>
        </is>
      </c>
      <c r="B100" s="12" t="inlineStr">
        <is>
          <t>BRD-8 EB; BRD-11 UAM</t>
        </is>
      </c>
      <c r="C100" s="12" t="inlineStr">
        <is>
          <t>Drop 0</t>
        </is>
      </c>
      <c r="D100" s="12" t="inlineStr">
        <is>
          <t>BRD-8 BRID-005, 005.01-005.03, 014 (Add. p.7-13), envisioned process item 3 (Add. p.4); BRD-11 section 3 (p.6)</t>
        </is>
      </c>
      <c r="E100" s="12" t="inlineStr">
        <is>
          <t>Gap / missing detail</t>
        </is>
      </c>
      <c r="F100" s="12" t="inlineStr">
        <is>
          <t>EB gives insurers and clients "secure access to the system". These are the first external users of BIBS. No BRD defines their hosting, authentication (MFA), who creates and approves them, or several users per insurer / client. BRD-11 covers internal users only.</t>
        </is>
      </c>
      <c r="G100" s="12" t="inlineStr">
        <is>
          <t>Security: internet-facing access. Build: portal realm and user provisioning. Test: security tests.</t>
        </is>
      </c>
      <c r="H100" s="39" t="inlineStr">
        <is>
          <t>High</t>
        </is>
      </c>
      <c r="I100" s="12" t="inlineStr">
        <is>
          <t>Insurer / Client Portal; User Access; Security</t>
        </is>
      </c>
      <c r="J100" s="12" t="inlineStr">
        <is>
          <t>Portal users provisioned through User Access requests as external users (decision D7); hosting and MFA per BDO Information Security.</t>
        </is>
      </c>
      <c r="K100" s="12" t="inlineStr">
        <is>
          <t>Who creates and approves portal users? Hosting (DMZ), MFA and password policy for external users?</t>
        </is>
      </c>
      <c r="L100" s="12" t="inlineStr">
        <is>
          <t>BIBS Product Owner, with the owners of the BRDs involved</t>
        </is>
      </c>
      <c r="M100" s="40" t="n">
        <v>46290</v>
      </c>
      <c r="N100" s="32" t="inlineStr">
        <is>
          <t>Open</t>
        </is>
      </c>
      <c r="O100" s="12" t="inlineStr"/>
      <c r="P100" s="40" t="n"/>
      <c r="Q100" s="12" t="inlineStr">
        <is>
          <t>EBQ13, EBQ14, Q06</t>
        </is>
      </c>
    </row>
    <row r="101" ht="41.8" customHeight="1">
      <c r="A101" s="38" t="inlineStr">
        <is>
          <t>DCR-097</t>
        </is>
      </c>
      <c r="B101" s="12" t="inlineStr">
        <is>
          <t>BRD-8 EB; BRD-1 NB</t>
        </is>
      </c>
      <c r="C101" s="12" t="inlineStr">
        <is>
          <t>Drop 1</t>
        </is>
      </c>
      <c r="D101" s="12" t="inlineStr">
        <is>
          <t>BRD-8 BRID-013; BRD-1 catalog of insurers</t>
        </is>
      </c>
      <c r="E101" s="12" t="inlineStr">
        <is>
          <t>BRD vs platform</t>
        </is>
      </c>
      <c r="F101" s="12" t="inlineStr">
        <is>
          <t>EB benefit lines include HMO, whose providers are not insurance companies. BIBS holds placement counterparties as insurers in the catalog.</t>
        </is>
      </c>
      <c r="G101" s="12" t="inlineStr">
        <is>
          <t>Build: catalog party type and commission rates for HMO providers.</t>
        </is>
      </c>
      <c r="H101" s="39" t="inlineStr">
        <is>
          <t>Medium</t>
        </is>
      </c>
      <c r="I101" s="12" t="inlineStr">
        <is>
          <t>Product Maintenance; Employee Benefits</t>
        </is>
      </c>
      <c r="J101" s="12" t="inlineStr">
        <is>
          <t>Hold HMO providers in the insurer master with a provider type.</t>
        </is>
      </c>
      <c r="K101" s="12" t="inlineStr">
        <is>
          <t>Please list the EB benefit lines and confirm HMO providers are held with the insurers.</t>
        </is>
      </c>
      <c r="L101" s="12" t="inlineStr">
        <is>
          <t>Employee Benefits - Marketing, Processing and Collection</t>
        </is>
      </c>
      <c r="M101" s="40" t="n">
        <v>46290</v>
      </c>
      <c r="N101" s="32" t="inlineStr">
        <is>
          <t>Open</t>
        </is>
      </c>
      <c r="O101" s="12" t="inlineStr"/>
      <c r="P101" s="40" t="n"/>
      <c r="Q101" s="12" t="inlineStr">
        <is>
          <t>EBQ01</t>
        </is>
      </c>
    </row>
    <row r="102" ht="54.4" customHeight="1">
      <c r="A102" s="38" t="inlineStr">
        <is>
          <t>DCR-098</t>
        </is>
      </c>
      <c r="B102" s="12" t="inlineStr">
        <is>
          <t>BRD-9 CSF</t>
        </is>
      </c>
      <c r="C102" s="12" t="inlineStr">
        <is>
          <t>Drop 1</t>
        </is>
      </c>
      <c r="D102" s="12" t="inlineStr">
        <is>
          <t>E-mail thread attached to the BRD (p.18)</t>
        </is>
      </c>
      <c r="E102" s="12" t="inlineStr">
        <is>
          <t>Document quality</t>
        </is>
      </c>
      <c r="F102" s="12" t="inlineStr">
        <is>
          <t>The printed e-mail attached to the CSF BRD contains a Microsoft Teams meeting link with its meeting ID and passcode. The credentials are not reproduced in this register.</t>
        </is>
      </c>
      <c r="G102" s="12" t="inlineStr">
        <is>
          <t>Security: meeting credentials circulate with the requirements pack.</t>
        </is>
      </c>
      <c r="H102" s="39" t="inlineStr">
        <is>
          <t>High</t>
        </is>
      </c>
      <c r="I102" s="12" t="inlineStr">
        <is>
          <t>-</t>
        </is>
      </c>
      <c r="J102" s="12" t="inlineStr">
        <is>
          <t>Circulate the pack only within the project; issue a copy with the meeting details redacted.</t>
        </is>
      </c>
      <c r="K102" s="12" t="inlineStr">
        <is>
          <t>Please provide a redacted copy of the CSF pack for wider circulation.</t>
        </is>
      </c>
      <c r="L102" s="12" t="inlineStr">
        <is>
          <t>Contact Center Management / Alternative Distribution</t>
        </is>
      </c>
      <c r="M102" s="40" t="n">
        <v>46290</v>
      </c>
      <c r="N102" s="32" t="inlineStr">
        <is>
          <t>Open</t>
        </is>
      </c>
      <c r="O102" s="12" t="inlineStr"/>
      <c r="P102" s="40" t="n"/>
      <c r="Q102" s="12" t="inlineStr"/>
    </row>
    <row r="103" ht="41.8" customHeight="1">
      <c r="A103" s="38" t="inlineStr">
        <is>
          <t>DCR-099</t>
        </is>
      </c>
      <c r="B103" s="12" t="inlineStr">
        <is>
          <t>BRD-9 CSF</t>
        </is>
      </c>
      <c r="C103" s="12" t="inlineStr">
        <is>
          <t>Drop 1</t>
        </is>
      </c>
      <c r="D103" s="12" t="inlineStr">
        <is>
          <t>BRCSF-001 (p.6)</t>
        </is>
      </c>
      <c r="E103" s="12" t="inlineStr">
        <is>
          <t>Data / numbering issue</t>
        </is>
      </c>
      <c r="F103" s="12" t="inlineStr">
        <is>
          <t>BRCSF-001 is used for the System Admin requirement (process 1) and for the agent log-in step (1.001). Process steps reuse the parent ID.</t>
        </is>
      </c>
      <c r="G103" s="12" t="inlineStr">
        <is>
          <t>Traceability only.</t>
        </is>
      </c>
      <c r="H103" s="39" t="inlineStr">
        <is>
          <t>Low</t>
        </is>
      </c>
      <c r="I103" s="12" t="inlineStr">
        <is>
          <t>Customer Servicing</t>
        </is>
      </c>
      <c r="J103" s="12" t="inlineStr">
        <is>
          <t>Cite as BRCSF-001 / 1.001.</t>
        </is>
      </c>
      <c r="K103" s="12" t="inlineStr">
        <is>
          <t>None.</t>
        </is>
      </c>
      <c r="L103" s="12" t="inlineStr">
        <is>
          <t>Contact Center Management / Alternative Distribution</t>
        </is>
      </c>
      <c r="M103" s="40" t="n">
        <v>46290</v>
      </c>
      <c r="N103" s="32" t="inlineStr">
        <is>
          <t>Open</t>
        </is>
      </c>
      <c r="O103" s="12" t="inlineStr"/>
      <c r="P103" s="40" t="n"/>
      <c r="Q103" s="12" t="inlineStr"/>
    </row>
    <row r="104" ht="67" customHeight="1">
      <c r="A104" s="38" t="inlineStr">
        <is>
          <t>DCR-100</t>
        </is>
      </c>
      <c r="B104" s="12" t="inlineStr">
        <is>
          <t>BRD-9 CSF</t>
        </is>
      </c>
      <c r="C104" s="12" t="inlineStr">
        <is>
          <t>Drop 1</t>
        </is>
      </c>
      <c r="D104" s="12" t="inlineStr">
        <is>
          <t>Revision log (p.2); e-mail of 13-Feb-2026 (p.17-18)</t>
        </is>
      </c>
      <c r="E104" s="12" t="inlineStr">
        <is>
          <t>Document quality</t>
        </is>
      </c>
      <c r="F104" s="12" t="inlineStr">
        <is>
          <t>The e-mail of 13-Feb-2026 adds two requirements (item 7, two additional statuses; item 9, e-policy sending) and defers items 10 and 11 to "future enhancements". The revision log ends at v1.0 of 09-Jun-2025 and the e-mail is part of the pack only as an attachment.</t>
        </is>
      </c>
      <c r="G104" s="12" t="inlineStr">
        <is>
          <t>Governance: scope changed outside the signed document.</t>
        </is>
      </c>
      <c r="H104" s="39" t="inlineStr">
        <is>
          <t>Medium</t>
        </is>
      </c>
      <c r="I104" s="12" t="inlineStr">
        <is>
          <t>Customer Servicing</t>
        </is>
      </c>
      <c r="J104" s="12" t="inlineStr">
        <is>
          <t>Items 7 and 9 baselined from the e-mail; case management (item 10) out of scope.</t>
        </is>
      </c>
      <c r="K104" s="12" t="inlineStr">
        <is>
          <t>Please issue a revision of the CSF BRD with items 7 and 9.</t>
        </is>
      </c>
      <c r="L104" s="12" t="inlineStr">
        <is>
          <t>Contact Center Management / Alternative Distribution</t>
        </is>
      </c>
      <c r="M104" s="40" t="n">
        <v>46290</v>
      </c>
      <c r="N104" s="32" t="inlineStr">
        <is>
          <t>Open</t>
        </is>
      </c>
      <c r="O104" s="12" t="inlineStr"/>
      <c r="P104" s="40" t="n"/>
      <c r="Q104" s="12" t="inlineStr">
        <is>
          <t>CSQ09, CSQ13</t>
        </is>
      </c>
    </row>
    <row r="105" ht="41.8" customHeight="1">
      <c r="A105" s="38" t="inlineStr">
        <is>
          <t>DCR-101</t>
        </is>
      </c>
      <c r="B105" s="12" t="inlineStr">
        <is>
          <t>BRD-9 CSF</t>
        </is>
      </c>
      <c r="C105" s="12" t="inlineStr">
        <is>
          <t>Drop 1</t>
        </is>
      </c>
      <c r="D105" s="12" t="inlineStr">
        <is>
          <t>BRCSF-005.001 (p.8); e-mail item 7 (p.17)</t>
        </is>
      </c>
      <c r="E105" s="12" t="inlineStr">
        <is>
          <t>Gap / missing detail</t>
        </is>
      </c>
      <c r="F105" s="12" t="inlineStr">
        <is>
          <t>Agents must see statuses "Pending", "Awaiting", "Booked" and "Open / Closed". Pending and Awaiting are not defined, nor mapped to account or invoice states.</t>
        </is>
      </c>
      <c r="G105" s="12" t="inlineStr">
        <is>
          <t>Build: status mapping. Test: expected status.</t>
        </is>
      </c>
      <c r="H105" s="39" t="inlineStr">
        <is>
          <t>Medium</t>
        </is>
      </c>
      <c r="I105" s="12" t="inlineStr">
        <is>
          <t>Customer Servicing</t>
        </is>
      </c>
      <c r="J105" s="12" t="inlineStr">
        <is>
          <t>Map to BIBS account and invoice states in the CSF design; BDOI confirms.</t>
        </is>
      </c>
      <c r="K105" s="12" t="inlineStr">
        <is>
          <t>Please define Pending, Awaiting, Booked, Open and Closed.</t>
        </is>
      </c>
      <c r="L105" s="12" t="inlineStr">
        <is>
          <t>Contact Center Management / Alternative Distribution</t>
        </is>
      </c>
      <c r="M105" s="40" t="n">
        <v>46290</v>
      </c>
      <c r="N105" s="32" t="inlineStr">
        <is>
          <t>Open</t>
        </is>
      </c>
      <c r="O105" s="12" t="inlineStr"/>
      <c r="P105" s="40" t="n"/>
      <c r="Q105" s="12" t="inlineStr">
        <is>
          <t>CSQ04</t>
        </is>
      </c>
    </row>
    <row r="106" ht="41.8" customHeight="1">
      <c r="A106" s="38" t="inlineStr">
        <is>
          <t>DCR-102</t>
        </is>
      </c>
      <c r="B106" s="12" t="inlineStr">
        <is>
          <t>BRD-9 CSF</t>
        </is>
      </c>
      <c r="C106" s="12" t="inlineStr">
        <is>
          <t>Drop 1</t>
        </is>
      </c>
      <c r="D106" s="12" t="inlineStr">
        <is>
          <t>BRCSF-011.001 (p.11); availability (p.13); retention table (p.14)</t>
        </is>
      </c>
      <c r="E106" s="12" t="inlineStr">
        <is>
          <t>Contradiction within BRD</t>
        </is>
      </c>
      <c r="F106" s="12" t="inlineStr">
        <is>
          <t>BRCSF-011.001: "Initiate a back-up every 15minutes". The retention table: backup "Every 4 hours"; RPO 4 hours.</t>
        </is>
      </c>
      <c r="G106" s="12" t="inlineStr">
        <is>
          <t>Build: backup and WAL archiving design for the whole platform. Test: recovery tests.</t>
        </is>
      </c>
      <c r="H106" s="39" t="inlineStr">
        <is>
          <t>High</t>
        </is>
      </c>
      <c r="I106" s="12" t="inlineStr">
        <is>
          <t>Platform (backup)</t>
        </is>
      </c>
      <c r="J106" s="12" t="inlineStr">
        <is>
          <t>Continuous WAL archiving (15 minutes or better) with 4-hourly base backups meets both.</t>
        </is>
      </c>
      <c r="K106" s="12" t="inlineStr">
        <is>
          <t>Is the 15-minute backup a BIBS-wide requirement (RPO 15 minutes) or specific to CSF data?</t>
        </is>
      </c>
      <c r="L106" s="12" t="inlineStr">
        <is>
          <t>Contact Center Management / Alternative Distribution</t>
        </is>
      </c>
      <c r="M106" s="40" t="n">
        <v>46290</v>
      </c>
      <c r="N106" s="32" t="inlineStr">
        <is>
          <t>Open</t>
        </is>
      </c>
      <c r="O106" s="12" t="inlineStr"/>
      <c r="P106" s="40" t="n"/>
      <c r="Q106" s="12" t="inlineStr">
        <is>
          <t>CSQ11, XQ08</t>
        </is>
      </c>
    </row>
    <row r="107" ht="41.8" customHeight="1">
      <c r="A107" s="38" t="inlineStr">
        <is>
          <t>DCR-103</t>
        </is>
      </c>
      <c r="B107" s="12" t="inlineStr">
        <is>
          <t>BRD-9 CSF</t>
        </is>
      </c>
      <c r="C107" s="12" t="inlineStr">
        <is>
          <t>Drop 1</t>
        </is>
      </c>
      <c r="D107" s="12" t="inlineStr">
        <is>
          <t>Availability (p.13)</t>
        </is>
      </c>
      <c r="E107" s="12" t="inlineStr">
        <is>
          <t>Contradiction within BRD</t>
        </is>
      </c>
      <c r="F107" s="12" t="inlineStr">
        <is>
          <t>Users work "Between 6:00 AM - 10:00 PM"; maintenance "During weekdays and Saturdays, 9:00 PM to 5:00" AM. The window overlaps usage from 21:00 to 22:00.</t>
        </is>
      </c>
      <c r="G107" s="12" t="inlineStr">
        <is>
          <t>Build: maintenance scheduling.</t>
        </is>
      </c>
      <c r="H107" s="39" t="inlineStr">
        <is>
          <t>Medium</t>
        </is>
      </c>
      <c r="I107" s="12" t="inlineStr">
        <is>
          <t>Platform</t>
        </is>
      </c>
      <c r="J107" s="12" t="inlineStr">
        <is>
          <t>Maintenance from 22:00.</t>
        </is>
      </c>
      <c r="K107" s="12" t="inlineStr">
        <is>
          <t>Confirm the maintenance window and Sunday usage.</t>
        </is>
      </c>
      <c r="L107" s="12" t="inlineStr">
        <is>
          <t>Contact Center Management / Alternative Distribution</t>
        </is>
      </c>
      <c r="M107" s="40" t="n">
        <v>46290</v>
      </c>
      <c r="N107" s="32" t="inlineStr">
        <is>
          <t>Open</t>
        </is>
      </c>
      <c r="O107" s="12" t="inlineStr"/>
      <c r="P107" s="40" t="n"/>
      <c r="Q107" s="12" t="inlineStr">
        <is>
          <t>CSQ12</t>
        </is>
      </c>
    </row>
    <row r="108" ht="54.4" customHeight="1">
      <c r="A108" s="38" t="inlineStr">
        <is>
          <t>DCR-104</t>
        </is>
      </c>
      <c r="B108" s="12" t="inlineStr">
        <is>
          <t>BRD-9 CSF</t>
        </is>
      </c>
      <c r="C108" s="12" t="inlineStr">
        <is>
          <t>Drop 1</t>
        </is>
      </c>
      <c r="D108" s="12" t="inlineStr">
        <is>
          <t>Current and envisioned process, footnotes 2-3 (p.3-5); BRCSF-002</t>
        </is>
      </c>
      <c r="E108" s="12" t="inlineStr">
        <is>
          <t>BRD vs platform</t>
        </is>
      </c>
      <c r="F108" s="12" t="inlineStr">
        <is>
          <t>The BRD describes a front end over QPS and EBIX that writes contact updates back to them. In BIBS the data sources are BIBS modules; QPS / EBIX stay systems of record only during coexistence.</t>
        </is>
      </c>
      <c r="G108" s="12" t="inlineStr">
        <is>
          <t>Build: write-back interface to legacy systems. Test: coexistence cases.</t>
        </is>
      </c>
      <c r="H108" s="39" t="inlineStr">
        <is>
          <t>High</t>
        </is>
      </c>
      <c r="I108" s="12" t="inlineStr">
        <is>
          <t>Customer Servicing; Client (CRM)</t>
        </is>
      </c>
      <c r="J108" s="12" t="inlineStr">
        <is>
          <t>Contact updates in BIBS, queued for QPS / EBIX in an outbox during coexistence.</t>
        </is>
      </c>
      <c r="K108" s="12" t="inlineStr">
        <is>
          <t>Until when are QPS and EBIX systems of record? Must updates be written back, and must CSF show accounts that exist only in QPS / EBIX?</t>
        </is>
      </c>
      <c r="L108" s="12" t="inlineStr">
        <is>
          <t>Contact Center Management / Alternative Distribution</t>
        </is>
      </c>
      <c r="M108" s="40" t="n">
        <v>46290</v>
      </c>
      <c r="N108" s="32" t="inlineStr">
        <is>
          <t>Open</t>
        </is>
      </c>
      <c r="O108" s="12" t="inlineStr"/>
      <c r="P108" s="40" t="n"/>
      <c r="Q108" s="12" t="inlineStr">
        <is>
          <t>CSQ01, Q37, Q08</t>
        </is>
      </c>
    </row>
    <row r="109" ht="41.8" customHeight="1">
      <c r="A109" s="38" t="inlineStr">
        <is>
          <t>DCR-105</t>
        </is>
      </c>
      <c r="B109" s="12" t="inlineStr">
        <is>
          <t>BRD-9 CSF</t>
        </is>
      </c>
      <c r="C109" s="12" t="inlineStr">
        <is>
          <t>Drop 1</t>
        </is>
      </c>
      <c r="D109" s="12" t="inlineStr">
        <is>
          <t>Current process (p.4); e-mail (p.17)</t>
        </is>
      </c>
      <c r="E109" s="12" t="inlineStr">
        <is>
          <t>Document quality</t>
        </is>
      </c>
      <c r="F109" s="12" t="inlineStr">
        <is>
          <t>The current system is called "BDO-Insure Front-End System" in the BRD and "IBS" in the e-mail ("The CSF BRD aims to replace IBS").</t>
        </is>
      </c>
      <c r="G109" s="12" t="inlineStr">
        <is>
          <t>None.</t>
        </is>
      </c>
      <c r="H109" s="39" t="inlineStr">
        <is>
          <t>Low</t>
        </is>
      </c>
      <c r="I109" s="12" t="inlineStr">
        <is>
          <t>-</t>
        </is>
      </c>
      <c r="J109" s="12" t="inlineStr">
        <is>
          <t>None.</t>
        </is>
      </c>
      <c r="K109" s="12" t="inlineStr">
        <is>
          <t>Confirm both names refer to the same system.</t>
        </is>
      </c>
      <c r="L109" s="12" t="inlineStr">
        <is>
          <t>Contact Center Management / Alternative Distribution</t>
        </is>
      </c>
      <c r="M109" s="40" t="n">
        <v>46290</v>
      </c>
      <c r="N109" s="32" t="inlineStr">
        <is>
          <t>Open</t>
        </is>
      </c>
      <c r="O109" s="12" t="inlineStr"/>
      <c r="P109" s="40" t="n"/>
      <c r="Q109" s="12" t="inlineStr"/>
    </row>
    <row r="110" ht="41.8" customHeight="1">
      <c r="A110" s="38" t="inlineStr">
        <is>
          <t>DCR-106</t>
        </is>
      </c>
      <c r="B110" s="12" t="inlineStr">
        <is>
          <t>BRD-10 SANC</t>
        </is>
      </c>
      <c r="C110" s="12" t="inlineStr">
        <is>
          <t>Drop 1</t>
        </is>
      </c>
      <c r="D110" s="12" t="inlineStr">
        <is>
          <t>SNSRP-602 (p.14-15)</t>
        </is>
      </c>
      <c r="E110" s="12" t="inlineStr">
        <is>
          <t>Data / numbering issue</t>
        </is>
      </c>
      <c r="F110" s="12" t="inlineStr">
        <is>
          <t>SNSRP-602 (scheduled and new-client matching trigger) is numbered in capability 6 but describes capability 3 matching, and sits between SNSRP-304 and SNSRP-401.</t>
        </is>
      </c>
      <c r="G110" s="12" t="inlineStr">
        <is>
          <t>Traceability only.</t>
        </is>
      </c>
      <c r="H110" s="39" t="inlineStr">
        <is>
          <t>Low</t>
        </is>
      </c>
      <c r="I110" s="12" t="inlineStr">
        <is>
          <t>Sanction Screening</t>
        </is>
      </c>
      <c r="J110" s="12" t="inlineStr">
        <is>
          <t>Trace SNSRP-602 to matching.</t>
        </is>
      </c>
      <c r="K110" s="12" t="inlineStr">
        <is>
          <t>None.</t>
        </is>
      </c>
      <c r="L110" s="12" t="inlineStr">
        <is>
          <t>Compliance (Chief Compliance Officer)</t>
        </is>
      </c>
      <c r="M110" s="40" t="n">
        <v>46290</v>
      </c>
      <c r="N110" s="32" t="inlineStr">
        <is>
          <t>Open</t>
        </is>
      </c>
      <c r="O110" s="12" t="inlineStr"/>
      <c r="P110" s="40" t="n"/>
      <c r="Q110" s="12" t="inlineStr">
        <is>
          <t>SANC-SQ11</t>
        </is>
      </c>
    </row>
    <row r="111" ht="41.8" customHeight="1">
      <c r="A111" s="38" t="inlineStr">
        <is>
          <t>DCR-107</t>
        </is>
      </c>
      <c r="B111" s="12" t="inlineStr">
        <is>
          <t>BRD-10 SANC</t>
        </is>
      </c>
      <c r="C111" s="12" t="inlineStr">
        <is>
          <t>Drop 1</t>
        </is>
      </c>
      <c r="D111" s="12" t="inlineStr">
        <is>
          <t>SNSRP-404 (p.16)</t>
        </is>
      </c>
      <c r="E111" s="12" t="inlineStr">
        <is>
          <t>Ambiguity</t>
        </is>
      </c>
      <c r="F111" s="12" t="inlineStr">
        <is>
          <t>SNSRP-404 persona is "Investigator", but the criteria re-assign "to another eligible reviewer/approver", which suggests a coordinator role.</t>
        </is>
      </c>
      <c r="G111" s="12" t="inlineStr">
        <is>
          <t>Build: re-assignment permission. Test: access cases.</t>
        </is>
      </c>
      <c r="H111" s="39" t="inlineStr">
        <is>
          <t>Medium</t>
        </is>
      </c>
      <c r="I111" s="12" t="inlineStr">
        <is>
          <t>Sanction Screening</t>
        </is>
      </c>
      <c r="J111" s="12" t="inlineStr">
        <is>
          <t>Re-assignment by the Unit Compliance Coordinator; investigators may hand back their own cases.</t>
        </is>
      </c>
      <c r="K111" s="12" t="inlineStr">
        <is>
          <t>May investigators re-assign their own cases, or only the coordinator / team lead?</t>
        </is>
      </c>
      <c r="L111" s="12" t="inlineStr">
        <is>
          <t>Compliance (Chief Compliance Officer)</t>
        </is>
      </c>
      <c r="M111" s="40" t="n">
        <v>46290</v>
      </c>
      <c r="N111" s="32" t="inlineStr">
        <is>
          <t>Open</t>
        </is>
      </c>
      <c r="O111" s="12" t="inlineStr"/>
      <c r="P111" s="40" t="n"/>
      <c r="Q111" s="12" t="inlineStr">
        <is>
          <t>SANC-SQ13</t>
        </is>
      </c>
    </row>
    <row r="112" ht="41.8" customHeight="1">
      <c r="A112" s="38" t="inlineStr">
        <is>
          <t>DCR-108</t>
        </is>
      </c>
      <c r="B112" s="12" t="inlineStr">
        <is>
          <t>BRD-10 SANC</t>
        </is>
      </c>
      <c r="C112" s="12" t="inlineStr">
        <is>
          <t>Drop 1</t>
        </is>
      </c>
      <c r="D112" s="12" t="inlineStr">
        <is>
          <t>SNSRP-704; to-be process (p.8)</t>
        </is>
      </c>
      <c r="E112" s="12" t="inlineStr">
        <is>
          <t>Ambiguity</t>
        </is>
      </c>
      <c r="F112" s="12" t="inlineStr">
        <is>
          <t>The AML Committee is plural in the process, but SNSRP-704 describes one member's decision; the decision rule is not given.</t>
        </is>
      </c>
      <c r="G112" s="12" t="inlineStr">
        <is>
          <t>Build: committee approval step. Test: approval cases.</t>
        </is>
      </c>
      <c r="H112" s="39" t="inlineStr">
        <is>
          <t>Medium</t>
        </is>
      </c>
      <c r="I112" s="12" t="inlineStr">
        <is>
          <t>Sanction Screening</t>
        </is>
      </c>
      <c r="J112" s="12" t="inlineStr">
        <is>
          <t>Any one member decides until a rule is given; rule as a parameter.</t>
        </is>
      </c>
      <c r="K112" s="12" t="inlineStr">
        <is>
          <t>Does the AML Committee decide by any member, majority, all members or a quorum?</t>
        </is>
      </c>
      <c r="L112" s="12" t="inlineStr">
        <is>
          <t>Compliance (Chief Compliance Officer)</t>
        </is>
      </c>
      <c r="M112" s="40" t="n">
        <v>46290</v>
      </c>
      <c r="N112" s="32" t="inlineStr">
        <is>
          <t>Open</t>
        </is>
      </c>
      <c r="O112" s="12" t="inlineStr"/>
      <c r="P112" s="40" t="n"/>
      <c r="Q112" s="12" t="inlineStr">
        <is>
          <t>SANC-SQ15</t>
        </is>
      </c>
    </row>
    <row r="113" ht="41.8" customHeight="1">
      <c r="A113" s="38" t="inlineStr">
        <is>
          <t>DCR-109</t>
        </is>
      </c>
      <c r="B113" s="12" t="inlineStr">
        <is>
          <t>BRD-10 SANC</t>
        </is>
      </c>
      <c r="C113" s="12" t="inlineStr">
        <is>
          <t>Drop 1</t>
        </is>
      </c>
      <c r="D113" s="12" t="inlineStr">
        <is>
          <t>Current PEP process (p.7)</t>
        </is>
      </c>
      <c r="E113" s="12" t="inlineStr">
        <is>
          <t>Ambiguity</t>
        </is>
      </c>
      <c r="F113" s="12" t="inlineStr">
        <is>
          <t>The current PEP screening notes "Applicable for Corporate only" under the NLDS validation step. The PEP source for individual clients is not stated.</t>
        </is>
      </c>
      <c r="G113" s="12" t="inlineStr">
        <is>
          <t>Compliance: PEP coverage for individuals. Build: list sources.</t>
        </is>
      </c>
      <c r="H113" s="39" t="inlineStr">
        <is>
          <t>Medium</t>
        </is>
      </c>
      <c r="I113" s="12" t="inlineStr">
        <is>
          <t>Sanction Screening</t>
        </is>
      </c>
      <c r="J113" s="12" t="inlineStr">
        <is>
          <t>Screen individuals and corporates against the same lists; NLDS kept as a parked source.</t>
        </is>
      </c>
      <c r="K113" s="12" t="inlineStr">
        <is>
          <t>Which list is used for PEP screening of individual clients?</t>
        </is>
      </c>
      <c r="L113" s="12" t="inlineStr">
        <is>
          <t>Compliance (Chief Compliance Officer)</t>
        </is>
      </c>
      <c r="M113" s="40" t="n">
        <v>46290</v>
      </c>
      <c r="N113" s="32" t="inlineStr">
        <is>
          <t>Open</t>
        </is>
      </c>
      <c r="O113" s="12" t="inlineStr"/>
      <c r="P113" s="40" t="n"/>
      <c r="Q113" s="12" t="inlineStr">
        <is>
          <t>SANC-SQ01</t>
        </is>
      </c>
    </row>
    <row r="114" ht="54.4" customHeight="1">
      <c r="A114" s="38" t="inlineStr">
        <is>
          <t>DCR-110</t>
        </is>
      </c>
      <c r="B114" s="12" t="inlineStr">
        <is>
          <t>BRD-10 SANC</t>
        </is>
      </c>
      <c r="C114" s="12" t="inlineStr">
        <is>
          <t>Drop 1</t>
        </is>
      </c>
      <c r="D114" s="12" t="inlineStr">
        <is>
          <t>Usage requirements (p.23)</t>
        </is>
      </c>
      <c r="E114" s="12" t="inlineStr">
        <is>
          <t>Ambiguity</t>
        </is>
      </c>
      <c r="F114" s="12" t="inlineStr">
        <is>
          <t>Investigators: 287 maximum and 287 concurrent users (KYC uploads) and 120 / 120 (case review). A concurrency equal to the named population is unusual, and the investigators are not identified.</t>
        </is>
      </c>
      <c r="G114" s="12" t="inlineStr">
        <is>
          <t>Build: sizing and role provisioning. Test: load tests.</t>
        </is>
      </c>
      <c r="H114" s="39" t="inlineStr">
        <is>
          <t>Medium</t>
        </is>
      </c>
      <c r="I114" s="12" t="inlineStr">
        <is>
          <t>Sanction Screening; User Access</t>
        </is>
      </c>
      <c r="J114" s="12" t="inlineStr">
        <is>
          <t>Size for 287 named users with normal concurrency.</t>
        </is>
      </c>
      <c r="K114" s="12" t="inlineStr">
        <is>
          <t>Who are the 287 investigators (AOs, branch staff), and is 287 concurrent a real load target?</t>
        </is>
      </c>
      <c r="L114" s="12" t="inlineStr">
        <is>
          <t>Compliance (Chief Compliance Officer)</t>
        </is>
      </c>
      <c r="M114" s="40" t="n">
        <v>46290</v>
      </c>
      <c r="N114" s="32" t="inlineStr">
        <is>
          <t>Open</t>
        </is>
      </c>
      <c r="O114" s="12" t="inlineStr"/>
      <c r="P114" s="40" t="n"/>
      <c r="Q114" s="12" t="inlineStr">
        <is>
          <t>SANC-SQ19</t>
        </is>
      </c>
    </row>
    <row r="115" ht="54.4" customHeight="1">
      <c r="A115" s="38" t="inlineStr">
        <is>
          <t>DCR-111</t>
        </is>
      </c>
      <c r="B115" s="12" t="inlineStr">
        <is>
          <t>BRD-10 SANC</t>
        </is>
      </c>
      <c r="C115" s="12" t="inlineStr">
        <is>
          <t>Drop 1</t>
        </is>
      </c>
      <c r="D115" s="12" t="inlineStr">
        <is>
          <t>Regulatory basis (p.3); benefits; SNSRP-303</t>
        </is>
      </c>
      <c r="E115" s="12" t="inlineStr">
        <is>
          <t>Gap / missing detail</t>
        </is>
      </c>
      <c r="F115" s="12" t="inlineStr">
        <is>
          <t>BSP M-2025-017 (adverse media) is cited and EDD appears in the benefits, but no requirement ID covers adverse-media screening or defines an EDD template (only "KYC Review / Enhanced Due Diligence" in SNSRP-303).</t>
        </is>
      </c>
      <c r="G115" s="12" t="inlineStr">
        <is>
          <t>Compliance scope. Build: list types and review templates.</t>
        </is>
      </c>
      <c r="H115" s="39" t="inlineStr">
        <is>
          <t>Medium</t>
        </is>
      </c>
      <c r="I115" s="12" t="inlineStr">
        <is>
          <t>Sanction Screening</t>
        </is>
      </c>
      <c r="J115" s="12" t="inlineStr">
        <is>
          <t>Adverse media as a manual list source; EDD as a review template type.</t>
        </is>
      </c>
      <c r="K115" s="12" t="inlineStr">
        <is>
          <t>Is adverse-media screening in scope? Please give the EDD template fields.</t>
        </is>
      </c>
      <c r="L115" s="12" t="inlineStr">
        <is>
          <t>Compliance (Chief Compliance Officer)</t>
        </is>
      </c>
      <c r="M115" s="40" t="n">
        <v>46290</v>
      </c>
      <c r="N115" s="32" t="inlineStr">
        <is>
          <t>Open</t>
        </is>
      </c>
      <c r="O115" s="12" t="inlineStr"/>
      <c r="P115" s="40" t="n"/>
      <c r="Q115" s="12" t="inlineStr">
        <is>
          <t>SANC-SQ20, SANC-SQ05</t>
        </is>
      </c>
    </row>
    <row r="116" ht="67" customHeight="1">
      <c r="A116" s="38" t="inlineStr">
        <is>
          <t>DCR-112</t>
        </is>
      </c>
      <c r="B116" s="12" t="inlineStr">
        <is>
          <t>BRD-10 SANC; BRD-1 NB; BRD-6 RN</t>
        </is>
      </c>
      <c r="C116" s="12" t="inlineStr">
        <is>
          <t>Drop 1</t>
        </is>
      </c>
      <c r="D116" s="12" t="inlineStr">
        <is>
          <t>BRD-10 SNSRP-302 / 303; BRD-6 BRRN.028 (p.8); BRD-1 BRNB.091, BRNB.110</t>
        </is>
      </c>
      <c r="E116" s="12" t="inlineStr">
        <is>
          <t>Gap / missing detail</t>
        </is>
      </c>
      <c r="F116" s="12" t="inlineStr">
        <is>
          <t>BRD-10 sets PEP and high-risk tags and opens review cases, but does not say whether an open match blocks quotation, placement or booking. BRD-6: KYC "does not automatically block, stop, or reroute renewal processing". BRD-1 tags (BRNB.091) are warnings.</t>
        </is>
      </c>
      <c r="G116" s="12" t="inlineStr">
        <is>
          <t>Compliance: business with a possible sanctioned party. Build: client compliance gate. Test: blocking cases.</t>
        </is>
      </c>
      <c r="H116" s="39" t="inlineStr">
        <is>
          <t>High</t>
        </is>
      </c>
      <c r="I116" s="12" t="inlineStr">
        <is>
          <t>Sanction Screening; Client (CRM); Quotation; Placement; Booking; Renewal</t>
        </is>
      </c>
      <c r="J116" s="12" t="inlineStr">
        <is>
          <t>Warn by banner; a block is built behind a parameter, off by default.</t>
        </is>
      </c>
      <c r="K116" s="12" t="inlineStr">
        <is>
          <t>While a potential or true match is open, must BIBS block or only warn on quotation, placement, booking and renewal?</t>
        </is>
      </c>
      <c r="L116" s="12" t="inlineStr">
        <is>
          <t>Compliance (Chief Compliance Officer)</t>
        </is>
      </c>
      <c r="M116" s="40" t="n">
        <v>46290</v>
      </c>
      <c r="N116" s="32" t="inlineStr">
        <is>
          <t>Open</t>
        </is>
      </c>
      <c r="O116" s="12" t="inlineStr"/>
      <c r="P116" s="40" t="n"/>
      <c r="Q116" s="12" t="inlineStr">
        <is>
          <t>SANC-SQ07, Q18, Q21</t>
        </is>
      </c>
    </row>
    <row r="117" ht="29.2" customHeight="1">
      <c r="A117" s="38" t="inlineStr">
        <is>
          <t>DCR-113</t>
        </is>
      </c>
      <c r="B117" s="12" t="inlineStr">
        <is>
          <t>BRD-10 SANC</t>
        </is>
      </c>
      <c r="C117" s="12" t="inlineStr">
        <is>
          <t>Drop 1</t>
        </is>
      </c>
      <c r="D117" s="12" t="inlineStr">
        <is>
          <t>Approval sheet (p.29)</t>
        </is>
      </c>
      <c r="E117" s="12" t="inlineStr">
        <is>
          <t>Document quality</t>
        </is>
      </c>
      <c r="F117" s="12" t="inlineStr">
        <is>
          <t>The Unit Head - Processing approval reads "for regularization - on leave", without a signature.</t>
        </is>
      </c>
      <c r="G117" s="12" t="inlineStr">
        <is>
          <t>Governance only.</t>
        </is>
      </c>
      <c r="H117" s="39" t="inlineStr">
        <is>
          <t>Low</t>
        </is>
      </c>
      <c r="I117" s="12" t="inlineStr">
        <is>
          <t>-</t>
        </is>
      </c>
      <c r="J117" s="12" t="inlineStr">
        <is>
          <t>None.</t>
        </is>
      </c>
      <c r="K117" s="12" t="inlineStr">
        <is>
          <t>Please complete the regularization signature.</t>
        </is>
      </c>
      <c r="L117" s="12" t="inlineStr">
        <is>
          <t>Compliance (Chief Compliance Officer)</t>
        </is>
      </c>
      <c r="M117" s="40" t="n">
        <v>46290</v>
      </c>
      <c r="N117" s="32" t="inlineStr">
        <is>
          <t>Open</t>
        </is>
      </c>
      <c r="O117" s="12" t="inlineStr"/>
      <c r="P117" s="40" t="n"/>
      <c r="Q117" s="12" t="inlineStr"/>
    </row>
    <row r="118" ht="41.8" customHeight="1">
      <c r="A118" s="38" t="inlineStr">
        <is>
          <t>DCR-114</t>
        </is>
      </c>
      <c r="B118" s="12" t="inlineStr">
        <is>
          <t>BRD-11 UAM</t>
        </is>
      </c>
      <c r="C118" s="12" t="inlineStr">
        <is>
          <t>Drop 0</t>
        </is>
      </c>
      <c r="D118" s="12" t="inlineStr">
        <is>
          <t>Cover (p.1); purpose and scope (p.4); overview (p.5)</t>
        </is>
      </c>
      <c r="E118" s="12" t="inlineStr">
        <is>
          <t>Ambiguity</t>
        </is>
      </c>
      <c r="F118" s="12" t="inlineStr">
        <is>
          <t>The BRD is the "QPS User Access Maintenance Module" (April 2025); scope, definitions and overview refer to QPS (Quotation and Pre-processing System) only.</t>
        </is>
      </c>
      <c r="G118" s="12" t="inlineStr">
        <is>
          <t>Build: whether one access process covers every BIBS module and persona.</t>
        </is>
      </c>
      <c r="H118" s="39" t="inlineStr">
        <is>
          <t>High</t>
        </is>
      </c>
      <c r="I118" s="12" t="inlineStr">
        <is>
          <t>User Access</t>
        </is>
      </c>
      <c r="J118" s="12" t="inlineStr">
        <is>
          <t>Apply BRD-11 to BIBS as a whole.</t>
        </is>
      </c>
      <c r="K118" s="12" t="inlineStr">
        <is>
          <t>Confirm that BRD-11 applies to all of BIBS, not only the quotation and pre-processing screens.</t>
        </is>
      </c>
      <c r="L118" s="12" t="inlineStr">
        <is>
          <t>UAM process owner (Product Owner) with ITIO</t>
        </is>
      </c>
      <c r="M118" s="40" t="n">
        <v>46290</v>
      </c>
      <c r="N118" s="32" t="inlineStr">
        <is>
          <t>Open</t>
        </is>
      </c>
      <c r="O118" s="12" t="inlineStr"/>
      <c r="P118" s="40" t="n"/>
      <c r="Q118" s="12" t="inlineStr">
        <is>
          <t>UQ19</t>
        </is>
      </c>
    </row>
    <row r="119" ht="54.4" customHeight="1">
      <c r="A119" s="38" t="inlineStr">
        <is>
          <t>DCR-115</t>
        </is>
      </c>
      <c r="B119" s="12" t="inlineStr">
        <is>
          <t>BRD-11 UAM</t>
        </is>
      </c>
      <c r="C119" s="12" t="inlineStr">
        <is>
          <t>Drop 0</t>
        </is>
      </c>
      <c r="D119" s="12" t="inlineStr">
        <is>
          <t>Section 5, BRD 1.001.1-4.003.1 (p.8-10); section 6 NFR (p.11-17)</t>
        </is>
      </c>
      <c r="E119" s="12" t="inlineStr">
        <is>
          <t>Gap / missing detail</t>
        </is>
      </c>
      <c r="F119" s="12" t="inlineStr">
        <is>
          <t>The 160 requirement lines have no acceptance criteria and no high-risk flags; the NFR ID column is empty; almost every infrastructure NFR is "Follow existing QPS set up" and retention is "Follow QPS retention policy".</t>
        </is>
      </c>
      <c r="G119" s="12" t="inlineStr">
        <is>
          <t>Test: acceptance criteria must be written by the project. Build: NFR values unknown.</t>
        </is>
      </c>
      <c r="H119" s="39" t="inlineStr">
        <is>
          <t>High</t>
        </is>
      </c>
      <c r="I119" s="12" t="inlineStr">
        <is>
          <t>User Access; Platform</t>
        </is>
      </c>
      <c r="J119" s="12" t="inlineStr">
        <is>
          <t>FRS writes acceptance criteria for BDOI concurrence; NFR IDs UAM-NFR-01 to 41 assigned by the analyst.</t>
        </is>
      </c>
      <c r="K119" s="12" t="inlineStr">
        <is>
          <t>Please concur with the acceptance criteria in the FRS, and give the QPS retention values.</t>
        </is>
      </c>
      <c r="L119" s="12" t="inlineStr">
        <is>
          <t>UAM process owner (Product Owner) with ITIO</t>
        </is>
      </c>
      <c r="M119" s="40" t="n">
        <v>46290</v>
      </c>
      <c r="N119" s="32" t="inlineStr">
        <is>
          <t>Open</t>
        </is>
      </c>
      <c r="O119" s="12" t="inlineStr"/>
      <c r="P119" s="40" t="n"/>
      <c r="Q119" s="12" t="inlineStr">
        <is>
          <t>UQ12</t>
        </is>
      </c>
    </row>
    <row r="120" ht="92.2" customHeight="1">
      <c r="A120" s="38" t="inlineStr">
        <is>
          <t>DCR-116</t>
        </is>
      </c>
      <c r="B120" s="12" t="inlineStr">
        <is>
          <t>BRD-11 UAM</t>
        </is>
      </c>
      <c r="C120" s="12" t="inlineStr">
        <is>
          <t>Drop 0</t>
        </is>
      </c>
      <c r="D120" s="12" t="inlineStr">
        <is>
          <t>BRD 2.002.7.1 (p.9); BRD 3.003.1.1 (p.9); BRD 1.005; BRD 4.002.2.10 (p.10); stakeholders (p.7); report samples (p.18); batch NFR (p.15)</t>
        </is>
      </c>
      <c r="E120" s="12" t="inlineStr">
        <is>
          <t>Data / numbering issue</t>
        </is>
      </c>
      <c r="F120" s="12" t="inlineStr">
        <is>
          <t>Duplicate IDs: 2.002.7.1 ("Add remarks" and "Save remarks"), 3.003.1.1 ("User Access Report" and its field "User name"). "V. Reactivate User" is BRD 1.005 with shifted sub-levels. 4.002.2.10 lacks the verb "Assign". "Business Adminitrator" (p.7, p.9). Report samples B and C share one title; "08:30:145 AM" (p.18). The batch-failure e-mail NFR is stated twice (p.15).</t>
        </is>
      </c>
      <c r="G120" s="12" t="inlineStr">
        <is>
          <t>Traceability only.</t>
        </is>
      </c>
      <c r="H120" s="39" t="inlineStr">
        <is>
          <t>Low</t>
        </is>
      </c>
      <c r="I120" s="12" t="inlineStr">
        <is>
          <t>User Access</t>
        </is>
      </c>
      <c r="J120" s="12" t="inlineStr">
        <is>
          <t>Baseline renumbers in page order.</t>
        </is>
      </c>
      <c r="K120" s="12" t="inlineStr">
        <is>
          <t>None; correct in the next revision.</t>
        </is>
      </c>
      <c r="L120" s="12" t="inlineStr">
        <is>
          <t>UAM process owner (Product Owner) with ITIO</t>
        </is>
      </c>
      <c r="M120" s="40" t="n">
        <v>46290</v>
      </c>
      <c r="N120" s="32" t="inlineStr">
        <is>
          <t>Open</t>
        </is>
      </c>
      <c r="O120" s="12" t="inlineStr"/>
      <c r="P120" s="40" t="n"/>
      <c r="Q120" s="12" t="inlineStr">
        <is>
          <t>UQ11</t>
        </is>
      </c>
    </row>
    <row r="121" ht="54.4" customHeight="1">
      <c r="A121" s="38" t="inlineStr">
        <is>
          <t>DCR-117</t>
        </is>
      </c>
      <c r="B121" s="12" t="inlineStr">
        <is>
          <t>BRD-11 UAM</t>
        </is>
      </c>
      <c r="C121" s="12" t="inlineStr">
        <is>
          <t>Drop 0</t>
        </is>
      </c>
      <c r="D121" s="12" t="inlineStr">
        <is>
          <t>Process diagrams (p.6)</t>
        </is>
      </c>
      <c r="E121" s="12" t="inlineStr">
        <is>
          <t>BRD vs platform</t>
        </is>
      </c>
      <c r="F121" s="12" t="inlineStr">
        <is>
          <t>The diagram shows the system granting user access on approval, but the System Administrator creating or modifying group profiles after approval. BIBS today applies both on approval.</t>
        </is>
      </c>
      <c r="G121" s="12" t="inlineStr">
        <is>
          <t>Build: FOR_IMPLEMENTATION step for group profiles. Test: approval cases.</t>
        </is>
      </c>
      <c r="H121" s="39" t="inlineStr">
        <is>
          <t>Medium</t>
        </is>
      </c>
      <c r="I121" s="12" t="inlineStr">
        <is>
          <t>User Access</t>
        </is>
      </c>
      <c r="J121" s="12" t="inlineStr">
        <is>
          <t>User access applied on approval; group-profile changes wait for the System Administrator to implement (parameter to apply on approval).</t>
        </is>
      </c>
      <c r="K121" s="12" t="inlineStr">
        <is>
          <t>Must the System Administrator implement approved group-profile changes by hand?</t>
        </is>
      </c>
      <c r="L121" s="12" t="inlineStr">
        <is>
          <t>UAM process owner (Product Owner) with ITIO</t>
        </is>
      </c>
      <c r="M121" s="40" t="n">
        <v>46290</v>
      </c>
      <c r="N121" s="32" t="inlineStr">
        <is>
          <t>Open</t>
        </is>
      </c>
      <c r="O121" s="12" t="inlineStr"/>
      <c r="P121" s="40" t="n"/>
      <c r="Q121" s="12" t="inlineStr">
        <is>
          <t>UQ03, PQ17</t>
        </is>
      </c>
    </row>
    <row r="122" ht="54.4" customHeight="1">
      <c r="A122" s="38" t="inlineStr">
        <is>
          <t>DCR-118</t>
        </is>
      </c>
      <c r="B122" s="12" t="inlineStr">
        <is>
          <t>BRD-11 UAM</t>
        </is>
      </c>
      <c r="C122" s="12" t="inlineStr">
        <is>
          <t>Drop 0</t>
        </is>
      </c>
      <c r="D122" s="12" t="inlineStr">
        <is>
          <t>NFR 1.j (p.13)</t>
        </is>
      </c>
      <c r="E122" s="12" t="inlineStr">
        <is>
          <t>BRD vs platform</t>
        </is>
      </c>
      <c r="F122" s="12" t="inlineStr">
        <is>
          <t>NFR 1.j: "Supports user id of at least ten (10) alphanumeric characters in length, supports 'a999999999' format". BIBS accepts 3 to 50 characters of letters, digits, dot, underscore and hyphen.</t>
        </is>
      </c>
      <c r="G122" s="12" t="inlineStr">
        <is>
          <t>Build: user ID validation. Test: user creation.</t>
        </is>
      </c>
      <c r="H122" s="39" t="inlineStr">
        <is>
          <t>Medium</t>
        </is>
      </c>
      <c r="I122" s="12" t="inlineStr">
        <is>
          <t>User Access; Security</t>
        </is>
      </c>
      <c r="J122" s="12" t="inlineStr">
        <is>
          <t>Parameter USER_ID_PATTERN (default a999999999) for new users; existing service users exempt.</t>
        </is>
      </c>
      <c r="K122" s="12" t="inlineStr">
        <is>
          <t>Is the user ID the employee number in the a999999999 format, and how does it relate to the Windows ID?</t>
        </is>
      </c>
      <c r="L122" s="12" t="inlineStr">
        <is>
          <t>UAM process owner (Product Owner) with ITIO</t>
        </is>
      </c>
      <c r="M122" s="40" t="n">
        <v>46290</v>
      </c>
      <c r="N122" s="32" t="inlineStr">
        <is>
          <t>Open</t>
        </is>
      </c>
      <c r="O122" s="12" t="inlineStr"/>
      <c r="P122" s="40" t="n"/>
      <c r="Q122" s="12" t="inlineStr">
        <is>
          <t>UQ05</t>
        </is>
      </c>
    </row>
    <row r="123" ht="41.8" customHeight="1">
      <c r="A123" s="38" t="inlineStr">
        <is>
          <t>DCR-119</t>
        </is>
      </c>
      <c r="B123" s="12" t="inlineStr">
        <is>
          <t>BRD-11 UAM</t>
        </is>
      </c>
      <c r="C123" s="12" t="inlineStr">
        <is>
          <t>Drop 0</t>
        </is>
      </c>
      <c r="D123" s="12" t="inlineStr">
        <is>
          <t>Other BU NFR 6 (p.17)</t>
        </is>
      </c>
      <c r="E123" s="12" t="inlineStr">
        <is>
          <t>BRD vs platform</t>
        </is>
      </c>
      <c r="F123" s="12" t="inlineStr">
        <is>
          <t>NFR 6 requires logging of user log-in and log-out. BIBS records log-in and failed log-in, but has no log-out endpoint, so log-out is not recorded.</t>
        </is>
      </c>
      <c r="G123" s="12" t="inlineStr">
        <is>
          <t>Audit: session history incomplete. Build: log-out endpoint and session log.</t>
        </is>
      </c>
      <c r="H123" s="39" t="inlineStr">
        <is>
          <t>Medium</t>
        </is>
      </c>
      <c r="I123" s="12" t="inlineStr">
        <is>
          <t>Security; User Access</t>
        </is>
      </c>
      <c r="J123" s="12" t="inlineStr">
        <is>
          <t>Add log-out and a session log (also used for the single-session question).</t>
        </is>
      </c>
      <c r="K123" s="12" t="inlineStr">
        <is>
          <t>None; confirm the audit log report columns.</t>
        </is>
      </c>
      <c r="L123" s="12" t="inlineStr">
        <is>
          <t>UAM process owner (Product Owner) with ITIO</t>
        </is>
      </c>
      <c r="M123" s="40" t="n">
        <v>46290</v>
      </c>
      <c r="N123" s="32" t="inlineStr">
        <is>
          <t>Open</t>
        </is>
      </c>
      <c r="O123" s="12" t="inlineStr"/>
      <c r="P123" s="40" t="n"/>
      <c r="Q123" s="12" t="inlineStr">
        <is>
          <t>UQ13</t>
        </is>
      </c>
    </row>
    <row r="124" ht="54.4" customHeight="1">
      <c r="A124" s="38" t="inlineStr">
        <is>
          <t>DCR-120</t>
        </is>
      </c>
      <c r="B124" s="12" t="inlineStr">
        <is>
          <t>BRD-11 UAM</t>
        </is>
      </c>
      <c r="C124" s="12" t="inlineStr">
        <is>
          <t>Drop 0</t>
        </is>
      </c>
      <c r="D124" s="12" t="inlineStr">
        <is>
          <t>NFR documentation item f (p.17); NFR 1.i (p.13)</t>
        </is>
      </c>
      <c r="E124" s="12" t="inlineStr">
        <is>
          <t>Gap / missing detail</t>
        </is>
      </c>
      <c r="F124" s="12" t="inlineStr">
        <is>
          <t>The documentation NFR "instruction guide on how to manage users and extract users list and group profile list for" is cut off. NFR 1.i asks for "interfacing with an external ACL" without naming it.</t>
        </is>
      </c>
      <c r="G124" s="12" t="inlineStr">
        <is>
          <t>Minor.</t>
        </is>
      </c>
      <c r="H124" s="39" t="inlineStr">
        <is>
          <t>Low</t>
        </is>
      </c>
      <c r="I124" s="12" t="inlineStr">
        <is>
          <t>User Access</t>
        </is>
      </c>
      <c r="J124" s="12" t="inlineStr">
        <is>
          <t>User administration guide in the Help Center; external ACL parked.</t>
        </is>
      </c>
      <c r="K124" s="12" t="inlineStr">
        <is>
          <t>Please complete the sentence and name the external ACL, if any.</t>
        </is>
      </c>
      <c r="L124" s="12" t="inlineStr">
        <is>
          <t>UAM process owner (Product Owner) with ITIO</t>
        </is>
      </c>
      <c r="M124" s="40" t="n">
        <v>46290</v>
      </c>
      <c r="N124" s="32" t="inlineStr">
        <is>
          <t>Open</t>
        </is>
      </c>
      <c r="O124" s="12" t="inlineStr"/>
      <c r="P124" s="40" t="n"/>
      <c r="Q124" s="12" t="inlineStr">
        <is>
          <t>UQ18, UQ14</t>
        </is>
      </c>
    </row>
    <row r="125" ht="41.8" customHeight="1">
      <c r="A125" s="38" t="inlineStr">
        <is>
          <t>DCR-121</t>
        </is>
      </c>
      <c r="B125" s="12" t="inlineStr">
        <is>
          <t>BRD-11 UAM</t>
        </is>
      </c>
      <c r="C125" s="12" t="inlineStr">
        <is>
          <t>Drop 0</t>
        </is>
      </c>
      <c r="D125" s="12" t="inlineStr">
        <is>
          <t>Assumptions (p.5)</t>
        </is>
      </c>
      <c r="E125" s="12" t="inlineStr">
        <is>
          <t>Gap / missing detail</t>
        </is>
      </c>
      <c r="F125" s="12" t="inlineStr">
        <is>
          <t>BRD-11 assumes "there's a defined User Access Matrix in place". No BIBS-wide matrix is in the pack; each BRD gives its own personas.</t>
        </is>
      </c>
      <c r="G125" s="12" t="inlineStr">
        <is>
          <t>Build: roles and permissions for every module. Test: persona-based access tests.</t>
        </is>
      </c>
      <c r="H125" s="39" t="inlineStr">
        <is>
          <t>High</t>
        </is>
      </c>
      <c r="I125" s="12" t="inlineStr">
        <is>
          <t>User Access; all modules</t>
        </is>
      </c>
      <c r="J125" s="12" t="inlineStr">
        <is>
          <t>Project proposes a matrix from the personas of each BRD; BDOI approves it.</t>
        </is>
      </c>
      <c r="K125" s="12" t="inlineStr">
        <is>
          <t>Please provide or approve the BIBS-wide user access matrix.</t>
        </is>
      </c>
      <c r="L125" s="12" t="inlineStr">
        <is>
          <t>BIBS Product Owner, with the owners of the BRDs involved</t>
        </is>
      </c>
      <c r="M125" s="40" t="n">
        <v>46290</v>
      </c>
      <c r="N125" s="32" t="inlineStr">
        <is>
          <t>Open</t>
        </is>
      </c>
      <c r="O125" s="12" t="inlineStr"/>
      <c r="P125" s="40" t="n"/>
      <c r="Q125" s="12" t="inlineStr">
        <is>
          <t>OQ48, AQ28, PQ17, CSQ10, SP-SQ15, UQ01</t>
        </is>
      </c>
    </row>
    <row r="126" ht="41.8" customHeight="1">
      <c r="A126" s="38" t="inlineStr">
        <is>
          <t>DCR-122</t>
        </is>
      </c>
      <c r="B126" s="12" t="inlineStr">
        <is>
          <t>BRD-12 SP</t>
        </is>
      </c>
      <c r="C126" s="12" t="inlineStr">
        <is>
          <t>Drop 1</t>
        </is>
      </c>
      <c r="D126" s="12" t="inlineStr">
        <is>
          <t>BRIDSP-20 (p.10); BRIDSP-30 (p.12)</t>
        </is>
      </c>
      <c r="E126" s="12" t="inlineStr">
        <is>
          <t>Data / numbering issue</t>
        </is>
      </c>
      <c r="F126" s="12" t="inlineStr">
        <is>
          <t>BRIDSP-20 and BRIDSP-30 have identical text, persona and criteria (reports on sanitation, disposition and account classification, with fallout report).</t>
        </is>
      </c>
      <c r="G126" s="12" t="inlineStr">
        <is>
          <t>Test: duplicate rows.</t>
        </is>
      </c>
      <c r="H126" s="39" t="inlineStr">
        <is>
          <t>Low</t>
        </is>
      </c>
      <c r="I126" s="12" t="inlineStr">
        <is>
          <t>Submitted Policies; Reports</t>
        </is>
      </c>
      <c r="J126" s="12" t="inlineStr">
        <is>
          <t>Build once; both rows point to the same reports.</t>
        </is>
      </c>
      <c r="K126" s="12" t="inlineStr">
        <is>
          <t>Confirm BRIDSP-30 is a duplicate.</t>
        </is>
      </c>
      <c r="L126" s="12" t="inlineStr">
        <is>
          <t>CBG and Non-CBG Marketing - Submitted Policies</t>
        </is>
      </c>
      <c r="M126" s="40" t="n">
        <v>46290</v>
      </c>
      <c r="N126" s="32" t="inlineStr">
        <is>
          <t>Open</t>
        </is>
      </c>
      <c r="O126" s="12" t="inlineStr"/>
      <c r="P126" s="40" t="n"/>
      <c r="Q126" s="12" t="inlineStr"/>
    </row>
    <row r="127" ht="54.4" customHeight="1">
      <c r="A127" s="38" t="inlineStr">
        <is>
          <t>DCR-123</t>
        </is>
      </c>
      <c r="B127" s="12" t="inlineStr">
        <is>
          <t>BRD-12 SP</t>
        </is>
      </c>
      <c r="C127" s="12" t="inlineStr">
        <is>
          <t>Drop 1</t>
        </is>
      </c>
      <c r="D127" s="12" t="inlineStr">
        <is>
          <t>Business goals (p.2); BRIDSP-09 (p.9); BRIDSP-24-27 key capability column (p.11-12)</t>
        </is>
      </c>
      <c r="E127" s="12" t="inlineStr">
        <is>
          <t>Document quality</t>
        </is>
      </c>
      <c r="F127" s="12" t="inlineStr">
        <is>
          <t>No business goal box is ticked (p.2). BRIDSP-09 carries two blocks of criteria, the second titled "Acceptance Criteria". BRIDSP-27 (booking) is under key capability 2; key-capability numbers do not follow ID order.</t>
        </is>
      </c>
      <c r="G127" s="12" t="inlineStr">
        <is>
          <t>None on the build.</t>
        </is>
      </c>
      <c r="H127" s="39" t="inlineStr">
        <is>
          <t>Low</t>
        </is>
      </c>
      <c r="I127" s="12" t="inlineStr">
        <is>
          <t>-</t>
        </is>
      </c>
      <c r="J127" s="12" t="inlineStr">
        <is>
          <t>None.</t>
        </is>
      </c>
      <c r="K127" s="12" t="inlineStr">
        <is>
          <t>None; correct in the next revision.</t>
        </is>
      </c>
      <c r="L127" s="12" t="inlineStr">
        <is>
          <t>CBG and Non-CBG Marketing - Submitted Policies</t>
        </is>
      </c>
      <c r="M127" s="40" t="n">
        <v>46290</v>
      </c>
      <c r="N127" s="32" t="inlineStr">
        <is>
          <t>Open</t>
        </is>
      </c>
      <c r="O127" s="12" t="inlineStr"/>
      <c r="P127" s="40" t="n"/>
      <c r="Q127" s="12" t="inlineStr"/>
    </row>
    <row r="128" ht="92.2" customHeight="1">
      <c r="A128" s="38" t="inlineStr">
        <is>
          <t>DCR-124</t>
        </is>
      </c>
      <c r="B128" s="12" t="inlineStr">
        <is>
          <t>BRD-12 SP; Report List</t>
        </is>
      </c>
      <c r="C128" s="12" t="inlineStr">
        <is>
          <t>Drop 1</t>
        </is>
      </c>
      <c r="D128" s="12" t="inlineStr">
        <is>
          <t>BRIDSP-12 (p.9); BRIDSP-14, BRIDSP-15 (p.10); Report List #156 (p.49-52)</t>
        </is>
      </c>
      <c r="E128" s="12" t="inlineStr">
        <is>
          <t>Contradiction within BRD</t>
        </is>
      </c>
      <c r="F128" s="12" t="inlineStr">
        <is>
          <t>BRIDSP-12 groups matched policies into "For Renewal, For Manual Disposition, Non-Renewal, No Touch, FFY, BDO/SM Group Employee Accounts, or RMU buckets". BRIDSP-14 puts "Free First Year, SM Group Employee, No-Touch, CARI, Bonds, RMU" in Non-Renewal buckets. BRIDSP-15 has "Fully Paid Loan" as an inforced renewal bucket; the Sanitation report counts it as not for renewal.</t>
        </is>
      </c>
      <c r="G128" s="12" t="inlineStr">
        <is>
          <t>Business: which submitted policies are renewed. Build: bucket rules. Test: classification cases.</t>
        </is>
      </c>
      <c r="H128" s="39" t="inlineStr">
        <is>
          <t>High</t>
        </is>
      </c>
      <c r="I128" s="12" t="inlineStr">
        <is>
          <t>Submitted Policies; Renewal</t>
        </is>
      </c>
      <c r="J128" s="12" t="inlineStr">
        <is>
          <t>Bucket rules as data with precedence; renewal side decided per bucket by BDOI.</t>
        </is>
      </c>
      <c r="K128" s="12" t="inlineStr">
        <is>
          <t>Please give the complete bucket list with precedence, and for FFY, RMU and Fully Paid whether they are renewed.</t>
        </is>
      </c>
      <c r="L128" s="12" t="inlineStr">
        <is>
          <t>CBG and Non-CBG Marketing - Submitted Policies</t>
        </is>
      </c>
      <c r="M128" s="40" t="n">
        <v>46290</v>
      </c>
      <c r="N128" s="32" t="inlineStr">
        <is>
          <t>Open</t>
        </is>
      </c>
      <c r="O128" s="12" t="inlineStr"/>
      <c r="P128" s="40" t="n"/>
      <c r="Q128" s="12" t="inlineStr">
        <is>
          <t>SP-SQ05, SP-SQ04, Q36</t>
        </is>
      </c>
    </row>
    <row r="129" ht="54.4" customHeight="1">
      <c r="A129" s="38" t="inlineStr">
        <is>
          <t>DCR-125</t>
        </is>
      </c>
      <c r="B129" s="12" t="inlineStr">
        <is>
          <t>BRD-12 SP</t>
        </is>
      </c>
      <c r="C129" s="12" t="inlineStr">
        <is>
          <t>Drop 1</t>
        </is>
      </c>
      <c r="D129" s="12" t="inlineStr">
        <is>
          <t>BRIDSP-05 (p.9); current process note (p.4)</t>
        </is>
      </c>
      <c r="E129" s="12" t="inlineStr">
        <is>
          <t>Contradiction within BRD</t>
        </is>
      </c>
      <c r="F129" s="12" t="inlineStr">
        <is>
          <t>BRIDSP-05: "generate one IAAF (Insurance Adequacy Assessment Form) per policy"; "only one IAAF is created". The current process: "IAAF may consist of multiple policies".</t>
        </is>
      </c>
      <c r="G129" s="12" t="inlineStr">
        <is>
          <t>Build: IAAF structure. Test: IAAF cases.</t>
        </is>
      </c>
      <c r="H129" s="39" t="inlineStr">
        <is>
          <t>Medium</t>
        </is>
      </c>
      <c r="I129" s="12" t="inlineStr">
        <is>
          <t>Submitted Policies</t>
        </is>
      </c>
      <c r="J129" s="12" t="inlineStr">
        <is>
          <t>One IAAF per policy, linked to related policies by reference.</t>
        </is>
      </c>
      <c r="K129" s="12" t="inlineStr">
        <is>
          <t>Confirm one IAAF per policy in the target process, and give the IAAF approval matrix.</t>
        </is>
      </c>
      <c r="L129" s="12" t="inlineStr">
        <is>
          <t>CBG and Non-CBG Marketing - Submitted Policies</t>
        </is>
      </c>
      <c r="M129" s="40" t="n">
        <v>46290</v>
      </c>
      <c r="N129" s="32" t="inlineStr">
        <is>
          <t>Open</t>
        </is>
      </c>
      <c r="O129" s="12" t="inlineStr"/>
      <c r="P129" s="40" t="n"/>
      <c r="Q129" s="12" t="inlineStr">
        <is>
          <t>SP-SQ07</t>
        </is>
      </c>
    </row>
    <row r="130" ht="67" customHeight="1">
      <c r="A130" s="38" t="inlineStr">
        <is>
          <t>DCR-126</t>
        </is>
      </c>
      <c r="B130" s="12" t="inlineStr">
        <is>
          <t>BRD-12 SP</t>
        </is>
      </c>
      <c r="C130" s="12" t="inlineStr">
        <is>
          <t>Drop 1</t>
        </is>
      </c>
      <c r="D130" s="12" t="inlineStr">
        <is>
          <t>Handling-fee flow (p.4); BRIDSP-31 (p.12)</t>
        </is>
      </c>
      <c r="E130" s="12" t="inlineStr">
        <is>
          <t>Gap / missing detail</t>
        </is>
      </c>
      <c r="F130" s="12" t="inlineStr">
        <is>
          <t>The handling-fee flow has a manual loop (Admin Team UPP handler, NB TL, AO, NB TL, via SharePoint). BRIDSP-31 automates only the tagging by PN (CLPC) or Location Reference (OTC); the disposition steps have no requirement, and the fee itself is not defined.</t>
        </is>
      </c>
      <c r="G130" s="12" t="inlineStr">
        <is>
          <t>Business: handling-fee income. Build: disposition steps and GL. Test: no criteria.</t>
        </is>
      </c>
      <c r="H130" s="39" t="inlineStr">
        <is>
          <t>Medium</t>
        </is>
      </c>
      <c r="I130" s="12" t="inlineStr">
        <is>
          <t>Submitted Policies; Collections; Cashiering</t>
        </is>
      </c>
      <c r="J130" s="12" t="inlineStr">
        <is>
          <t>Tagging per BRIDSP-31; disposition in the Collections unapplied view.</t>
        </is>
      </c>
      <c r="K130" s="12" t="inlineStr">
        <is>
          <t>What is the handling fee (amount, payer, VAT, OR, GL account), and who dispositions it?</t>
        </is>
      </c>
      <c r="L130" s="12" t="inlineStr">
        <is>
          <t>CBG and Non-CBG Marketing - Submitted Policies</t>
        </is>
      </c>
      <c r="M130" s="40" t="n">
        <v>46290</v>
      </c>
      <c r="N130" s="32" t="inlineStr">
        <is>
          <t>Open</t>
        </is>
      </c>
      <c r="O130" s="12" t="inlineStr"/>
      <c r="P130" s="40" t="n"/>
      <c r="Q130" s="12" t="inlineStr">
        <is>
          <t>SP-SQ13, OQ15, OQ45</t>
        </is>
      </c>
    </row>
    <row r="131" ht="54.4" customHeight="1">
      <c r="A131" s="38" t="inlineStr">
        <is>
          <t>DCR-127</t>
        </is>
      </c>
      <c r="B131" s="12" t="inlineStr">
        <is>
          <t>BRD-12 SP</t>
        </is>
      </c>
      <c r="C131" s="12" t="inlineStr">
        <is>
          <t>Drop 1</t>
        </is>
      </c>
      <c r="D131" s="12" t="inlineStr">
        <is>
          <t>Usage requirements (p.13)</t>
        </is>
      </c>
      <c r="E131" s="12" t="inlineStr">
        <is>
          <t>Gap / missing detail</t>
        </is>
      </c>
      <c r="F131" s="12" t="inlineStr">
        <is>
          <t>The usage table covers CBG Admin / Mktg (30 / 15) and Non-CBG Corporate policy review officers (8 / 6) only; there are no figures for CBG Fire, Non-CBG Retail or handling-fee users.</t>
        </is>
      </c>
      <c r="G131" s="12" t="inlineStr">
        <is>
          <t>Sizing only.</t>
        </is>
      </c>
      <c r="H131" s="39" t="inlineStr">
        <is>
          <t>Medium</t>
        </is>
      </c>
      <c r="I131" s="12" t="inlineStr">
        <is>
          <t>Submitted Policies</t>
        </is>
      </c>
      <c r="J131" s="12" t="inlineStr">
        <is>
          <t>Size within BRD-1 totals.</t>
        </is>
      </c>
      <c r="K131" s="12" t="inlineStr">
        <is>
          <t>Please give user counts for the other submitted-policy teams.</t>
        </is>
      </c>
      <c r="L131" s="12" t="inlineStr">
        <is>
          <t>CBG and Non-CBG Marketing - Submitted Policies</t>
        </is>
      </c>
      <c r="M131" s="40" t="n">
        <v>46290</v>
      </c>
      <c r="N131" s="32" t="inlineStr">
        <is>
          <t>Open</t>
        </is>
      </c>
      <c r="O131" s="12" t="inlineStr"/>
      <c r="P131" s="40" t="n"/>
      <c r="Q131" s="12" t="inlineStr">
        <is>
          <t>SP-SQ21</t>
        </is>
      </c>
    </row>
    <row r="132" ht="41.8" customHeight="1">
      <c r="A132" s="38" t="inlineStr">
        <is>
          <t>DCR-128</t>
        </is>
      </c>
      <c r="B132" s="12" t="inlineStr">
        <is>
          <t>BRD-12 SP</t>
        </is>
      </c>
      <c r="C132" s="12" t="inlineStr">
        <is>
          <t>Drop 1</t>
        </is>
      </c>
      <c r="D132" s="12" t="inlineStr">
        <is>
          <t>File name; revision log and approval (p.15-16)</t>
        </is>
      </c>
      <c r="E132" s="12" t="inlineStr">
        <is>
          <t>Document quality</t>
        </is>
      </c>
      <c r="F132" s="12" t="inlineStr">
        <is>
          <t>The file name says "with e-sig MCM 4.24.2026" while the revision log ends at v1.3 on 20-Apr-2026; one BU representative is annotated "medical leave 04/28/26".</t>
        </is>
      </c>
      <c r="G132" s="12" t="inlineStr">
        <is>
          <t>Governance only.</t>
        </is>
      </c>
      <c r="H132" s="39" t="inlineStr">
        <is>
          <t>Low</t>
        </is>
      </c>
      <c r="I132" s="12" t="inlineStr">
        <is>
          <t>-</t>
        </is>
      </c>
      <c r="J132" s="12" t="inlineStr">
        <is>
          <t>None.</t>
        </is>
      </c>
      <c r="K132" s="12" t="inlineStr">
        <is>
          <t>Confirm v1.3 is the signed version.</t>
        </is>
      </c>
      <c r="L132" s="12" t="inlineStr">
        <is>
          <t>CBG and Non-CBG Marketing - Submitted Policies</t>
        </is>
      </c>
      <c r="M132" s="40" t="n">
        <v>46290</v>
      </c>
      <c r="N132" s="32" t="inlineStr">
        <is>
          <t>Open</t>
        </is>
      </c>
      <c r="O132" s="12" t="inlineStr"/>
      <c r="P132" s="40" t="n"/>
      <c r="Q132" s="12" t="inlineStr"/>
    </row>
    <row r="133" ht="67" customHeight="1">
      <c r="A133" s="38" t="inlineStr">
        <is>
          <t>DCR-129</t>
        </is>
      </c>
      <c r="B133" s="12" t="inlineStr">
        <is>
          <t>BRD-12 SP; BRD-6 RN</t>
        </is>
      </c>
      <c r="C133" s="12" t="inlineStr">
        <is>
          <t>Drop 1</t>
        </is>
      </c>
      <c r="D133" s="12" t="inlineStr">
        <is>
          <t>BRD-12 BRIDSP-22-27 (p.11), renewal flows (p.5); BRD-6 scope</t>
        </is>
      </c>
      <c r="E133" s="12" t="inlineStr">
        <is>
          <t>Conflict between BRDs</t>
        </is>
      </c>
      <c r="F133" s="12" t="inlineStr">
        <is>
          <t>BRD-12 requires the renewal of submitted policies (renewable list, RA / NRNS / NAL / SFU letters, hold cover, placement, booking). BRD-6 covers the renewal of every expiring policy with the same letters. Neither states the boundary.</t>
        </is>
      </c>
      <c r="G133" s="12" t="inlineStr">
        <is>
          <t>Business: two renewal paths. Build: one owner for renewal letters and hold cover. Test: duplicated cases.</t>
        </is>
      </c>
      <c r="H133" s="39" t="inlineStr">
        <is>
          <t>High</t>
        </is>
      </c>
      <c r="I133" s="12" t="inlineStr">
        <is>
          <t>Submitted Policies; Renewal</t>
        </is>
      </c>
      <c r="J133" s="12" t="inlineStr">
        <is>
          <t>Renewal owns renewal from the hand-off (candidate, account, hold cover, RA / NRNS / NAL / SFU); Submitted Policies keeps intake, classification, buckets and the expiry scan (decision D2).</t>
        </is>
      </c>
      <c r="K133" s="12" t="inlineStr">
        <is>
          <t>Confirm the boundary, and whether renewal notices and renewal proposals to submitted accounts belong to Renewal.</t>
        </is>
      </c>
      <c r="L133" s="12" t="inlineStr">
        <is>
          <t>BIBS Product Owner, with the owners of the BRDs involved</t>
        </is>
      </c>
      <c r="M133" s="40" t="n">
        <v>46290</v>
      </c>
      <c r="N133" s="32" t="inlineStr">
        <is>
          <t>Open</t>
        </is>
      </c>
      <c r="O133" s="12" t="inlineStr"/>
      <c r="P133" s="40" t="n"/>
      <c r="Q133" s="12" t="inlineStr">
        <is>
          <t>SP-SQ10, SP-SQ09, XQ03</t>
        </is>
      </c>
    </row>
    <row r="134" ht="41.8" customHeight="1">
      <c r="A134" s="38" t="inlineStr">
        <is>
          <t>DCR-130</t>
        </is>
      </c>
      <c r="B134" s="12" t="inlineStr">
        <is>
          <t>Report List</t>
        </is>
      </c>
      <c r="C134" s="12" t="inlineStr">
        <is>
          <t>Programme</t>
        </is>
      </c>
      <c r="D134" s="12" t="inlineStr">
        <is>
          <t>Report List #69 (p.24), #73 (p.25), #168 (p.54)</t>
        </is>
      </c>
      <c r="E134" s="12" t="inlineStr">
        <is>
          <t>Document quality</t>
        </is>
      </c>
      <c r="F134" s="12" t="inlineStr">
        <is>
          <t>#73 and #168 carry "DELETE - Same as Policy Transmittal Report / Report on ... e-Policies"; #69 "BU confirmed that they do not need this report anymore".</t>
        </is>
      </c>
      <c r="G134" s="12" t="inlineStr">
        <is>
          <t>Build: three reports dropped.</t>
        </is>
      </c>
      <c r="H134" s="39" t="inlineStr">
        <is>
          <t>Low</t>
        </is>
      </c>
      <c r="I134" s="12" t="inlineStr">
        <is>
          <t>Reports</t>
        </is>
      </c>
      <c r="J134" s="12" t="inlineStr">
        <is>
          <t>Rows marked DROPPED; not built.</t>
        </is>
      </c>
      <c r="K134" s="12" t="inlineStr">
        <is>
          <t>None.</t>
        </is>
      </c>
      <c r="L134" s="12" t="inlineStr">
        <is>
          <t>Report SMEs named in the Report List</t>
        </is>
      </c>
      <c r="M134" s="40" t="n">
        <v>46290</v>
      </c>
      <c r="N134" s="32" t="inlineStr">
        <is>
          <t>Answered</t>
        </is>
      </c>
      <c r="O134" s="12" t="inlineStr">
        <is>
          <t>Report List remarks on #69, #73 and #168.</t>
        </is>
      </c>
      <c r="P134" s="40" t="n"/>
      <c r="Q134" s="12" t="inlineStr"/>
    </row>
    <row r="135" ht="54.4" customHeight="1">
      <c r="A135" s="38" t="inlineStr">
        <is>
          <t>DCR-131</t>
        </is>
      </c>
      <c r="B135" s="12" t="inlineStr">
        <is>
          <t>Report List</t>
        </is>
      </c>
      <c r="C135" s="12" t="inlineStr">
        <is>
          <t>Programme</t>
        </is>
      </c>
      <c r="D135" s="12" t="inlineStr">
        <is>
          <t>Report List TSU rows #179-184 (p.56-57)</t>
        </is>
      </c>
      <c r="E135" s="12" t="inlineStr">
        <is>
          <t>BRD vs platform</t>
        </is>
      </c>
      <c r="F135" s="12" t="inlineStr">
        <is>
          <t>The TSU rows state "there should be a separate TSU module" / "This should be under a separate TSU module". In BIBS, TSU work is part of non-package placement and Product Maintenance.</t>
        </is>
      </c>
      <c r="G135" s="12" t="inlineStr">
        <is>
          <t>Business: scope expectation. Build: menu structure.</t>
        </is>
      </c>
      <c r="H135" s="39" t="inlineStr">
        <is>
          <t>Medium</t>
        </is>
      </c>
      <c r="I135" s="12" t="inlineStr">
        <is>
          <t>Product Maintenance; Placement; Reports</t>
        </is>
      </c>
      <c r="J135" s="12" t="inlineStr">
        <is>
          <t>Keep TSU functions in the existing modules, with a TSU menu section.</t>
        </is>
      </c>
      <c r="K135" s="12" t="inlineStr">
        <is>
          <t>Is a TSU section inside BIBS enough, or is a separate module expected?</t>
        </is>
      </c>
      <c r="L135" s="12" t="inlineStr">
        <is>
          <t>Report SMEs named in the Report List</t>
        </is>
      </c>
      <c r="M135" s="40" t="n">
        <v>46290</v>
      </c>
      <c r="N135" s="32" t="inlineStr">
        <is>
          <t>Open</t>
        </is>
      </c>
      <c r="O135" s="12" t="inlineStr"/>
      <c r="P135" s="40" t="n"/>
      <c r="Q135" s="12" t="inlineStr">
        <is>
          <t>Q04</t>
        </is>
      </c>
    </row>
    <row r="136" ht="67" customHeight="1">
      <c r="A136" s="38" t="inlineStr">
        <is>
          <t>DCR-132</t>
        </is>
      </c>
      <c r="B136" s="12" t="inlineStr">
        <is>
          <t>Report List</t>
        </is>
      </c>
      <c r="C136" s="12" t="inlineStr">
        <is>
          <t>Phase 2</t>
        </is>
      </c>
      <c r="D136" s="12" t="inlineStr">
        <is>
          <t>Report List #131 / #132 (p.44); #112-115 (p.37-38); #169, #178 (p.54)</t>
        </is>
      </c>
      <c r="E136" s="12" t="inlineStr">
        <is>
          <t>Gap / missing detail</t>
        </is>
      </c>
      <c r="F136" s="12" t="inlineStr">
        <is>
          <t>The Report List asks for reports without a BRD in the pack: Trade Accumulation and Trade Monitoring from a "TPC System" (#131, #132), four Reinsurance reports (#112-115), and sustainability reports with BRD "N/A" (#169, #178).</t>
        </is>
      </c>
      <c r="G136" s="12" t="inlineStr">
        <is>
          <t>Business: scope. Build: no requirements, sources or layouts.</t>
        </is>
      </c>
      <c r="H136" s="39" t="inlineStr">
        <is>
          <t>High</t>
        </is>
      </c>
      <c r="I136" s="12" t="inlineStr">
        <is>
          <t>Reports; Placement</t>
        </is>
      </c>
      <c r="J136" s="12" t="inlineStr">
        <is>
          <t>Out of the first release until a BRD or specification is supplied.</t>
        </is>
      </c>
      <c r="K136" s="12" t="inlineStr">
        <is>
          <t>Is a Reinsurance BRD to follow? What is the TPC System and its feed? Who owns the sustainability reports?</t>
        </is>
      </c>
      <c r="L136" s="12" t="inlineStr">
        <is>
          <t>Report SMEs named in the Report List</t>
        </is>
      </c>
      <c r="M136" s="40" t="n">
        <v>46290</v>
      </c>
      <c r="N136" s="32" t="inlineStr">
        <is>
          <t>Open</t>
        </is>
      </c>
      <c r="O136" s="12" t="inlineStr"/>
      <c r="P136" s="40" t="n"/>
      <c r="Q136" s="12" t="inlineStr"/>
    </row>
    <row r="137" ht="104.8" customHeight="1">
      <c r="A137" s="38" t="inlineStr">
        <is>
          <t>DCR-133</t>
        </is>
      </c>
      <c r="B137" s="12" t="inlineStr">
        <is>
          <t>BRD-1 NB; BRD-2 OPS; BRD-3 PM; BRD-4 CLXN; BRD-5 ACCT; BRD-6 RN; BRD-7 CLM; BRD-8 EB; BRD-9 CSF; BRD-10 SANC; BRD-12 SP</t>
        </is>
      </c>
      <c r="C137" s="12" t="inlineStr">
        <is>
          <t>Drop 0</t>
        </is>
      </c>
      <c r="D137" s="12" t="inlineStr">
        <is>
          <t>Usage / availability sections: BRD-1 p.212; BRD-2 p.115-118; BRD-3 p.33; BRD-4 p.54; BRD-5 p.37; BRD-6 p.187; BRD-7 p.37; BRD-8 p.53; BRD-9 p.13; BRD-10 p.25; BRD-12 p.14</t>
        </is>
      </c>
      <c r="E137" s="12" t="inlineStr">
        <is>
          <t>NFR inconsistency</t>
        </is>
      </c>
      <c r="F137" s="12" t="inlineStr">
        <is>
          <t>Service hours differ in every BRD: 07:00-22:00 Mon-Sat (NB, RN); 07:00-18:30 (OPS, PM); 06:00-22:00 Mon-Fri plus month-end weekends (CLXN); 07:00-18:00 Mon-Sat (ACCT); 06:00-20:00 Mon-Fri (CLM); 08:30-19:00 (EB); 06:00-22:00 (CSF); 08:00-18:00 Mon-Fri (SANC); "business hours" (SP). See the NFR comparison sheet.</t>
        </is>
      </c>
      <c r="G137" s="12" t="inlineStr">
        <is>
          <t>Build: one platform serves all modules, so the widest window applies and batch windows shrink. Test: availability tests per window.</t>
        </is>
      </c>
      <c r="H137" s="39" t="inlineStr">
        <is>
          <t>High</t>
        </is>
      </c>
      <c r="I137" s="12" t="inlineStr">
        <is>
          <t>Platform (all modules)</t>
        </is>
      </c>
      <c r="J137" s="12" t="inlineStr">
        <is>
          <t>One BIBS service window 06:00-22:00 Mon-Sat plus month-end weekends; batch after 22:00.</t>
        </is>
      </c>
      <c r="K137" s="12" t="inlineStr">
        <is>
          <t>Please agree one BIBS-wide service window and the batch window.</t>
        </is>
      </c>
      <c r="L137" s="12" t="inlineStr">
        <is>
          <t>BIBS Product Owner, with the owners of the BRDs involved</t>
        </is>
      </c>
      <c r="M137" s="40" t="n">
        <v>46290</v>
      </c>
      <c r="N137" s="32" t="inlineStr">
        <is>
          <t>Open</t>
        </is>
      </c>
      <c r="O137" s="12" t="inlineStr"/>
      <c r="P137" s="40" t="n"/>
      <c r="Q137" s="12" t="inlineStr">
        <is>
          <t>XQ08, OQ44, CQ25, AQ27, PQ18, CLQ24, EBQ25, CSQ12</t>
        </is>
      </c>
    </row>
    <row r="138" ht="92.2" customHeight="1">
      <c r="A138" s="38" t="inlineStr">
        <is>
          <t>DCR-134</t>
        </is>
      </c>
      <c r="B138" s="12" t="inlineStr">
        <is>
          <t>BRD-2 OPS; BRD-3 PM; BRD-5 ACCT; BRD-8 EB; BRD-9 CSF; BRD-10 SANC; BRD-12 SP; BRD-1 NB; BRD-6 RN; BRD-11 UAM</t>
        </is>
      </c>
      <c r="C138" s="12" t="inlineStr">
        <is>
          <t>Drop 0</t>
        </is>
      </c>
      <c r="D138" s="12" t="inlineStr">
        <is>
          <t>BRD-2 p.115; BRD-3 p.33; BRD-5 p.37 and p.138; BRD-8 p.53; BRD-9 p.13; BRD-10 p.24; BRD-12 p.14; BRD-1 p.212; BRD-6 p.187; BRD-11 p.11</t>
        </is>
      </c>
      <c r="E138" s="12" t="inlineStr">
        <is>
          <t>NFR inconsistency</t>
        </is>
      </c>
      <c r="F138" s="12" t="inlineStr">
        <is>
          <t>Availability targets: 99.9% (OPS, PM, CSF, SANC, SP); 99.99% (EB); 100% (ACCT Addendum 1); "Follow existing QPS set up" (NB, RN, UAM, ACCT main BRD). Allowed downtime: 45 minutes a month (SANC, SP) vs less than 24 hours (ACCT).</t>
        </is>
      </c>
      <c r="G138" s="12" t="inlineStr">
        <is>
          <t>Build: HA design; 99.99% and 100% need a different architecture and cost. Test: availability measurement.</t>
        </is>
      </c>
      <c r="H138" s="39" t="inlineStr">
        <is>
          <t>Medium</t>
        </is>
      </c>
      <c r="I138" s="12" t="inlineStr">
        <is>
          <t>Platform</t>
        </is>
      </c>
      <c r="J138" s="12" t="inlineStr">
        <is>
          <t>99.9% within service hours for BIBS; 99.99% only if confirmed for the EB portal.</t>
        </is>
      </c>
      <c r="K138" s="12" t="inlineStr">
        <is>
          <t>Please agree one availability target and the allowed downtime per month.</t>
        </is>
      </c>
      <c r="L138" s="12" t="inlineStr">
        <is>
          <t>BIBS Product Owner, with the owners of the BRDs involved</t>
        </is>
      </c>
      <c r="M138" s="40" t="n">
        <v>46290</v>
      </c>
      <c r="N138" s="32" t="inlineStr">
        <is>
          <t>Open</t>
        </is>
      </c>
      <c r="O138" s="12" t="inlineStr"/>
      <c r="P138" s="40" t="n"/>
      <c r="Q138" s="12" t="inlineStr">
        <is>
          <t>XQ08, EBQ25, AQ27</t>
        </is>
      </c>
    </row>
    <row r="139" ht="92.2" customHeight="1">
      <c r="A139" s="38" t="inlineStr">
        <is>
          <t>DCR-135</t>
        </is>
      </c>
      <c r="B139" s="12" t="inlineStr">
        <is>
          <t>BRD-2 OPS; BRD-3 PM; BRD-4 CLXN; BRD-7 CLM; BRD-8 EB; BRD-9 CSF; BRD-12 SP; BRD-5 ACCT; BRD-10 SANC</t>
        </is>
      </c>
      <c r="C139" s="12" t="inlineStr">
        <is>
          <t>Drop 0</t>
        </is>
      </c>
      <c r="D139" s="12" t="inlineStr">
        <is>
          <t>BRD-2 p.115-118; BRD-3 p.33; BRD-4 p.55; BRD-7 p.37-38; BRD-8 p.53; BRD-9 p.11, p.13; BRD-12 p.14; BRD-5 p.37; BRD-10 p.25</t>
        </is>
      </c>
      <c r="E139" s="12" t="inlineStr">
        <is>
          <t>NFR inconsistency</t>
        </is>
      </c>
      <c r="F139" s="12" t="inlineStr">
        <is>
          <t>Recovery objectives: RPO 24 hours (OPS, PM, EB); RPO 4 hours (CLXN, CLM, CSF); backup every 15 minutes (CSF BRCSF-011.001). RTO 4 hours (OPS, PM, CLXN, CLM, EB, CSF); SP "restored within 4 hours for critical services; full recovery within 24 hours". ACCT and SANC give only a BCP threshold of less than 3 days.</t>
        </is>
      </c>
      <c r="G139" s="12" t="inlineStr">
        <is>
          <t>Build: backup frequency and DR design follow the strictest RPO. Test: DR drill targets.</t>
        </is>
      </c>
      <c r="H139" s="39" t="inlineStr">
        <is>
          <t>High</t>
        </is>
      </c>
      <c r="I139" s="12" t="inlineStr">
        <is>
          <t>Platform (backup and DR)</t>
        </is>
      </c>
      <c r="J139" s="12" t="inlineStr">
        <is>
          <t>RPO 15 minutes (continuous WAL archiving) and RTO 4 hours for the whole platform.</t>
        </is>
      </c>
      <c r="K139" s="12" t="inlineStr">
        <is>
          <t>Please agree one RPO and RTO for BIBS.</t>
        </is>
      </c>
      <c r="L139" s="12" t="inlineStr">
        <is>
          <t>BIBS Product Owner, with the owners of the BRDs involved</t>
        </is>
      </c>
      <c r="M139" s="40" t="n">
        <v>46290</v>
      </c>
      <c r="N139" s="32" t="inlineStr">
        <is>
          <t>Answered</t>
        </is>
      </c>
      <c r="O139" s="12" t="inlineStr">
        <is>
          <t>The IER workbook v20 (BDOI IT, received 26-Sep-2026) states RPO 15 minutes and RTO 4 hours, the values proposed here. To be confirmed by the BRD owners.</t>
        </is>
      </c>
      <c r="P139" s="40" t="n"/>
      <c r="Q139" s="12" t="inlineStr">
        <is>
          <t>XQ08, CSQ11, OQ44, DCR-225</t>
        </is>
      </c>
    </row>
    <row r="140" ht="117.4" customHeight="1">
      <c r="A140" s="38" t="inlineStr">
        <is>
          <t>DCR-136</t>
        </is>
      </c>
      <c r="B140" s="12" t="inlineStr">
        <is>
          <t>BRD-1 NB; BRD-2 OPS; BRD-4 CLXN; BRD-5 ACCT; BRD-7 CLM; BRD-8 EB; BRD-9 CSF; BRD-10 SANC; BRD-12 SP; BRD-6 RN; BRD-11 UAM; BRD-3 PM</t>
        </is>
      </c>
      <c r="C140" s="12" t="inlineStr">
        <is>
          <t>Drop 0</t>
        </is>
      </c>
      <c r="D140" s="12" t="inlineStr">
        <is>
          <t>BRD-1 p.82; BRD-2 p.120; BRD-4 p.58; BRD-5 Addendum 1; BRD-7 p.41; BRD-8 p.54; BRD-9 p.14; BRD-10 p.25; BRD-12 p.14; BRD-6 p.188; BRD-11 p.11; BRD-3 (not stated)</t>
        </is>
      </c>
      <c r="E140" s="12" t="inlineStr">
        <is>
          <t>NFR inconsistency</t>
        </is>
      </c>
      <c r="F140" s="12" t="inlineStr">
        <is>
          <t>Retention: 5 years online and 15 years archive (NB, OPS, CLXN, EB, CSF); 10 years online and 15 archive, purge after 15, audit logs 16 (CLM); 5 and 5 (ACCT, SANC, SP); "Follow QPS" (RN, UAM); not stated (PM). Backup retention: 5 years (NB, CLXN, CLM, CSF, ACCT, SANC, SP) vs 7 years (OPS, EB).</t>
        </is>
      </c>
      <c r="G140" s="12" t="inlineStr">
        <is>
          <t>Business: legal record keeping (AMLA, BIR). Build: retention rules per record type and archive design. Test: purge cases.</t>
        </is>
      </c>
      <c r="H140" s="39" t="inlineStr">
        <is>
          <t>High</t>
        </is>
      </c>
      <c r="I140" s="12" t="inlineStr">
        <is>
          <t>Platform (retention); all modules</t>
        </is>
      </c>
      <c r="J140" s="12" t="inlineStr">
        <is>
          <t>Retention per record type as data; default 5 years online, 15 years archive; backup retention 7 years (the longest).</t>
        </is>
      </c>
      <c r="K140" s="12" t="inlineStr">
        <is>
          <t>Please give one retention schedule per record type, and whether data is purged or archived at the end.</t>
        </is>
      </c>
      <c r="L140" s="12" t="inlineStr">
        <is>
          <t>BIBS Product Owner, with the owners of the BRDs involved</t>
        </is>
      </c>
      <c r="M140" s="40" t="n">
        <v>46290</v>
      </c>
      <c r="N140" s="32" t="inlineStr">
        <is>
          <t>Open</t>
        </is>
      </c>
      <c r="O140" s="12" t="inlineStr"/>
      <c r="P140" s="40" t="n"/>
      <c r="Q140" s="12" t="inlineStr">
        <is>
          <t>XQ08, Q39, SP-SQ22, SANC-SQ18, UQ12, RQ28</t>
        </is>
      </c>
    </row>
    <row r="141" ht="117.4" customHeight="1">
      <c r="A141" s="38" t="inlineStr">
        <is>
          <t>DCR-137</t>
        </is>
      </c>
      <c r="B141" s="12" t="inlineStr">
        <is>
          <t>BRD-1 NB; BRD-2 OPS; BRD-3 PM; BRD-4 CLXN; BRD-5 ACCT; BRD-6 RN; BRD-7 CLM; BRD-9 CSF; BRD-10 SANC; BRD-11 UAM; BRD-12 SP; BRD-8 EB</t>
        </is>
      </c>
      <c r="C141" s="12" t="inlineStr">
        <is>
          <t>Drop 0</t>
        </is>
      </c>
      <c r="D141" s="12" t="inlineStr">
        <is>
          <t>BRD-1 p.210; BRD-2 p.115; BRD-3 p.33; BRD-4 p.56; BRD-5 p.133-139; BRD-6 p.186; BRD-7 p.39-40; BRD-9 p.13; BRD-10 p.22-24; BRD-11 p.11; BRD-12 p.13; BRD-8 p.53 (blank)</t>
        </is>
      </c>
      <c r="E141" s="12" t="inlineStr">
        <is>
          <t>NFR inconsistency</t>
        </is>
      </c>
      <c r="F141" s="12" t="inlineStr">
        <is>
          <t>Response times: 2 seconds (SP); under 3 seconds (CSF); 3-5 seconds (SANC); 5 seconds (OPS, PM, CLXN, CLM screens); 5-10 seconds (ACCT screens); 10 seconds (NB, RN, UAM); reports 20 seconds (RN, UAM), 10-20 seconds (ACCT), 5 minutes (CLM); blank (EB).</t>
        </is>
      </c>
      <c r="G141" s="12" t="inlineStr">
        <is>
          <t>Test: performance targets differ for the same screen types.</t>
        </is>
      </c>
      <c r="H141" s="39" t="inlineStr">
        <is>
          <t>Medium</t>
        </is>
      </c>
      <c r="I141" s="12" t="inlineStr">
        <is>
          <t>Platform</t>
        </is>
      </c>
      <c r="J141" s="12" t="inlineStr">
        <is>
          <t>Online screens and single-record actions p95 under 2 seconds; reports and batch asynchronous with progress.</t>
        </is>
      </c>
      <c r="K141" s="12" t="inlineStr">
        <is>
          <t>Please agree one response-time target for screens and one for reports.</t>
        </is>
      </c>
      <c r="L141" s="12" t="inlineStr">
        <is>
          <t>BIBS Product Owner, with the owners of the BRDs involved</t>
        </is>
      </c>
      <c r="M141" s="40" t="n">
        <v>46290</v>
      </c>
      <c r="N141" s="32" t="inlineStr">
        <is>
          <t>Open</t>
        </is>
      </c>
      <c r="O141" s="12" t="inlineStr"/>
      <c r="P141" s="40" t="n"/>
      <c r="Q141" s="12" t="inlineStr">
        <is>
          <t>XQ08, SP-SQ21</t>
        </is>
      </c>
    </row>
    <row r="142" ht="67" customHeight="1">
      <c r="A142" s="38" t="inlineStr">
        <is>
          <t>DCR-138</t>
        </is>
      </c>
      <c r="B142" s="12" t="inlineStr">
        <is>
          <t>BRD-5 ACCT; BRD-9 CSF; BRD-10 SANC; BRD-12 SP; BRD-1 NB; BRD-4 CLXN</t>
        </is>
      </c>
      <c r="C142" s="12" t="inlineStr">
        <is>
          <t>Drop 1</t>
        </is>
      </c>
      <c r="D142" s="12" t="inlineStr">
        <is>
          <t>BRD-5 p.37; BRD-9 p.13; BRD-10 p.25; BRD-12 p.14; BRD-1 p.212; BRD-4 p.54</t>
        </is>
      </c>
      <c r="E142" s="12" t="inlineStr">
        <is>
          <t>NFR inconsistency</t>
        </is>
      </c>
      <c r="F142" s="12" t="inlineStr">
        <is>
          <t>Maintenance windows conflict with other BRDs' service hours: ACCT 19:00-07:00 (NB and RN work to 22:00; CLXN and CSF start at 06:00); CSF 21:00-05:00 on weekdays and Saturdays; SANC and SP 00:00-04:00; OPS, PM, EB "as per bank standard".</t>
        </is>
      </c>
      <c r="G142" s="12" t="inlineStr">
        <is>
          <t>Build: no common maintenance slot unless one window is agreed.</t>
        </is>
      </c>
      <c r="H142" s="39" t="inlineStr">
        <is>
          <t>High</t>
        </is>
      </c>
      <c r="I142" s="12" t="inlineStr">
        <is>
          <t>Platform</t>
        </is>
      </c>
      <c r="J142" s="12" t="inlineStr">
        <is>
          <t>One window 00:00-04:00, outside every service window.</t>
        </is>
      </c>
      <c r="K142" s="12" t="inlineStr">
        <is>
          <t>Please agree the BIBS maintenance window.</t>
        </is>
      </c>
      <c r="L142" s="12" t="inlineStr">
        <is>
          <t>BIBS Product Owner, with the owners of the BRDs involved</t>
        </is>
      </c>
      <c r="M142" s="40" t="n">
        <v>46290</v>
      </c>
      <c r="N142" s="32" t="inlineStr">
        <is>
          <t>Open</t>
        </is>
      </c>
      <c r="O142" s="12" t="inlineStr"/>
      <c r="P142" s="40" t="n"/>
      <c r="Q142" s="12" t="inlineStr">
        <is>
          <t>XQ08, CSQ12</t>
        </is>
      </c>
    </row>
    <row r="143" ht="41.8" customHeight="1">
      <c r="A143" s="38" t="inlineStr">
        <is>
          <t>DCR-139</t>
        </is>
      </c>
      <c r="B143" s="12" t="inlineStr">
        <is>
          <t>BRD-1 NB; BRD-6 RN; BRD-11 UAM; BRD-5 ACCT</t>
        </is>
      </c>
      <c r="C143" s="12" t="inlineStr">
        <is>
          <t>Drop 0</t>
        </is>
      </c>
      <c r="D143" s="12" t="inlineStr">
        <is>
          <t>BRD-1 p.211-212; BRD-6 p.187-188; BRD-11 p.11-17; BRD-5 p.138</t>
        </is>
      </c>
      <c r="E143" s="12" t="inlineStr">
        <is>
          <t>Gap / missing detail</t>
        </is>
      </c>
      <c r="F143" s="12" t="inlineStr">
        <is>
          <t>Many NFR answers are "Follow existing QPS set up" (or "QPS/EBIX Setup"), but QPS and EBIX are replaced by BIBS and their values are not in the pack.</t>
        </is>
      </c>
      <c r="G143" s="12" t="inlineStr">
        <is>
          <t>Build: no values. Test: no targets.</t>
        </is>
      </c>
      <c r="H143" s="39" t="inlineStr">
        <is>
          <t>Medium</t>
        </is>
      </c>
      <c r="I143" s="12" t="inlineStr">
        <is>
          <t>Platform</t>
        </is>
      </c>
      <c r="J143" s="12" t="inlineStr">
        <is>
          <t>Apply the agreed BIBS-wide set.</t>
        </is>
      </c>
      <c r="K143" s="12" t="inlineStr">
        <is>
          <t>Please provide the QPS / EBIX values referred to, or confirm the BIBS-wide set replaces them.</t>
        </is>
      </c>
      <c r="L143" s="12" t="inlineStr">
        <is>
          <t>BIBS Product Owner, with the owners of the BRDs involved</t>
        </is>
      </c>
      <c r="M143" s="40" t="n">
        <v>46290</v>
      </c>
      <c r="N143" s="32" t="inlineStr">
        <is>
          <t>Open</t>
        </is>
      </c>
      <c r="O143" s="12" t="inlineStr"/>
      <c r="P143" s="40" t="n"/>
      <c r="Q143" s="12" t="inlineStr">
        <is>
          <t>RQ28, UQ12, AQ27</t>
        </is>
      </c>
    </row>
    <row r="144" ht="54.4" customHeight="1">
      <c r="A144" s="38" t="inlineStr">
        <is>
          <t>DCR-140</t>
        </is>
      </c>
      <c r="B144" s="12" t="inlineStr">
        <is>
          <t>BRD-4 CLXN; BRD-7 CLM; BRD-1 NB; BRD-11 UAM</t>
        </is>
      </c>
      <c r="C144" s="12" t="inlineStr">
        <is>
          <t>Drop 0</t>
        </is>
      </c>
      <c r="D144" s="12" t="inlineStr">
        <is>
          <t>BRD-4 NFR 10.01 (p.53); BRD-7 NFR 10.01 (p.35); BRD-1 p.93, p.137; BRD-11 p.8, p.17</t>
        </is>
      </c>
      <c r="E144" s="12" t="inlineStr">
        <is>
          <t>NFR inconsistency</t>
        </is>
      </c>
      <c r="F144" s="12" t="inlineStr">
        <is>
          <t>BRD-4 and BRD-7: "Session timeout is set to 15 minutes for active session opened." BRD-1 and BRD-11: inactivity warning at 15 minutes and log-out at 30 minutes. BIBS: SESSION_TIMEOUT_MINUTES = 30.</t>
        </is>
      </c>
      <c r="G144" s="12" t="inlineStr">
        <is>
          <t>Build: one session policy. Test: timeout cases.</t>
        </is>
      </c>
      <c r="H144" s="39" t="inlineStr">
        <is>
          <t>Medium</t>
        </is>
      </c>
      <c r="I144" s="12" t="inlineStr">
        <is>
          <t>Security (sessions)</t>
        </is>
      </c>
      <c r="J144" s="12" t="inlineStr">
        <is>
          <t>30-minute inactivity log-out with warning at 15 minutes (BRD-11 governs), configurable in System Administration.</t>
        </is>
      </c>
      <c r="K144" s="12" t="inlineStr">
        <is>
          <t>Confirm that one 30-minute inactivity timeout applies to all BIBS users.</t>
        </is>
      </c>
      <c r="L144" s="12" t="inlineStr">
        <is>
          <t>UAM process owner (Product Owner) with ITIO</t>
        </is>
      </c>
      <c r="M144" s="40" t="n">
        <v>46290</v>
      </c>
      <c r="N144" s="32" t="inlineStr">
        <is>
          <t>Open</t>
        </is>
      </c>
      <c r="O144" s="12" t="inlineStr"/>
      <c r="P144" s="40" t="n"/>
      <c r="Q144" s="12" t="inlineStr">
        <is>
          <t>CLQ24, Q42</t>
        </is>
      </c>
    </row>
    <row r="145" ht="54.4" customHeight="1">
      <c r="A145" s="38" t="inlineStr">
        <is>
          <t>DCR-141</t>
        </is>
      </c>
      <c r="B145" s="12" t="inlineStr">
        <is>
          <t>BRD-4 CLXN; BRD-7 CLM; BRD-11 UAM</t>
        </is>
      </c>
      <c r="C145" s="12" t="inlineStr">
        <is>
          <t>Drop 0</t>
        </is>
      </c>
      <c r="D145" s="12" t="inlineStr">
        <is>
          <t>BRD-4 NFR 9.02, 10.07 (p.53); BRD-7 NFR 9.02 (p.35); BRD-11 (silent)</t>
        </is>
      </c>
      <c r="E145" s="12" t="inlineStr">
        <is>
          <t>Conflict between BRDs</t>
        </is>
      </c>
      <c r="F145" s="12" t="inlineStr">
        <is>
          <t>BRD-7: "For internal systems, concurrent open sessions should be allowed". BRD-4 NFR 10.07: one session per device, a new device logs off the old one. BRD-11 does not address it.</t>
        </is>
      </c>
      <c r="G145" s="12" t="inlineStr">
        <is>
          <t>Security: session control for all users. Build: session enforcement.</t>
        </is>
      </c>
      <c r="H145" s="39" t="inlineStr">
        <is>
          <t>High</t>
        </is>
      </c>
      <c r="I145" s="12" t="inlineStr">
        <is>
          <t>Security (sessions)</t>
        </is>
      </c>
      <c r="J145" s="12" t="inlineStr">
        <is>
          <t>Session log built; enforcement parked behind a parameter until answered.</t>
        </is>
      </c>
      <c r="K145" s="12" t="inlineStr">
        <is>
          <t>Does the single-session rule apply to all BIBS users, Collections users only, or no one?</t>
        </is>
      </c>
      <c r="L145" s="12" t="inlineStr">
        <is>
          <t>UAM process owner (Product Owner) with ITIO</t>
        </is>
      </c>
      <c r="M145" s="40" t="n">
        <v>46290</v>
      </c>
      <c r="N145" s="32" t="inlineStr">
        <is>
          <t>Open</t>
        </is>
      </c>
      <c r="O145" s="12" t="inlineStr"/>
      <c r="P145" s="40" t="n"/>
      <c r="Q145" s="12" t="inlineStr">
        <is>
          <t>XQ11, UQ09, CQ23</t>
        </is>
      </c>
    </row>
    <row r="146" ht="41.8" customHeight="1">
      <c r="A146" s="38" t="inlineStr">
        <is>
          <t>DCR-142</t>
        </is>
      </c>
      <c r="B146" s="12" t="inlineStr">
        <is>
          <t>BRD-4 CLXN; BRD-7 CLM; BRD-11 UAM</t>
        </is>
      </c>
      <c r="C146" s="12" t="inlineStr">
        <is>
          <t>Drop 0</t>
        </is>
      </c>
      <c r="D146" s="12" t="inlineStr">
        <is>
          <t>BRD-4 NFR 2.02 (p.51); BRD-7 NFR 2.02 (p.32); BRD-11 NFR (p.14)</t>
        </is>
      </c>
      <c r="E146" s="12" t="inlineStr">
        <is>
          <t>BRD vs platform</t>
        </is>
      </c>
      <c r="F146" s="12" t="inlineStr">
        <is>
          <t>BRD-4, BRD-7 and BRD-11 require lock-out after 3 invalid attempts. The platform default was 5.</t>
        </is>
      </c>
      <c r="G146" s="12" t="inlineStr">
        <is>
          <t>Security.</t>
        </is>
      </c>
      <c r="H146" s="39" t="inlineStr">
        <is>
          <t>Medium</t>
        </is>
      </c>
      <c r="I146" s="12" t="inlineStr">
        <is>
          <t>Security</t>
        </is>
      </c>
      <c r="J146" s="12" t="inlineStr">
        <is>
          <t>Parameter LOGIN_MAX_FAILED_ATTEMPTS = 3 for every user (portal users PORTAL_MAX_FAILED_LOGINS = 3).</t>
        </is>
      </c>
      <c r="K146" s="12" t="inlineStr">
        <is>
          <t>None.</t>
        </is>
      </c>
      <c r="L146" s="12" t="inlineStr">
        <is>
          <t>UAM process owner (Product Owner) with ITIO</t>
        </is>
      </c>
      <c r="M146" s="40" t="n">
        <v>46290</v>
      </c>
      <c r="N146" s="32" t="inlineStr">
        <is>
          <t>Answered</t>
        </is>
      </c>
      <c r="O146" s="12" t="inlineStr">
        <is>
          <t>BRD-11 p.14: "Users should be locked out to the system after 3 invalid attempts."</t>
        </is>
      </c>
      <c r="P146" s="40" t="n"/>
      <c r="Q146" s="12" t="inlineStr">
        <is>
          <t>CQ23</t>
        </is>
      </c>
    </row>
    <row r="147" ht="79.59999999999999" customHeight="1">
      <c r="A147" s="38" t="inlineStr">
        <is>
          <t>DCR-143</t>
        </is>
      </c>
      <c r="B147" s="12" t="inlineStr">
        <is>
          <t>BRD-11 UAM; BRD-9 CSF; BRD-7 CLM; BRD-4 CLXN; BRD-1 NB</t>
        </is>
      </c>
      <c r="C147" s="12" t="inlineStr">
        <is>
          <t>Drop 0</t>
        </is>
      </c>
      <c r="D147" s="12" t="inlineStr">
        <is>
          <t>BRD-11 NFR 1.h (p.13), EUA (p.14), NFR 4 (p.17); BRD-9 BRCSF-001 / 1.001 (p.6); BRD-7 NFR 1.01 (p.32); BRD-4 NFR 1; BRD-1 BRNB.040</t>
        </is>
      </c>
      <c r="E147" s="12" t="inlineStr">
        <is>
          <t>Conflict between BRDs</t>
        </is>
      </c>
      <c r="F147" s="12" t="inlineStr">
        <is>
          <t>BRD-11 requires authentication of the Windows ID through BDO EUA and LDAP / AD or SSO; BRD-7 and BRD-4 ask for Windows credentials; BRD-9 asks agents to "log-in to the system via entering user ID and password". BIBS signs in with local user ID and password; the EUA interface is not specified.</t>
        </is>
      </c>
      <c r="G147" s="12" t="inlineStr">
        <is>
          <t>Security: identity source for all users. Build: directory authentication port. Test: login cases.</t>
        </is>
      </c>
      <c r="H147" s="39" t="inlineStr">
        <is>
          <t>High</t>
        </is>
      </c>
      <c r="I147" s="12" t="inlineStr">
        <is>
          <t>Security; User Access</t>
        </is>
      </c>
      <c r="J147" s="12" t="inlineStr">
        <is>
          <t>Directory sign-in for all internal users once BDO supplies the EUA interface; local sign-in until then (AUTH_MODE).</t>
        </is>
      </c>
      <c r="K147" s="12" t="inlineStr">
        <is>
          <t>Please provide the EUA interface (protocol, host, error codes). Is every BIBS user in the BDO directory, including Contact Center agents? Is a local administrator account allowed?</t>
        </is>
      </c>
      <c r="L147" s="12" t="inlineStr">
        <is>
          <t>UAM process owner (Product Owner) with ITIO</t>
        </is>
      </c>
      <c r="M147" s="40" t="n">
        <v>46290</v>
      </c>
      <c r="N147" s="32" t="inlineStr">
        <is>
          <t>Open</t>
        </is>
      </c>
      <c r="O147" s="12" t="inlineStr"/>
      <c r="P147" s="40" t="n"/>
      <c r="Q147" s="12" t="inlineStr">
        <is>
          <t>Q42, UQ04</t>
        </is>
      </c>
    </row>
    <row r="148" ht="67" customHeight="1">
      <c r="A148" s="38" t="inlineStr">
        <is>
          <t>DCR-144</t>
        </is>
      </c>
      <c r="B148" s="12" t="inlineStr">
        <is>
          <t>BRD-4 CLXN; BRD-7 CLM; BRD-11 UAM</t>
        </is>
      </c>
      <c r="C148" s="12" t="inlineStr">
        <is>
          <t>Drop 0</t>
        </is>
      </c>
      <c r="D148" s="12" t="inlineStr">
        <is>
          <t>BRD-4 NFR 2.03-2.10 (p.51-52); BRD-7 NFR 2.x (p.32-33); BRD-11 Other BU NFR 7-8 (p.17)</t>
        </is>
      </c>
      <c r="E148" s="12" t="inlineStr">
        <is>
          <t>Ambiguity</t>
        </is>
      </c>
      <c r="F148" s="12" t="inlineStr">
        <is>
          <t>BRD-4 and BRD-7 give password values (minimum 8, 12 for administrators, history 8, change every 90 days, minimum age 1 day). BRD-11 asks to "enforce strong password policies" and self-service reset without values, and hands password checks to EUA.</t>
        </is>
      </c>
      <c r="G148" s="12" t="inlineStr">
        <is>
          <t>Build: password policy applies only to local accounts if EUA is used.</t>
        </is>
      </c>
      <c r="H148" s="39" t="inlineStr">
        <is>
          <t>Medium</t>
        </is>
      </c>
      <c r="I148" s="12" t="inlineStr">
        <is>
          <t>Security</t>
        </is>
      </c>
      <c r="J148" s="12" t="inlineStr">
        <is>
          <t>BRD-4 values as parameters for local accounts; none for directory accounts.</t>
        </is>
      </c>
      <c r="K148" s="12" t="inlineStr">
        <is>
          <t>Confirm the password values for local accounts, and the channel for self-service reset.</t>
        </is>
      </c>
      <c r="L148" s="12" t="inlineStr">
        <is>
          <t>UAM process owner (Product Owner) with ITIO</t>
        </is>
      </c>
      <c r="M148" s="40" t="n">
        <v>46290</v>
      </c>
      <c r="N148" s="32" t="inlineStr">
        <is>
          <t>Open</t>
        </is>
      </c>
      <c r="O148" s="12" t="inlineStr"/>
      <c r="P148" s="40" t="n"/>
      <c r="Q148" s="12" t="inlineStr">
        <is>
          <t>UQ08</t>
        </is>
      </c>
    </row>
    <row r="149" ht="41.8" customHeight="1">
      <c r="A149" s="38" t="inlineStr">
        <is>
          <t>DCR-145</t>
        </is>
      </c>
      <c r="B149" s="12" t="inlineStr">
        <is>
          <t>BRD-4 CLXN</t>
        </is>
      </c>
      <c r="C149" s="12" t="inlineStr">
        <is>
          <t>Drop 1</t>
        </is>
      </c>
      <c r="D149" s="12" t="inlineStr">
        <is>
          <t>NFR 4.x audit (p.52)</t>
        </is>
      </c>
      <c r="E149" s="12" t="inlineStr">
        <is>
          <t>BRD vs platform</t>
        </is>
      </c>
      <c r="F149" s="12" t="inlineStr">
        <is>
          <t>The audit NFR requires the source IP address of each event and of back-office actions. The BIBS audit trail records user, time and change, not the source IP.</t>
        </is>
      </c>
      <c r="G149" s="12" t="inlineStr">
        <is>
          <t>Audit completeness.</t>
        </is>
      </c>
      <c r="H149" s="39" t="inlineStr">
        <is>
          <t>Medium</t>
        </is>
      </c>
      <c r="I149" s="12" t="inlineStr">
        <is>
          <t>Security; Collections</t>
        </is>
      </c>
      <c r="J149" s="12" t="inlineStr">
        <is>
          <t>Add source IP and resource to the audit record.</t>
        </is>
      </c>
      <c r="K149" s="12" t="inlineStr">
        <is>
          <t>None.</t>
        </is>
      </c>
      <c r="L149" s="12" t="inlineStr">
        <is>
          <t>Operations - Collections (Head of BDOI Operations)</t>
        </is>
      </c>
      <c r="M149" s="40" t="n">
        <v>46290</v>
      </c>
      <c r="N149" s="32" t="inlineStr">
        <is>
          <t>Open</t>
        </is>
      </c>
      <c r="O149" s="12" t="inlineStr"/>
      <c r="P149" s="40" t="n"/>
      <c r="Q149" s="12" t="inlineStr"/>
    </row>
    <row r="150" ht="67" customHeight="1">
      <c r="A150" s="38" t="inlineStr">
        <is>
          <t>DCR-146</t>
        </is>
      </c>
      <c r="B150" s="12" t="inlineStr">
        <is>
          <t>BRD-6 RN; BRD-12 SP</t>
        </is>
      </c>
      <c r="C150" s="12" t="inlineStr">
        <is>
          <t>Drop 1</t>
        </is>
      </c>
      <c r="D150" s="12" t="inlineStr">
        <is>
          <t>BRD-6 BRRN.024, BRRN.029 (p.6, p.8); BRD-12 BRIDSP-12 / 13 (p.9-10), current process (p.4)</t>
        </is>
      </c>
      <c r="E150" s="12" t="inlineStr">
        <is>
          <t>Conflict between BRDs</t>
        </is>
      </c>
      <c r="F150" s="12" t="inlineStr">
        <is>
          <t>BRD-6 ingests "LAMD-provided reports" of paid-off loans (PN as the matching key) and gives LAMD a validation-only role. BRD-12 matches submitted policies "PN vs LAMD" and identifies active loans per LAMD. Two intakes, two owners.</t>
        </is>
      </c>
      <c r="G150" s="12" t="inlineStr">
        <is>
          <t>Business: one loan status or two. Build: one LAMD intake.</t>
        </is>
      </c>
      <c r="H150" s="39" t="inlineStr">
        <is>
          <t>High</t>
        </is>
      </c>
      <c r="I150" s="12" t="inlineStr">
        <is>
          <t>Renewal; Submitted Policies</t>
        </is>
      </c>
      <c r="J150" s="12" t="inlineStr">
        <is>
          <t>One LAMD intake owned by one module and read by the other.</t>
        </is>
      </c>
      <c r="K150" s="12" t="inlineStr">
        <is>
          <t>Is it one LAMD report or two? Who uploads it, how often, and do LAMD users log in to BIBS?</t>
        </is>
      </c>
      <c r="L150" s="12" t="inlineStr">
        <is>
          <t>BIBS Product Owner, with the owners of the BRDs involved</t>
        </is>
      </c>
      <c r="M150" s="40" t="n">
        <v>46290</v>
      </c>
      <c r="N150" s="32" t="inlineStr">
        <is>
          <t>Open</t>
        </is>
      </c>
      <c r="O150" s="12" t="inlineStr"/>
      <c r="P150" s="40" t="n"/>
      <c r="Q150" s="12" t="inlineStr">
        <is>
          <t>XQ01, RQ20, SP-SQ06, RQ23</t>
        </is>
      </c>
    </row>
    <row r="151" ht="67" customHeight="1">
      <c r="A151" s="38" t="inlineStr">
        <is>
          <t>DCR-147</t>
        </is>
      </c>
      <c r="B151" s="12" t="inlineStr">
        <is>
          <t>BRD-6 RN; BRD-9 CSF</t>
        </is>
      </c>
      <c r="C151" s="12" t="inlineStr">
        <is>
          <t>Drop 1</t>
        </is>
      </c>
      <c r="D151" s="12" t="inlineStr">
        <is>
          <t>BRD-6 BRRN.026 (p.6); BRD-9 personas (p.4)</t>
        </is>
      </c>
      <c r="E151" s="12" t="inlineStr">
        <is>
          <t>Conflict between BRDs</t>
        </is>
      </c>
      <c r="F151" s="12" t="inlineStr">
        <is>
          <t>BRD-6 gives "Contact Center users" access to renewal lists with remarks and status updates. BRD-9 defines Contact Center agents and supervisors who see all accounts (CBG and non-CBG). The same people may be described twice with different access.</t>
        </is>
      </c>
      <c r="G151" s="12" t="inlineStr">
        <is>
          <t>Build: one or two roles; data visible to each.</t>
        </is>
      </c>
      <c r="H151" s="39" t="inlineStr">
        <is>
          <t>Medium</t>
        </is>
      </c>
      <c r="I151" s="12" t="inlineStr">
        <is>
          <t>Renewal; Customer Servicing; User Access</t>
        </is>
      </c>
      <c r="J151" s="12" t="inlineStr">
        <is>
          <t>Two roles; one user may hold both.</t>
        </is>
      </c>
      <c r="K151" s="12" t="inlineStr">
        <is>
          <t>Are the Renewal Contact Center users the BDO Insure Contact Center agents of BRD-9? Which renewal data may they see?</t>
        </is>
      </c>
      <c r="L151" s="12" t="inlineStr">
        <is>
          <t>BIBS Product Owner, with the owners of the BRDs involved</t>
        </is>
      </c>
      <c r="M151" s="40" t="n">
        <v>46290</v>
      </c>
      <c r="N151" s="32" t="inlineStr">
        <is>
          <t>Open</t>
        </is>
      </c>
      <c r="O151" s="12" t="inlineStr"/>
      <c r="P151" s="40" t="n"/>
      <c r="Q151" s="12" t="inlineStr">
        <is>
          <t>XQ02, RQ21, CSQ10</t>
        </is>
      </c>
    </row>
    <row r="152" ht="67" customHeight="1">
      <c r="A152" s="38" t="inlineStr">
        <is>
          <t>DCR-148</t>
        </is>
      </c>
      <c r="B152" s="12" t="inlineStr">
        <is>
          <t>BRD-8 EB; BRD-9 CSF; BRD-7 CLM</t>
        </is>
      </c>
      <c r="C152" s="12" t="inlineStr">
        <is>
          <t>Drop 1</t>
        </is>
      </c>
      <c r="D152" s="12" t="inlineStr">
        <is>
          <t>BRD-8 BRID-025 / 026; BRD-9 BRCSF-006, BRCSF-009 (p.10); BRD-7 BRCLM.010</t>
        </is>
      </c>
      <c r="E152" s="12" t="inlineStr">
        <is>
          <t>Conflict between BRDs</t>
        </is>
      </c>
      <c r="F152" s="12" t="inlineStr">
        <is>
          <t>CSF agents must view and resend renewal advices and retrieve "claims reports". EB restricts documents by process; claims documents may be confidential; BRD-7 has its own claim document types and does not name a "claims report".</t>
        </is>
      </c>
      <c r="G152" s="12" t="inlineStr">
        <is>
          <t>Security: document confidentiality. Build: access classes per document type.</t>
        </is>
      </c>
      <c r="H152" s="39" t="inlineStr">
        <is>
          <t>Medium</t>
        </is>
      </c>
      <c r="I152" s="12" t="inlineStr">
        <is>
          <t>Documents; Customer Servicing; Claims; Employee Benefits; Renewal</t>
        </is>
      </c>
      <c r="J152" s="12" t="inlineStr">
        <is>
          <t>Access class per document type; CSF may view RENEWAL_ADVICE and CLAIM_REPORT; the loss advice and insurer claim reports stored as CLAIM_REPORT.</t>
        </is>
      </c>
      <c r="K152" s="12" t="inlineStr">
        <is>
          <t>Please give the confidentiality matrix per document type, and which claim documents the Contact Center may retrieve.</t>
        </is>
      </c>
      <c r="L152" s="12" t="inlineStr">
        <is>
          <t>BIBS Product Owner, with the owners of the BRDs involved</t>
        </is>
      </c>
      <c r="M152" s="40" t="n">
        <v>46290</v>
      </c>
      <c r="N152" s="32" t="inlineStr">
        <is>
          <t>Open</t>
        </is>
      </c>
      <c r="O152" s="12" t="inlineStr"/>
      <c r="P152" s="40" t="n"/>
      <c r="Q152" s="12" t="inlineStr">
        <is>
          <t>XQ04, XQ05, CSQ07, EBQ15, CLQ26</t>
        </is>
      </c>
    </row>
    <row r="153" ht="41.8" customHeight="1">
      <c r="A153" s="38" t="inlineStr">
        <is>
          <t>DCR-149</t>
        </is>
      </c>
      <c r="B153" s="12" t="inlineStr">
        <is>
          <t>BRD-12 SP; BRD-6 RN; Report List</t>
        </is>
      </c>
      <c r="C153" s="12" t="inlineStr">
        <is>
          <t>Drop 1</t>
        </is>
      </c>
      <c r="D153" s="12" t="inlineStr">
        <is>
          <t>Report List #135 (p.44); BRD-6 reports</t>
        </is>
      </c>
      <c r="E153" s="12" t="inlineStr">
        <is>
          <t>Gap / missing detail</t>
        </is>
      </c>
      <c r="F153" s="12" t="inlineStr">
        <is>
          <t>Report List #135 "Renewal Persistency" is tagged "Renewal/Submitted Policy". The Renewal BRD has no persistency report; only the submitted-accounts part is designed.</t>
        </is>
      </c>
      <c r="G153" s="12" t="inlineStr">
        <is>
          <t>Build: no owner or layout for the general report.</t>
        </is>
      </c>
      <c r="H153" s="39" t="inlineStr">
        <is>
          <t>Medium</t>
        </is>
      </c>
      <c r="I153" s="12" t="inlineStr">
        <is>
          <t>Renewal; Submitted Policies; Reports</t>
        </is>
      </c>
      <c r="J153" s="12" t="inlineStr">
        <is>
          <t>General persistency report in Renewal over closed renewal candidates.</t>
        </is>
      </c>
      <c r="K153" s="12" t="inlineStr">
        <is>
          <t>Please define the Renewal Persistency Report (period, base, grouping).</t>
        </is>
      </c>
      <c r="L153" s="12" t="inlineStr">
        <is>
          <t>Marketing and Processing - Renewal (RMEL)</t>
        </is>
      </c>
      <c r="M153" s="40" t="n">
        <v>46290</v>
      </c>
      <c r="N153" s="32" t="inlineStr">
        <is>
          <t>Open</t>
        </is>
      </c>
      <c r="O153" s="12" t="inlineStr"/>
      <c r="P153" s="40" t="n"/>
      <c r="Q153" s="12" t="inlineStr">
        <is>
          <t>XQ06</t>
        </is>
      </c>
    </row>
    <row r="154" ht="54.4" customHeight="1">
      <c r="A154" s="38" t="inlineStr">
        <is>
          <t>DCR-150</t>
        </is>
      </c>
      <c r="B154" s="12" t="inlineStr">
        <is>
          <t>BRD-6 RN; BRD-7 CLM</t>
        </is>
      </c>
      <c r="C154" s="12" t="inlineStr">
        <is>
          <t>Drop 1</t>
        </is>
      </c>
      <c r="D154" s="12" t="inlineStr">
        <is>
          <t>BRD-6 reason 2.004.4.5 "Total Loss Claim" (p.82), expiring list 1.003.4.1.1.22-23 (p.50); BRD-7 BRCLM.014</t>
        </is>
      </c>
      <c r="E154" s="12" t="inlineStr">
        <is>
          <t>Conflict between BRDs</t>
        </is>
      </c>
      <c r="F154" s="12" t="inlineStr">
        <is>
          <t>BRD-6 uses "Total Loss Claim" as a non-renewal reason and shows the number and status of claims per account. BRD-7 records no total-loss indicator and defines no feed to Renewal.</t>
        </is>
      </c>
      <c r="G154" s="12" t="inlineStr">
        <is>
          <t>Build: renewal decision matrix cannot test total loss automatically.</t>
        </is>
      </c>
      <c r="H154" s="39" t="inlineStr">
        <is>
          <t>Medium</t>
        </is>
      </c>
      <c r="I154" s="12" t="inlineStr">
        <is>
          <t>Renewal; Claims</t>
        </is>
      </c>
      <c r="J154" s="12" t="inlineStr">
        <is>
          <t>Renewal reads claim experience from Claims; "Total Loss Claim" stays a manual reason until Claims records an indicator.</t>
        </is>
      </c>
      <c r="K154" s="12" t="inlineStr">
        <is>
          <t>Should Claims record a total-loss indicator (settlement type, loss nature or flag)?</t>
        </is>
      </c>
      <c r="L154" s="12" t="inlineStr">
        <is>
          <t>BIBS Product Owner, with the owners of the BRDs involved</t>
        </is>
      </c>
      <c r="M154" s="40" t="n">
        <v>46290</v>
      </c>
      <c r="N154" s="32" t="inlineStr">
        <is>
          <t>Open</t>
        </is>
      </c>
      <c r="O154" s="12" t="inlineStr"/>
      <c r="P154" s="40" t="n"/>
      <c r="Q154" s="12" t="inlineStr">
        <is>
          <t>XQ10, CLQ28, RQ13</t>
        </is>
      </c>
    </row>
    <row r="155" ht="54.4" customHeight="1">
      <c r="A155" s="38" t="inlineStr">
        <is>
          <t>DCR-151</t>
        </is>
      </c>
      <c r="B155" s="12" t="inlineStr">
        <is>
          <t>BRD-8 EB; BRD-6 RN</t>
        </is>
      </c>
      <c r="C155" s="12" t="inlineStr">
        <is>
          <t>Drop 1</t>
        </is>
      </c>
      <c r="D155" s="12" t="inlineStr">
        <is>
          <t>BRD-8 BRID-001, 003, 004 (p.24-27); BRD-6 scope (p.21, p.41-43)</t>
        </is>
      </c>
      <c r="E155" s="12" t="inlineStr">
        <is>
          <t>Ambiguity</t>
        </is>
      </c>
      <c r="F155" s="12" t="inlineStr">
        <is>
          <t>BRD-8 has its own renewal cycle for EB programmes (renewal advice, incumbent proposal, remarketing). BRD-6 covers the renewal of expiring policies without excluding group benefits.</t>
        </is>
      </c>
      <c r="G155" s="12" t="inlineStr">
        <is>
          <t>Build: EB programmes must be excluded from the general renewal lists.</t>
        </is>
      </c>
      <c r="H155" s="39" t="inlineStr">
        <is>
          <t>Medium</t>
        </is>
      </c>
      <c r="I155" s="12" t="inlineStr">
        <is>
          <t>Renewal; Employee Benefits</t>
        </is>
      </c>
      <c r="J155" s="12" t="inlineStr">
        <is>
          <t>EB renewals stay in EB; the general renewal lists exclude EB benefit lines; one renewal advice document type (decision D3).</t>
        </is>
      </c>
      <c r="K155" s="12" t="inlineStr">
        <is>
          <t>Confirm that EB renewals are handled only in EB, and whether EB and Renewal share an RA template.</t>
        </is>
      </c>
      <c r="L155" s="12" t="inlineStr">
        <is>
          <t>BIBS Product Owner, with the owners of the BRDs involved</t>
        </is>
      </c>
      <c r="M155" s="40" t="n">
        <v>46290</v>
      </c>
      <c r="N155" s="32" t="inlineStr">
        <is>
          <t>Open</t>
        </is>
      </c>
      <c r="O155" s="12" t="inlineStr"/>
      <c r="P155" s="40" t="n"/>
      <c r="Q155" s="12" t="inlineStr">
        <is>
          <t>EBQ28, EBQ03</t>
        </is>
      </c>
    </row>
    <row r="156" ht="67" customHeight="1">
      <c r="A156" s="38" t="inlineStr">
        <is>
          <t>DCR-152</t>
        </is>
      </c>
      <c r="B156" s="12" t="inlineStr">
        <is>
          <t>BRD-12 SP; BRD-7 CLM; BRD-4 CLXN; BRD-10 SANC; BRD-2 OPS</t>
        </is>
      </c>
      <c r="C156" s="12" t="inlineStr">
        <is>
          <t>Drop 1</t>
        </is>
      </c>
      <c r="D156" s="12" t="inlineStr">
        <is>
          <t>BRD-12 envisioned journey (p.6); BRD-7 p.39-40; BRD-4 FRID-041 / 042 (p.32); BRD-10 SNSRP-706; BRD-2 RMTID.001 / 007</t>
        </is>
      </c>
      <c r="E156" s="12" t="inlineStr">
        <is>
          <t>Conflict between BRDs</t>
        </is>
      </c>
      <c r="F156" s="12" t="inlineStr">
        <is>
          <t>BRD-12 replaces shared-drive masterlists with "a single, master database". BRD-7 delivers report files to a "Shared Drive"; BRD-4 loads files to FS04; BRD-10 saves the STR to a "designated folder path"; BRD-2 names a shared-drive path for remittance files.</t>
        </is>
      </c>
      <c r="G156" s="12" t="inlineStr">
        <is>
          <t>Build: file drop targets. Test: delivery cases.</t>
        </is>
      </c>
      <c r="H156" s="39" t="inlineStr">
        <is>
          <t>Medium</t>
        </is>
      </c>
      <c r="I156" s="12" t="inlineStr">
        <is>
          <t>Reports; Claims; Collections; Sanction Screening; Remittance</t>
        </is>
      </c>
      <c r="J156" s="12" t="inlineStr">
        <is>
          <t>Files kept in BIBS with download; a shared-drive drop added only where a downstream system reads it.</t>
        </is>
      </c>
      <c r="K156" s="12" t="inlineStr">
        <is>
          <t>Which outputs must still be placed on a shared drive or FS04, and for which downstream user or system?</t>
        </is>
      </c>
      <c r="L156" s="12" t="inlineStr">
        <is>
          <t>BIBS Product Owner, with the owners of the BRDs involved</t>
        </is>
      </c>
      <c r="M156" s="40" t="n">
        <v>46290</v>
      </c>
      <c r="N156" s="32" t="inlineStr">
        <is>
          <t>Open</t>
        </is>
      </c>
      <c r="O156" s="12" t="inlineStr"/>
      <c r="P156" s="40" t="n"/>
      <c r="Q156" s="12" t="inlineStr">
        <is>
          <t>OQ17, CLQ21, SANC-SQ16, CQ12</t>
        </is>
      </c>
    </row>
    <row r="157" ht="67" customHeight="1">
      <c r="A157" s="38" t="inlineStr">
        <is>
          <t>DCR-153</t>
        </is>
      </c>
      <c r="B157" s="12" t="inlineStr">
        <is>
          <t>BRD-1 NB; BRD-6 RN; BRD-8 EB; BRD-9 CSF; BRD-3 PM</t>
        </is>
      </c>
      <c r="C157" s="12" t="inlineStr">
        <is>
          <t>Drop 0</t>
        </is>
      </c>
      <c r="D157" s="12" t="inlineStr">
        <is>
          <t>BRD-1 BRNB.013 (p.55), BRNB.035 (p.75); BRD-6 BRRN.010; BRD-8 BRID-007 (p.29); BRD-9 e-mail topic 8 (p.17); BRD-3 BRPM.020</t>
        </is>
      </c>
      <c r="E157" s="12" t="inlineStr">
        <is>
          <t>Gap / missing detail</t>
        </is>
      </c>
      <c r="F157" s="12" t="inlineStr">
        <is>
          <t>Every outbound document must be encrypted or password protected (BRNB.013, BRNB.035, BRRN.010, BRID-007), with the password sent separately. BRD-8 allows "a standard assigned password or system-generated with a defined syntax". No BRD gives the convention.</t>
        </is>
      </c>
      <c r="G157" s="12" t="inlineStr">
        <is>
          <t>Business: clients cannot open documents without a known rule. Build: password policy per document type. Test: protection cases.</t>
        </is>
      </c>
      <c r="H157" s="39" t="inlineStr">
        <is>
          <t>High</t>
        </is>
      </c>
      <c r="I157" s="12" t="inlineStr">
        <is>
          <t>Documents; Notifications; all modules sending documents</t>
        </is>
      </c>
      <c r="J157" s="12" t="inlineStr">
        <is>
          <t>Password policy per document type as configuration; default a generated password sent by SMS or separate e-mail.</t>
        </is>
      </c>
      <c r="K157" s="12" t="inlineStr">
        <is>
          <t>Please give the password convention for documents to clients and to insurers.</t>
        </is>
      </c>
      <c r="L157" s="12" t="inlineStr">
        <is>
          <t>BIBS Product Owner, with the owners of the BRDs involved</t>
        </is>
      </c>
      <c r="M157" s="40" t="n">
        <v>46290</v>
      </c>
      <c r="N157" s="32" t="inlineStr">
        <is>
          <t>Open</t>
        </is>
      </c>
      <c r="O157" s="12" t="inlineStr"/>
      <c r="P157" s="40" t="n"/>
      <c r="Q157" s="12" t="inlineStr">
        <is>
          <t>Q07, EBQ09, PQ21, CSQ06, RQ16</t>
        </is>
      </c>
    </row>
    <row r="158" ht="67" customHeight="1">
      <c r="A158" s="38" t="inlineStr">
        <is>
          <t>DCR-154</t>
        </is>
      </c>
      <c r="B158" s="12" t="inlineStr">
        <is>
          <t>BRD-1 NB; BRD-8 EB; BRD-9 CSF; BRD-10 SANC</t>
        </is>
      </c>
      <c r="C158" s="12" t="inlineStr">
        <is>
          <t>Drop 1</t>
        </is>
      </c>
      <c r="D158" s="12" t="inlineStr">
        <is>
          <t>BRD-1 BRNB.026 (p.65); BRD-8 BRID-002, 005.01 (Add. p.7); BRD-9 BRCSF-007; BRD-10 SNSRP-601</t>
        </is>
      </c>
      <c r="E158" s="12" t="inlineStr">
        <is>
          <t>Ambiguity</t>
        </is>
      </c>
      <c r="F158" s="12" t="inlineStr">
        <is>
          <t>Allowed file types differ: EB "PDF, Word, Excel, and other agreed formats"; CSF doc, docx, txt, xls, xlsx, ods, csv, PNG, JPG, HEIF, PDF. No BRD gives a maximum file size. Only BRD-10 gives a naming syntax ("&lt;Form Type&gt;_&lt;Client Name&gt;_&lt;Date Received&gt;_&lt;Document Type&gt;_&lt;n&gt;").</t>
        </is>
      </c>
      <c r="G158" s="12" t="inlineStr">
        <is>
          <t>Build: upload validation. Test: file cases.</t>
        </is>
      </c>
      <c r="H158" s="39" t="inlineStr">
        <is>
          <t>Medium</t>
        </is>
      </c>
      <c r="I158" s="12" t="inlineStr">
        <is>
          <t>Documents</t>
        </is>
      </c>
      <c r="J158" s="12" t="inlineStr">
        <is>
          <t>One allowed-type list and size limit as configuration; the screening naming pattern for screening documents only.</t>
        </is>
      </c>
      <c r="K158" s="12" t="inlineStr">
        <is>
          <t>Please give the allowed file types, the maximum size, and whether the screening naming syntax applies elsewhere.</t>
        </is>
      </c>
      <c r="L158" s="12" t="inlineStr">
        <is>
          <t>BIBS Product Owner, with the owners of the BRDs involved</t>
        </is>
      </c>
      <c r="M158" s="40" t="n">
        <v>46290</v>
      </c>
      <c r="N158" s="32" t="inlineStr">
        <is>
          <t>Open</t>
        </is>
      </c>
      <c r="O158" s="12" t="inlineStr"/>
      <c r="P158" s="40" t="n"/>
      <c r="Q158" s="12" t="inlineStr">
        <is>
          <t>Q23, CSQ08, SANC-SQ14</t>
        </is>
      </c>
    </row>
    <row r="159" ht="79.59999999999999" customHeight="1">
      <c r="A159" s="38" t="inlineStr">
        <is>
          <t>DCR-155</t>
        </is>
      </c>
      <c r="B159" s="12" t="inlineStr">
        <is>
          <t>BRD-1 NB; BRD-12 SP; BRD-6 RN</t>
        </is>
      </c>
      <c r="C159" s="12" t="inlineStr">
        <is>
          <t>Drop 1</t>
        </is>
      </c>
      <c r="D159" s="12" t="inlineStr">
        <is>
          <t>BRD-1 BRNB.072 (p.116), BRNB.103; BRD-12 renewal flow (p.5), BRIDSP-24, BRIDSP-32 (p.11-12); BRD-6 1.009.3.1.33-34</t>
        </is>
      </c>
      <c r="E159" s="12" t="inlineStr">
        <is>
          <t>Ambiguity</t>
        </is>
      </c>
      <c r="F159" s="12" t="inlineStr">
        <is>
          <t>Hold covers: BRD-1 requests a hold cover (30 days) at placement; BRD-12 sends submitted renewals with a 30-day hold cover request, "accepted within 3-5 days", else follow up or re-assign; BRD-6 reports "Hold Cover" and "HC End Date". What happens when a hold cover expires is not stated.</t>
        </is>
      </c>
      <c r="G159" s="12" t="inlineStr">
        <is>
          <t>Business: uncovered risk after expiry. Build: hold cover monitoring. Test: expiry cases.</t>
        </is>
      </c>
      <c r="H159" s="39" t="inlineStr">
        <is>
          <t>Medium</t>
        </is>
      </c>
      <c r="I159" s="12" t="inlineStr">
        <is>
          <t>Placement; Submitted Policies; Renewal</t>
        </is>
      </c>
      <c r="J159" s="12" t="inlineStr">
        <is>
          <t>One hold-cover record with expiry monitoring and alerts; acceptance window a parameter (default 5 working days).</t>
        </is>
      </c>
      <c r="K159" s="12" t="inlineStr">
        <is>
          <t>Which accounts need an automatic hold cover, is the window 3 or 5 days (working or calendar), and what happens at hold-cover expiry?</t>
        </is>
      </c>
      <c r="L159" s="12" t="inlineStr">
        <is>
          <t>BIBS Product Owner, with the owners of the BRDs involved</t>
        </is>
      </c>
      <c r="M159" s="40" t="n">
        <v>46290</v>
      </c>
      <c r="N159" s="32" t="inlineStr">
        <is>
          <t>Open</t>
        </is>
      </c>
      <c r="O159" s="12" t="inlineStr"/>
      <c r="P159" s="40" t="n"/>
      <c r="Q159" s="12" t="inlineStr">
        <is>
          <t>Q27, SP-SQ12</t>
        </is>
      </c>
    </row>
    <row r="160" ht="67" customHeight="1">
      <c r="A160" s="38" t="inlineStr">
        <is>
          <t>DCR-156</t>
        </is>
      </c>
      <c r="B160" s="12" t="inlineStr">
        <is>
          <t>BRD-1 NB; BRD-6 RN; BRD-12 SP</t>
        </is>
      </c>
      <c r="C160" s="12" t="inlineStr">
        <is>
          <t>Drop 1</t>
        </is>
      </c>
      <c r="D160" s="12" t="inlineStr">
        <is>
          <t>BRD-1 BRNB.006, BRNB.102; BRD-6 BRRN.022 (p.4); BRD-12 renewal flow (p.5)</t>
        </is>
      </c>
      <c r="E160" s="12" t="inlineStr">
        <is>
          <t>Ambiguity</t>
        </is>
      </c>
      <c r="F160" s="12" t="inlineStr">
        <is>
          <t>BRD-1 requires a single Account Reference Number; BRD-6 a "unique reference number" as the matching key of renewal records (no format); BRD-12 replaces the ISYS reference and the ARF in the renewal flow. No BRD gives a format or says whether the renewal reference is the ARN.</t>
        </is>
      </c>
      <c r="G160" s="12" t="inlineStr">
        <is>
          <t>Build: reference formats; matching keys of insurer and LAMD files.</t>
        </is>
      </c>
      <c r="H160" s="39" t="inlineStr">
        <is>
          <t>Medium</t>
        </is>
      </c>
      <c r="I160" s="12" t="inlineStr">
        <is>
          <t>Account; Renewal; Submitted Policies</t>
        </is>
      </c>
      <c r="J160" s="12" t="inlineStr">
        <is>
          <t>ARN for accounts; renewal reference RNW-&lt;yyyy&gt;-nnnnnn; prefixes as parameters.</t>
        </is>
      </c>
      <c r="K160" s="12" t="inlineStr">
        <is>
          <t>Please give the reference formats and the key carried by insurer and LAMD files.</t>
        </is>
      </c>
      <c r="L160" s="12" t="inlineStr">
        <is>
          <t>BIBS Product Owner, with the owners of the BRDs involved</t>
        </is>
      </c>
      <c r="M160" s="40" t="n">
        <v>46290</v>
      </c>
      <c r="N160" s="32" t="inlineStr">
        <is>
          <t>Open</t>
        </is>
      </c>
      <c r="O160" s="12" t="inlineStr"/>
      <c r="P160" s="40" t="n"/>
      <c r="Q160" s="12" t="inlineStr">
        <is>
          <t>Q15, RQ03, SP-SQ20</t>
        </is>
      </c>
    </row>
    <row r="161" ht="92.2" customHeight="1">
      <c r="A161" s="38" t="inlineStr">
        <is>
          <t>DCR-157</t>
        </is>
      </c>
      <c r="B161" s="12" t="inlineStr">
        <is>
          <t>BRD-4 CLXN; BRD-6 RN; BRD-7 CLM; BRD-12 SP; BRD-5 ACCT</t>
        </is>
      </c>
      <c r="C161" s="12" t="inlineStr">
        <is>
          <t>Drop 1</t>
        </is>
      </c>
      <c r="D161" s="12" t="inlineStr">
        <is>
          <t>BRD-4 BRCLXN.013-015, 022; BRD-6 p.34; BRD-7 p.23; BRD-12 BRIDSP-33 (p.12); BRD-5 DIS 2.2.x</t>
        </is>
      </c>
      <c r="E161" s="12" t="inlineStr">
        <is>
          <t>Gap / missing detail</t>
        </is>
      </c>
      <c r="F161" s="12" t="inlineStr">
        <is>
          <t>Go-live data is covered unevenly: BRD-12 requires migration of Excel masterlists (BRIDSP-33); BRD-7 assumes migration "will be seamless"; BRD-4 needs open EBIX PRs and history; BRD-6 excludes legacy references; BRD-5 needs the payee master. No BRD gives scope, cut-off or format.</t>
        </is>
      </c>
      <c r="G161" s="12" t="inlineStr">
        <is>
          <t>Business: go-live readiness. Build: migration loads. Test: reconciliation.</t>
        </is>
      </c>
      <c r="H161" s="39" t="inlineStr">
        <is>
          <t>High</t>
        </is>
      </c>
      <c r="I161" s="12" t="inlineStr">
        <is>
          <t>Data migration; Collections; Claims; Renewal; Submitted Policies; Disbursement</t>
        </is>
      </c>
      <c r="J161" s="12" t="inlineStr">
        <is>
          <t>One data migration approach per source (EBIX, ISYS, QPS, Excel) with reconciliation, agreed with BDOI.</t>
        </is>
      </c>
      <c r="K161" s="12" t="inlineStr">
        <is>
          <t>Please confirm, per source, what is migrated (open items, history, years), the cut-off date and the file format.</t>
        </is>
      </c>
      <c r="L161" s="12" t="inlineStr">
        <is>
          <t>BIBS Product Owner, with the owners of the BRDs involved</t>
        </is>
      </c>
      <c r="M161" s="40" t="n">
        <v>46290</v>
      </c>
      <c r="N161" s="32" t="inlineStr">
        <is>
          <t>Open</t>
        </is>
      </c>
      <c r="O161" s="12" t="inlineStr">
        <is>
          <t>Partly addressed by the Data Migration BRD draft v0.01 (unsigned): selective migration of master and reference data, open items carried forward, history read-only or archived. Open points are DCR-189 to DCR-209.</t>
        </is>
      </c>
      <c r="P161" s="40" t="n"/>
      <c r="Q161" s="12" t="inlineStr">
        <is>
          <t>CQ07, CLQ14, RQ27, SP-SQ16, AQ11</t>
        </is>
      </c>
    </row>
    <row r="162" ht="67" customHeight="1">
      <c r="A162" s="38" t="inlineStr">
        <is>
          <t>DCR-158</t>
        </is>
      </c>
      <c r="B162" s="12" t="inlineStr">
        <is>
          <t>BRD-5 ACCT; BRD-7 CLM; BRD-4 CLXN; BRD-2 OPS; Report List</t>
        </is>
      </c>
      <c r="C162" s="12" t="inlineStr">
        <is>
          <t>Drop 1</t>
        </is>
      </c>
      <c r="D162" s="12" t="inlineStr">
        <is>
          <t>BRD-5 Appendix C (p.150); Report List claims reports (p.41); BRD-4 reports (p.59-61); BRD-2 CSHID.023</t>
        </is>
      </c>
      <c r="E162" s="12" t="inlineStr">
        <is>
          <t>Conflict between BRDs</t>
        </is>
      </c>
      <c r="F162" s="12" t="inlineStr">
        <is>
          <t>Ageing buckets differ: ACSL 0-30, 31-90, 91-180, 181-365, 366-730, over 730 days; claims 0-30, 31-60, 61-90, 91-180, 181+; Collections reports show "Aging Bracket" without buckets; Cashiering reports "with aging" without buckets.</t>
        </is>
      </c>
      <c r="G162" s="12" t="inlineStr">
        <is>
          <t>Build: ageing configuration. Test: report totals per bucket.</t>
        </is>
      </c>
      <c r="H162" s="39" t="inlineStr">
        <is>
          <t>Medium</t>
        </is>
      </c>
      <c r="I162" s="12" t="inlineStr">
        <is>
          <t>Reports; ACSL; Claims; Collections; Cashiering</t>
        </is>
      </c>
      <c r="J162" s="12" t="inlineStr">
        <is>
          <t>Ageing buckets configurable per report family; ACSL buckets as the default.</t>
        </is>
      </c>
      <c r="K162" s="12" t="inlineStr">
        <is>
          <t>Please confirm the ageing buckets per report family.</t>
        </is>
      </c>
      <c r="L162" s="12" t="inlineStr">
        <is>
          <t>BIBS Product Owner, with the owners of the BRDs involved</t>
        </is>
      </c>
      <c r="M162" s="40" t="n">
        <v>46290</v>
      </c>
      <c r="N162" s="32" t="inlineStr">
        <is>
          <t>Open</t>
        </is>
      </c>
      <c r="O162" s="12" t="inlineStr"/>
      <c r="P162" s="40" t="n"/>
      <c r="Q162" s="12" t="inlineStr">
        <is>
          <t>OQ43, CQ14, CLQ21</t>
        </is>
      </c>
    </row>
    <row r="163" ht="79.59999999999999" customHeight="1">
      <c r="A163" s="38" t="inlineStr">
        <is>
          <t>DCR-159</t>
        </is>
      </c>
      <c r="B163" s="12" t="inlineStr">
        <is>
          <t>BRD-2 OPS; BRD-5 ACCT; BRD-10 SANC; BRD-11 UAM; BRD-6 RN; BRD-8 EB</t>
        </is>
      </c>
      <c r="C163" s="12" t="inlineStr">
        <is>
          <t>Drop 0</t>
        </is>
      </c>
      <c r="D163" s="12" t="inlineStr">
        <is>
          <t>BRD-2 Annex I (p.124); BRD-5 Appendix C (p.149), Appendix D; BRD-11 p.5, p.19; BRD-10 (BDOIR); BRD-6 approval (p.188-189)</t>
        </is>
      </c>
      <c r="E163" s="12" t="inlineStr">
        <is>
          <t>Document quality</t>
        </is>
      </c>
      <c r="F163" s="12" t="inlineStr">
        <is>
          <t>The company name varies: "BDO Insurance Brokers, Inc." (BRD-2 Annex I, BRD-5 Appendix D, BRD-6 approval), "BDO Insurance and Brokerage, Inc." (BRD-5 Appendix C, BRD-11 p.5), "BDO Insurance and Brokers Inc." (BRD-11 p.19), BDOIR (BRD-10), against "BDO Insurance and Reinsurance Brokers, Inc.".</t>
        </is>
      </c>
      <c r="G163" s="12" t="inlineStr">
        <is>
          <t>Templates and report headers must use the registered name.</t>
        </is>
      </c>
      <c r="H163" s="39" t="inlineStr">
        <is>
          <t>Low</t>
        </is>
      </c>
      <c r="I163" s="12" t="inlineStr">
        <is>
          <t>Reports; Documents</t>
        </is>
      </c>
      <c r="J163" s="12" t="inlineStr">
        <is>
          <t>Use "BDO Insurance and Reinsurance Brokers, Inc." on every output.</t>
        </is>
      </c>
      <c r="K163" s="12" t="inlineStr">
        <is>
          <t>Confirm the registered name and the short name (BDOI or BDOIR) for outputs.</t>
        </is>
      </c>
      <c r="L163" s="12" t="inlineStr">
        <is>
          <t>BIBS Product Owner, with the owners of the BRDs involved</t>
        </is>
      </c>
      <c r="M163" s="40" t="n">
        <v>46290</v>
      </c>
      <c r="N163" s="32" t="inlineStr">
        <is>
          <t>Open</t>
        </is>
      </c>
      <c r="O163" s="12" t="inlineStr"/>
      <c r="P163" s="40" t="n"/>
      <c r="Q163" s="12" t="inlineStr"/>
    </row>
    <row r="164" ht="54.4" customHeight="1">
      <c r="A164" s="38" t="inlineStr">
        <is>
          <t>DCR-160</t>
        </is>
      </c>
      <c r="B164" s="12" t="inlineStr">
        <is>
          <t>BRD-6 RN; BRD-12 SP; BRD-7 CLM</t>
        </is>
      </c>
      <c r="C164" s="12" t="inlineStr">
        <is>
          <t>Drop 1</t>
        </is>
      </c>
      <c r="D164" s="12" t="inlineStr">
        <is>
          <t>BRD-6 (no acronym table); BRD-12 p.4-7; BRD-7 glossary (p.22, empty)</t>
        </is>
      </c>
      <c r="E164" s="12" t="inlineStr">
        <is>
          <t>Gap / missing detail</t>
        </is>
      </c>
      <c r="F164" s="12" t="inlineStr">
        <is>
          <t>Acronyms used without definition: RMEL, LAMD, NRNS, NAL, NFR / NRL, ARF (BRD-6); TOR, SFU, RMU, OPM, BDOFC, CARI, SPI, CIU, COG, UPP (BRD-12); CNR, CASA, LOA, PLA, CRF (BRD-7).</t>
        </is>
      </c>
      <c r="G164" s="12" t="inlineStr">
        <is>
          <t>Screens, letters and tests must use BDOI's terms correctly.</t>
        </is>
      </c>
      <c r="H164" s="39" t="inlineStr">
        <is>
          <t>Medium</t>
        </is>
      </c>
      <c r="I164" s="12" t="inlineStr">
        <is>
          <t>All</t>
        </is>
      </c>
      <c r="J164" s="12" t="inlineStr">
        <is>
          <t>Project glossary in each FRS, marked "to confirm" where inferred.</t>
        </is>
      </c>
      <c r="K164" s="12" t="inlineStr">
        <is>
          <t>Please confirm the expansions in the FRS glossaries.</t>
        </is>
      </c>
      <c r="L164" s="12" t="inlineStr">
        <is>
          <t>BIBS Product Owner, with the owners of the BRDs involved</t>
        </is>
      </c>
      <c r="M164" s="40" t="n">
        <v>46290</v>
      </c>
      <c r="N164" s="32" t="inlineStr">
        <is>
          <t>Open</t>
        </is>
      </c>
      <c r="O164" s="12" t="inlineStr"/>
      <c r="P164" s="40" t="n"/>
      <c r="Q164" s="12" t="inlineStr">
        <is>
          <t>SP-SQ19, CLQ12</t>
        </is>
      </c>
    </row>
    <row r="165" ht="54.4" customHeight="1">
      <c r="A165" s="38" t="inlineStr">
        <is>
          <t>DCR-161</t>
        </is>
      </c>
      <c r="B165" s="12" t="inlineStr">
        <is>
          <t>BRD-8 EB; BRD-1 NB; BRD-12 SP; BRD-2 OPS; BRD-5 ACCT</t>
        </is>
      </c>
      <c r="C165" s="12" t="inlineStr">
        <is>
          <t>Drop 1</t>
        </is>
      </c>
      <c r="D165" s="12" t="inlineStr">
        <is>
          <t>BRD-8 BRID-022.01 (Add. p.10); BRD-12 BRIDSP-21 (p.10); BRD-5 appendices; BRD-2 annexes</t>
        </is>
      </c>
      <c r="E165" s="12" t="inlineStr">
        <is>
          <t>BRD vs platform</t>
        </is>
      </c>
      <c r="F165" s="12" t="inlineStr">
        <is>
          <t>BRD-8 asks for reports "exportable (PDF/XLSX/CSV/WORD)". Other BRDs ask for Excel and PDF. BIBS exports PDF, XLSX, ODS, CSV and XML, not Word.</t>
        </is>
      </c>
      <c r="G165" s="12" t="inlineStr">
        <is>
          <t>Build: Word renderer for reports.</t>
        </is>
      </c>
      <c r="H165" s="39" t="inlineStr">
        <is>
          <t>Medium</t>
        </is>
      </c>
      <c r="I165" s="12" t="inlineStr">
        <is>
          <t>Reports</t>
        </is>
      </c>
      <c r="J165" s="12" t="inlineStr">
        <is>
          <t>Add Word export for reports (work item P2); available to all reports.</t>
        </is>
      </c>
      <c r="K165" s="12" t="inlineStr">
        <is>
          <t>Is Word export needed for all reports or only EB?</t>
        </is>
      </c>
      <c r="L165" s="12" t="inlineStr">
        <is>
          <t>Employee Benefits - Marketing, Processing and Collection</t>
        </is>
      </c>
      <c r="M165" s="40" t="n">
        <v>46290</v>
      </c>
      <c r="N165" s="32" t="inlineStr">
        <is>
          <t>Open</t>
        </is>
      </c>
      <c r="O165" s="12" t="inlineStr"/>
      <c r="P165" s="40" t="n"/>
      <c r="Q165" s="12" t="inlineStr">
        <is>
          <t>EBQ21</t>
        </is>
      </c>
    </row>
    <row r="166" ht="79.59999999999999" customHeight="1">
      <c r="A166" s="38" t="inlineStr">
        <is>
          <t>DCR-162</t>
        </is>
      </c>
      <c r="B166" s="12" t="inlineStr">
        <is>
          <t>Report List; BRD-1 NB; BRD-12 SP; BRD-6 RN</t>
        </is>
      </c>
      <c r="C166" s="12" t="inlineStr">
        <is>
          <t>Drop 1</t>
        </is>
      </c>
      <c r="D166" s="12" t="inlineStr">
        <is>
          <t>Report List #62, #71, #104-105 (p.35), #135, #138 (p.44)</t>
        </is>
      </c>
      <c r="E166" s="12" t="inlineStr">
        <is>
          <t>Ambiguity</t>
        </is>
      </c>
      <c r="F166" s="12" t="inlineStr">
        <is>
          <t>Some Report List rows span or mis-file BRDs: #62 and #71 "New Business/Renewal/FRBS"; #138 "New Business / Submitted Policies"; #135 "Renewal/Submitted Policy"; #104 (Production Reconciliation Summary) under Remittance; #105 (unapplied payments by disposition) under Remittance, a Cashiering subject.</t>
        </is>
      </c>
      <c r="G166" s="12" t="inlineStr">
        <is>
          <t>Build: report owner.</t>
        </is>
      </c>
      <c r="H166" s="39" t="inlineStr">
        <is>
          <t>Low</t>
        </is>
      </c>
      <c r="I166" s="12" t="inlineStr">
        <is>
          <t>Reports</t>
        </is>
      </c>
      <c r="J166" s="12" t="inlineStr">
        <is>
          <t>Owner as mapped in the Report List traceability.</t>
        </is>
      </c>
      <c r="K166" s="12" t="inlineStr">
        <is>
          <t>Confirm the owning unit of each shared report.</t>
        </is>
      </c>
      <c r="L166" s="12" t="inlineStr">
        <is>
          <t>Report SMEs named in the Report List</t>
        </is>
      </c>
      <c r="M166" s="40" t="n">
        <v>46290</v>
      </c>
      <c r="N166" s="32" t="inlineStr">
        <is>
          <t>Open</t>
        </is>
      </c>
      <c r="O166" s="12" t="inlineStr"/>
      <c r="P166" s="40" t="n"/>
      <c r="Q166" s="12" t="inlineStr">
        <is>
          <t>OQ15</t>
        </is>
      </c>
    </row>
    <row r="167" ht="41.8" customHeight="1">
      <c r="A167" s="38" t="inlineStr">
        <is>
          <t>DCR-163</t>
        </is>
      </c>
      <c r="B167" s="12" t="inlineStr">
        <is>
          <t>BRD-0 CORE; BRD-9 CSF</t>
        </is>
      </c>
      <c r="C167" s="12" t="inlineStr">
        <is>
          <t>Drop 1</t>
        </is>
      </c>
      <c r="D167" s="12" t="inlineStr">
        <is>
          <t>Core cap.16, BR-165 (p.11, p.22); BRD-9 CSF-EM10 (p.17)</t>
        </is>
      </c>
      <c r="E167" s="12" t="inlineStr">
        <is>
          <t>Conflict between BRDs</t>
        </is>
      </c>
      <c r="F167" s="12" t="inlineStr">
        <is>
          <t>Core asks for case resolution (add / edit case details and status); BRD-9 puts case management out of scope (SharePoint interim).</t>
        </is>
      </c>
      <c r="G167" s="12" t="inlineStr">
        <is>
          <t>Build: a CSF case module or not.</t>
        </is>
      </c>
      <c r="H167" s="39" t="inlineStr">
        <is>
          <t>High</t>
        </is>
      </c>
      <c r="I167" s="12" t="inlineStr">
        <is>
          <t>CSF</t>
        </is>
      </c>
      <c r="J167" s="12" t="inlineStr">
        <is>
          <t>Keep out of phase 1 until answered.</t>
        </is>
      </c>
      <c r="K167" s="12" t="inlineStr">
        <is>
          <t>Is CSF case resolution in phase 1?</t>
        </is>
      </c>
      <c r="L167" s="12" t="inlineStr">
        <is>
          <t>Contact Center Management / Alternative Distribution</t>
        </is>
      </c>
      <c r="M167" s="40" t="n">
        <v>46290</v>
      </c>
      <c r="N167" s="32" t="inlineStr">
        <is>
          <t>Open</t>
        </is>
      </c>
      <c r="O167" s="12" t="inlineStr"/>
      <c r="P167" s="40" t="n"/>
      <c r="Q167" s="12" t="inlineStr">
        <is>
          <t>CRQ04</t>
        </is>
      </c>
    </row>
    <row r="168" ht="41.8" customHeight="1">
      <c r="A168" s="38" t="inlineStr">
        <is>
          <t>DCR-164</t>
        </is>
      </c>
      <c r="B168" s="12" t="inlineStr">
        <is>
          <t>BRD-0 CORE; BRD-7 CLM</t>
        </is>
      </c>
      <c r="C168" s="12" t="inlineStr">
        <is>
          <t>Drop 2</t>
        </is>
      </c>
      <c r="D168" s="12" t="inlineStr">
        <is>
          <t>BR-146, BR-147, BR-148 (p.21); traceability p.33</t>
        </is>
      </c>
      <c r="E168" s="12" t="inlineStr">
        <is>
          <t>Conflict between BRDs</t>
        </is>
      </c>
      <c r="F168" s="12" t="inlineStr">
        <is>
          <t>Core asks for unclaimed cheque safekeeping and hand-over to / retrieval from Cashiering; BRD-7 has no claim money through BDOI.</t>
        </is>
      </c>
      <c r="G168" s="12" t="inlineStr">
        <is>
          <t>Build: cheque custody in Claims and Cashiering; possible GL impact.</t>
        </is>
      </c>
      <c r="H168" s="39" t="inlineStr">
        <is>
          <t>High</t>
        </is>
      </c>
      <c r="I168" s="12" t="inlineStr">
        <is>
          <t>Claims; Cashiering</t>
        </is>
      </c>
      <c r="J168" s="12" t="inlineStr">
        <is>
          <t>Parked; if yes, a cheque custody register in Claims (V1026-V1029).</t>
        </is>
      </c>
      <c r="K168" s="12" t="inlineStr">
        <is>
          <t>Does BDOI hold settlement cheques, who keeps them, what is recorded?</t>
        </is>
      </c>
      <c r="L168" s="12" t="inlineStr">
        <is>
          <t>Claims and Risk Management</t>
        </is>
      </c>
      <c r="M168" s="40" t="n">
        <v>46290</v>
      </c>
      <c r="N168" s="32" t="inlineStr">
        <is>
          <t>Open</t>
        </is>
      </c>
      <c r="O168" s="12" t="inlineStr"/>
      <c r="P168" s="40" t="n"/>
      <c r="Q168" s="12" t="inlineStr">
        <is>
          <t>CRQ03, CLQ10</t>
        </is>
      </c>
    </row>
    <row r="169" ht="54.4" customHeight="1">
      <c r="A169" s="38" t="inlineStr">
        <is>
          <t>DCR-165</t>
        </is>
      </c>
      <c r="B169" s="12" t="inlineStr">
        <is>
          <t>BRD-0 CORE; BRD-1 NB; BRD-6 RN; BRD-9 CSF; BRD-11 UAM; BRD-12 SP</t>
        </is>
      </c>
      <c r="C169" s="12" t="inlineStr">
        <is>
          <t>Drop 0</t>
        </is>
      </c>
      <c r="D169" s="12" t="inlineStr">
        <is>
          <t>Core usage table (p.42)</t>
        </is>
      </c>
      <c r="E169" s="12" t="inlineStr">
        <is>
          <t>NFR inconsistency</t>
        </is>
      </c>
      <c r="F169" s="12" t="inlineStr">
        <is>
          <t>Response time under 5 seconds for every role; BRDs give 2 s to 10 s and longer report times.</t>
        </is>
      </c>
      <c r="G169" s="12" t="inlineStr">
        <is>
          <t>Performance test targets.</t>
        </is>
      </c>
      <c r="H169" s="39" t="inlineStr">
        <is>
          <t>Medium</t>
        </is>
      </c>
      <c r="I169" s="12" t="inlineStr">
        <is>
          <t>All</t>
        </is>
      </c>
      <c r="J169" s="12" t="inlineStr">
        <is>
          <t>p95 under 2 s for screens; reports as jobs.</t>
        </is>
      </c>
      <c r="K169" s="12" t="inlineStr">
        <is>
          <t>Which response times govern?</t>
        </is>
      </c>
      <c r="L169" s="12" t="inlineStr">
        <is>
          <t>BIBS Product Owner, with the owners of the BRDs involved</t>
        </is>
      </c>
      <c r="M169" s="40" t="n">
        <v>46290</v>
      </c>
      <c r="N169" s="32" t="inlineStr">
        <is>
          <t>Open</t>
        </is>
      </c>
      <c r="O169" s="12" t="inlineStr"/>
      <c r="P169" s="40" t="n"/>
      <c r="Q169" s="12" t="inlineStr">
        <is>
          <t>CRQ21, XQ08</t>
        </is>
      </c>
    </row>
    <row r="170" ht="54.4" customHeight="1">
      <c r="A170" s="38" t="inlineStr">
        <is>
          <t>DCR-166</t>
        </is>
      </c>
      <c r="B170" s="12" t="inlineStr">
        <is>
          <t>BRD-0 CORE; BRD-3 PM; BRD-7 CLM; BRD-8 EB</t>
        </is>
      </c>
      <c r="C170" s="12" t="inlineStr">
        <is>
          <t>Drop 0</t>
        </is>
      </c>
      <c r="D170" s="12" t="inlineStr">
        <is>
          <t>Core usage table (p.42)</t>
        </is>
      </c>
      <c r="E170" s="12" t="inlineStr">
        <is>
          <t>NFR inconsistency</t>
        </is>
      </c>
      <c r="F170" s="12" t="inlineStr">
        <is>
          <t>Totals 1,344 named / 429 concurrent (sum of BRD rows); EB 13/13 vs 20 internal (BRD-8); Claims 67/26 vs 47/25 (BRD-7); PM 13/13 vs MBS 5 + TSU 13 + Marketing 485 (BRD-3).</t>
        </is>
      </c>
      <c r="G170" s="12" t="inlineStr">
        <is>
          <t>Sizing; register proposes 150 concurrent.</t>
        </is>
      </c>
      <c r="H170" s="39" t="inlineStr">
        <is>
          <t>Medium</t>
        </is>
      </c>
      <c r="I170" s="12" t="inlineStr">
        <is>
          <t>All</t>
        </is>
      </c>
      <c r="J170" s="12" t="inlineStr">
        <is>
          <t>Test 429 concurrent as the peak case.</t>
        </is>
      </c>
      <c r="K170" s="12" t="inlineStr">
        <is>
          <t>Which user figures govern sizing?</t>
        </is>
      </c>
      <c r="L170" s="12" t="inlineStr">
        <is>
          <t>BIBS Product Owner, with the owners of the BRDs involved</t>
        </is>
      </c>
      <c r="M170" s="40" t="n">
        <v>46290</v>
      </c>
      <c r="N170" s="32" t="inlineStr">
        <is>
          <t>Open</t>
        </is>
      </c>
      <c r="O170" s="12" t="inlineStr"/>
      <c r="P170" s="40" t="n"/>
      <c r="Q170" s="12" t="inlineStr">
        <is>
          <t>CRQ21, CRQ24</t>
        </is>
      </c>
    </row>
    <row r="171" ht="67" customHeight="1">
      <c r="A171" s="38" t="inlineStr">
        <is>
          <t>DCR-167</t>
        </is>
      </c>
      <c r="B171" s="12" t="inlineStr">
        <is>
          <t>BRD-0 CORE; BRD-5 ACCT; BRD-7 CLM; BRD-9 CSF; BRD-10 SANC; BRD-12 SP</t>
        </is>
      </c>
      <c r="C171" s="12" t="inlineStr">
        <is>
          <t>Drop 1</t>
        </is>
      </c>
      <c r="D171" s="12" t="inlineStr">
        <is>
          <t>Core retention table (p.45)</t>
        </is>
      </c>
      <c r="E171" s="12" t="inlineStr">
        <is>
          <t>NFR inconsistency</t>
        </is>
      </c>
      <c r="F171" s="12" t="inlineStr">
        <is>
          <t>Core: 5 years online, 15 offline, backup every 4 hours kept 5 years; BRD-7 10/15, BRD-5/10/12 5/5, BRD-9 backup every 15 minutes, BRD-2/8 backups kept 7 years.</t>
        </is>
      </c>
      <c r="G171" s="12" t="inlineStr">
        <is>
          <t>Retention rules and backup policy.</t>
        </is>
      </c>
      <c r="H171" s="39" t="inlineStr">
        <is>
          <t>Medium</t>
        </is>
      </c>
      <c r="I171" s="12" t="inlineStr">
        <is>
          <t>All</t>
        </is>
      </c>
      <c r="J171" s="12" t="inlineStr">
        <is>
          <t>Default 5/15; exceptions per record type.</t>
        </is>
      </c>
      <c r="K171" s="12" t="inlineStr">
        <is>
          <t>Do the Core values replace the BRD-specific ones?</t>
        </is>
      </c>
      <c r="L171" s="12" t="inlineStr">
        <is>
          <t>BIBS Product Owner, with the owners of the BRDs involved</t>
        </is>
      </c>
      <c r="M171" s="40" t="n">
        <v>46290</v>
      </c>
      <c r="N171" s="32" t="inlineStr">
        <is>
          <t>Open</t>
        </is>
      </c>
      <c r="O171" s="12" t="inlineStr"/>
      <c r="P171" s="40" t="n"/>
      <c r="Q171" s="12" t="inlineStr">
        <is>
          <t>CRQ22, Q39</t>
        </is>
      </c>
    </row>
    <row r="172" ht="29.2" customHeight="1">
      <c r="A172" s="38" t="inlineStr">
        <is>
          <t>DCR-168</t>
        </is>
      </c>
      <c r="B172" s="12" t="inlineStr">
        <is>
          <t>BRD-0 CORE; BRD-6 RN</t>
        </is>
      </c>
      <c r="C172" s="12" t="inlineStr">
        <is>
          <t>Drop 1</t>
        </is>
      </c>
      <c r="D172" s="12" t="inlineStr">
        <is>
          <t>Core cap.6 (p.8); BRD-6 letters</t>
        </is>
      </c>
      <c r="E172" s="12" t="inlineStr">
        <is>
          <t>Conflict between BRDs</t>
        </is>
      </c>
      <c r="F172" s="12" t="inlineStr">
        <is>
          <t>Core "Non-Renewal Letter (NRL)"; BRD-6 "Not for Renewal Letter (NFR)".</t>
        </is>
      </c>
      <c r="G172" s="12" t="inlineStr">
        <is>
          <t>Letter names and templates.</t>
        </is>
      </c>
      <c r="H172" s="39" t="inlineStr">
        <is>
          <t>Low</t>
        </is>
      </c>
      <c r="I172" s="12" t="inlineStr">
        <is>
          <t>Renewal</t>
        </is>
      </c>
      <c r="J172" s="12" t="inlineStr">
        <is>
          <t>Use the BRD-6 name until answered.</t>
        </is>
      </c>
      <c r="K172" s="12" t="inlineStr">
        <is>
          <t>Which name is printed?</t>
        </is>
      </c>
      <c r="L172" s="12" t="inlineStr">
        <is>
          <t>Marketing and Processing - Renewal (RMEL)</t>
        </is>
      </c>
      <c r="M172" s="40" t="n">
        <v>46290</v>
      </c>
      <c r="N172" s="32" t="inlineStr">
        <is>
          <t>Open</t>
        </is>
      </c>
      <c r="O172" s="12" t="inlineStr"/>
      <c r="P172" s="40" t="n"/>
      <c r="Q172" s="12" t="inlineStr">
        <is>
          <t>CRQ14</t>
        </is>
      </c>
    </row>
    <row r="173" ht="41.8" customHeight="1">
      <c r="A173" s="38" t="inlineStr">
        <is>
          <t>DCR-169</t>
        </is>
      </c>
      <c r="B173" s="12" t="inlineStr">
        <is>
          <t>BRD-0 CORE</t>
        </is>
      </c>
      <c r="C173" s="12" t="inlineStr">
        <is>
          <t>Programme</t>
        </is>
      </c>
      <c r="D173" s="12" t="inlineStr">
        <is>
          <t>BRD list (p.3); traceability "User &amp; Data Management" (p.38-41)</t>
        </is>
      </c>
      <c r="E173" s="12" t="inlineStr">
        <is>
          <t>Gap / missing detail</t>
        </is>
      </c>
      <c r="F173" s="12" t="inlineStr">
        <is>
          <t>Core lists 10 BRDs, omits Sanction Screening, User Access, Submitted Policies and Data Migration, and cites a "User &amp; Data Management" BRD that does not exist.</t>
        </is>
      </c>
      <c r="G173" s="12" t="inlineStr">
        <is>
          <t>Ownership of capability 17 (Data Management).</t>
        </is>
      </c>
      <c r="H173" s="39" t="inlineStr">
        <is>
          <t>Medium</t>
        </is>
      </c>
      <c r="I173" s="12" t="inlineStr">
        <is>
          <t>Data management</t>
        </is>
      </c>
      <c r="J173" s="12" t="inlineStr">
        <is>
          <t>Umbrella over all BRDs; capability 17 owned by the BIBS Product Owner.</t>
        </is>
      </c>
      <c r="K173" s="12" t="inlineStr">
        <is>
          <t>Confirm scope of the umbrella and owner of Data Management.</t>
        </is>
      </c>
      <c r="L173" s="12" t="inlineStr">
        <is>
          <t>Business Project Services (BRD owner) with the BIBS Product Owner</t>
        </is>
      </c>
      <c r="M173" s="40" t="n">
        <v>46290</v>
      </c>
      <c r="N173" s="32" t="inlineStr">
        <is>
          <t>Open</t>
        </is>
      </c>
      <c r="O173" s="12" t="inlineStr"/>
      <c r="P173" s="40" t="n"/>
      <c r="Q173" s="12" t="inlineStr">
        <is>
          <t>CRQ01</t>
        </is>
      </c>
    </row>
    <row r="174" ht="41.8" customHeight="1">
      <c r="A174" s="38" t="inlineStr">
        <is>
          <t>DCR-170</t>
        </is>
      </c>
      <c r="B174" s="12" t="inlineStr">
        <is>
          <t>BRD-0 CORE; BRD-3 PM</t>
        </is>
      </c>
      <c r="C174" s="12" t="inlineStr">
        <is>
          <t>Drop 0</t>
        </is>
      </c>
      <c r="D174" s="12" t="inlineStr">
        <is>
          <t>Traceability (p.37-38)</t>
        </is>
      </c>
      <c r="E174" s="12" t="inlineStr">
        <is>
          <t>Data / numbering issue</t>
        </is>
      </c>
      <c r="F174" s="12" t="inlineStr">
        <is>
          <t>Product Maintenance traced to BRQID.004-025 (superseded 16-Nov-2025 version) instead of BRPM / PMADD; the mapping workbook "E2E BDOI Mapping.xlsx" is not supplied.</t>
        </is>
      </c>
      <c r="G174" s="12" t="inlineStr">
        <is>
          <t>Traceability.</t>
        </is>
      </c>
      <c r="H174" s="39" t="inlineStr">
        <is>
          <t>Low</t>
        </is>
      </c>
      <c r="I174" s="12" t="inlineStr">
        <is>
          <t>Product Maintenance</t>
        </is>
      </c>
      <c r="J174" s="12" t="inlineStr">
        <is>
          <t>Final IDs of each BRD govern.</t>
        </is>
      </c>
      <c r="K174" s="12" t="inlineStr">
        <is>
          <t>Send the workbook; confirm final IDs govern.</t>
        </is>
      </c>
      <c r="L174" s="12" t="inlineStr">
        <is>
          <t>Business Project Services (BRD owner) with the BIBS Product Owner</t>
        </is>
      </c>
      <c r="M174" s="40" t="n">
        <v>46290</v>
      </c>
      <c r="N174" s="32" t="inlineStr">
        <is>
          <t>Open</t>
        </is>
      </c>
      <c r="O174" s="12" t="inlineStr"/>
      <c r="P174" s="40" t="n"/>
      <c r="Q174" s="12" t="inlineStr">
        <is>
          <t>CRQ23</t>
        </is>
      </c>
    </row>
    <row r="175" ht="54.4" customHeight="1">
      <c r="A175" s="38" t="inlineStr">
        <is>
          <t>DCR-171</t>
        </is>
      </c>
      <c r="B175" s="12" t="inlineStr">
        <is>
          <t>BRD-0 CORE; BRD-1 NB; BRD-4 CLXN</t>
        </is>
      </c>
      <c r="C175" s="12" t="inlineStr">
        <is>
          <t>Drop 1</t>
        </is>
      </c>
      <c r="D175" s="12" t="inlineStr">
        <is>
          <t>BR-039 (p.14), BR-043 (p.15)</t>
        </is>
      </c>
      <c r="E175" s="12" t="inlineStr">
        <is>
          <t>Ambiguity</t>
        </is>
      </c>
      <c r="F175" s="12" t="inlineStr">
        <is>
          <t>SOA generated with placement report and IA, and with the insurer service invoice at booking; BRD-1 issues only the service invoice at booking; the client SOA is a Collections billing statement per cycle.</t>
        </is>
      </c>
      <c r="G175" s="12" t="inlineStr">
        <is>
          <t>Booking document set.</t>
        </is>
      </c>
      <c r="H175" s="39" t="inlineStr">
        <is>
          <t>Medium</t>
        </is>
      </c>
      <c r="I175" s="12" t="inlineStr">
        <is>
          <t>Booking; Collections</t>
        </is>
      </c>
      <c r="J175" s="12" t="inlineStr">
        <is>
          <t>No SOA at booking until answered.</t>
        </is>
      </c>
      <c r="K175" s="12" t="inlineStr">
        <is>
          <t>Which SOA, and at booking?</t>
        </is>
      </c>
      <c r="L175" s="12" t="inlineStr">
        <is>
          <t>Marketing and Processing - New Business (Product Owner)</t>
        </is>
      </c>
      <c r="M175" s="40" t="n">
        <v>46290</v>
      </c>
      <c r="N175" s="32" t="inlineStr">
        <is>
          <t>Open</t>
        </is>
      </c>
      <c r="O175" s="12" t="inlineStr"/>
      <c r="P175" s="40" t="n"/>
      <c r="Q175" s="12" t="inlineStr">
        <is>
          <t>CRQ12</t>
        </is>
      </c>
    </row>
    <row r="176" ht="41.8" customHeight="1">
      <c r="A176" s="38" t="inlineStr">
        <is>
          <t>DCR-172</t>
        </is>
      </c>
      <c r="B176" s="12" t="inlineStr">
        <is>
          <t>BRD-0 CORE; BRD-9 CSF</t>
        </is>
      </c>
      <c r="C176" s="12" t="inlineStr">
        <is>
          <t>Drop 1</t>
        </is>
      </c>
      <c r="D176" s="12" t="inlineStr">
        <is>
          <t>BR-164 (p.22); BRCSF-006</t>
        </is>
      </c>
      <c r="E176" s="12" t="inlineStr">
        <is>
          <t>Conflict between BRDs</t>
        </is>
      </c>
      <c r="F176" s="12" t="inlineStr">
        <is>
          <t>Core: view and resend RA / ePolicy; BRD-9: RA only.</t>
        </is>
      </c>
      <c r="G176" s="12" t="inlineStr">
        <is>
          <t>CSF resend scope.</t>
        </is>
      </c>
      <c r="H176" s="39" t="inlineStr">
        <is>
          <t>Low</t>
        </is>
      </c>
      <c r="I176" s="12" t="inlineStr">
        <is>
          <t>CSF</t>
        </is>
      </c>
      <c r="J176" s="12" t="inlineStr">
        <is>
          <t>RA only until answered.</t>
        </is>
      </c>
      <c r="K176" s="12" t="inlineStr">
        <is>
          <t>Do CSF agents resend e-policies?</t>
        </is>
      </c>
      <c r="L176" s="12" t="inlineStr">
        <is>
          <t>Contact Center Management / Alternative Distribution</t>
        </is>
      </c>
      <c r="M176" s="40" t="n">
        <v>46290</v>
      </c>
      <c r="N176" s="32" t="inlineStr">
        <is>
          <t>Open</t>
        </is>
      </c>
      <c r="O176" s="12" t="inlineStr"/>
      <c r="P176" s="40" t="n"/>
      <c r="Q176" s="12" t="inlineStr">
        <is>
          <t>CRQ16</t>
        </is>
      </c>
    </row>
    <row r="177" ht="41.8" customHeight="1">
      <c r="A177" s="38" t="inlineStr">
        <is>
          <t>DCR-173</t>
        </is>
      </c>
      <c r="B177" s="12" t="inlineStr">
        <is>
          <t>BRD-0 CORE; BRD-13 DM</t>
        </is>
      </c>
      <c r="C177" s="12" t="inlineStr">
        <is>
          <t>Drop 0</t>
        </is>
      </c>
      <c r="D177" s="12" t="inlineStr">
        <is>
          <t>BRD-00 volumes "Client Migration" (p.43); BRD-13 BRID 2.1 (p.7), 11.1 (p.11-12)</t>
        </is>
      </c>
      <c r="E177" s="12" t="inlineStr">
        <is>
          <t>Conflict between BRDs</t>
        </is>
      </c>
      <c r="F177" s="12" t="inlineStr">
        <is>
          <t>One-time client migration 2020 to present plus daily midday / EOD client batches, vs selective migration of clean master data with legacy read-only.</t>
        </is>
      </c>
      <c r="G177" s="12" t="inlineStr">
        <is>
          <t>Migration scope; coexistence feed into crm.</t>
        </is>
      </c>
      <c r="H177" s="39" t="inlineStr">
        <is>
          <t>Medium</t>
        </is>
      </c>
      <c r="I177" s="12" t="inlineStr">
        <is>
          <t>CRM; Data Migration</t>
        </is>
      </c>
      <c r="J177" s="12" t="inlineStr">
        <is>
          <t>Decided in the Data Migration design.</t>
        </is>
      </c>
      <c r="K177" s="12" t="inlineStr">
        <is>
          <t>Source system, period and duration of daily batches?</t>
        </is>
      </c>
      <c r="L177" s="12" t="inlineStr">
        <is>
          <t>BIBS Product Owner, with the owners of the BRDs involved</t>
        </is>
      </c>
      <c r="M177" s="40" t="n">
        <v>46290</v>
      </c>
      <c r="N177" s="32" t="inlineStr">
        <is>
          <t>Open</t>
        </is>
      </c>
      <c r="O177" s="12" t="inlineStr"/>
      <c r="P177" s="40" t="n"/>
      <c r="Q177" s="12" t="inlineStr">
        <is>
          <t>CRQ19</t>
        </is>
      </c>
    </row>
    <row r="178" ht="41.8" customHeight="1">
      <c r="A178" s="38" t="inlineStr">
        <is>
          <t>DCR-174</t>
        </is>
      </c>
      <c r="B178" s="12" t="inlineStr">
        <is>
          <t>BRD-0 CORE</t>
        </is>
      </c>
      <c r="C178" s="12" t="inlineStr">
        <is>
          <t>Programme</t>
        </is>
      </c>
      <c r="D178" s="12" t="inlineStr">
        <is>
          <t>Cap.17 bullet 1, BR-170 (p.11, p.22)</t>
        </is>
      </c>
      <c r="E178" s="12" t="inlineStr">
        <is>
          <t>BRD vs platform</t>
        </is>
      </c>
      <c r="F178" s="12" t="inlineStr">
        <is>
          <t>Master data change logging for users, products, insurers, LOVs; BIBS audits actions with a summary, not field old / new values.</t>
        </is>
      </c>
      <c r="G178" s="12" t="inlineStr">
        <is>
          <t>New change log (V1091).</t>
        </is>
      </c>
      <c r="H178" s="39" t="inlineStr">
        <is>
          <t>Medium</t>
        </is>
      </c>
      <c r="I178" s="12" t="inlineStr">
        <is>
          <t>Audit; Catalog; LOV; Security</t>
        </is>
      </c>
      <c r="J178" s="12" t="inlineStr">
        <is>
          <t>Field-level change log of registered master types (FR-CR-031).</t>
        </is>
      </c>
      <c r="K178" s="12" t="inlineStr">
        <is>
          <t>Which master data, fields and approver details?</t>
        </is>
      </c>
      <c r="L178" s="12" t="inlineStr">
        <is>
          <t>BIBS Product Owner, with the owners of the BRDs involved</t>
        </is>
      </c>
      <c r="M178" s="40" t="n">
        <v>46290</v>
      </c>
      <c r="N178" s="32" t="inlineStr">
        <is>
          <t>Open</t>
        </is>
      </c>
      <c r="O178" s="12" t="inlineStr"/>
      <c r="P178" s="40" t="n"/>
      <c r="Q178" s="12" t="inlineStr">
        <is>
          <t>CRQ07</t>
        </is>
      </c>
    </row>
    <row r="179" ht="41.8" customHeight="1">
      <c r="A179" s="38" t="inlineStr">
        <is>
          <t>DCR-175</t>
        </is>
      </c>
      <c r="B179" s="12" t="inlineStr">
        <is>
          <t>BRD-0 CORE</t>
        </is>
      </c>
      <c r="C179" s="12" t="inlineStr">
        <is>
          <t>Programme</t>
        </is>
      </c>
      <c r="D179" s="12" t="inlineStr">
        <is>
          <t>BR-173, BR-174 (p.23)</t>
        </is>
      </c>
      <c r="E179" s="12" t="inlineStr">
        <is>
          <t>Ambiguity</t>
        </is>
      </c>
      <c r="F179" s="12" t="inlineStr">
        <is>
          <t>"Define MIS fields for all core entities": fixed list per entity or user-defined fields?</t>
        </is>
      </c>
      <c r="G179" s="12" t="inlineStr">
        <is>
          <t>MIS field catalogue (V1092).</t>
        </is>
      </c>
      <c r="H179" s="39" t="inlineStr">
        <is>
          <t>Medium</t>
        </is>
      </c>
      <c r="I179" s="12" t="inlineStr">
        <is>
          <t>Reports; Catalog</t>
        </is>
      </c>
      <c r="J179" s="12" t="inlineStr">
        <is>
          <t>Catalogue of existing data, no user-added columns.</t>
        </is>
      </c>
      <c r="K179" s="12" t="inlineStr">
        <is>
          <t>Fixed list or user-defined fields; who maintains?</t>
        </is>
      </c>
      <c r="L179" s="12" t="inlineStr">
        <is>
          <t>BIBS Product Owner, with the owners of the BRDs involved</t>
        </is>
      </c>
      <c r="M179" s="40" t="n">
        <v>46290</v>
      </c>
      <c r="N179" s="32" t="inlineStr">
        <is>
          <t>Open</t>
        </is>
      </c>
      <c r="O179" s="12" t="inlineStr"/>
      <c r="P179" s="40" t="n"/>
      <c r="Q179" s="12" t="inlineStr">
        <is>
          <t>CRQ09</t>
        </is>
      </c>
    </row>
    <row r="180" ht="54.4" customHeight="1">
      <c r="A180" s="38" t="inlineStr">
        <is>
          <t>DCR-176</t>
        </is>
      </c>
      <c r="B180" s="12" t="inlineStr">
        <is>
          <t>BRD-0 CORE</t>
        </is>
      </c>
      <c r="C180" s="12" t="inlineStr">
        <is>
          <t>Programme</t>
        </is>
      </c>
      <c r="D180" s="12" t="inlineStr">
        <is>
          <t>BR-171 (p.22)</t>
        </is>
      </c>
      <c r="E180" s="12" t="inlineStr">
        <is>
          <t>Gap / missing detail</t>
        </is>
      </c>
      <c r="F180" s="12" t="inlineStr">
        <is>
          <t>Insurer record to hold contact, accreditation, products, commission, payment terms, remittance schedules, risk participation, chart of accounts; meaning of risk participation, payment terms and remittance schedule not given.</t>
        </is>
      </c>
      <c r="G180" s="12" t="inlineStr">
        <is>
          <t>Insurer page (V1095).</t>
        </is>
      </c>
      <c r="H180" s="39" t="inlineStr">
        <is>
          <t>Medium</t>
        </is>
      </c>
      <c r="I180" s="12" t="inlineStr">
        <is>
          <t>Catalog; Remittance</t>
        </is>
      </c>
      <c r="J180" s="12" t="inlineStr">
        <is>
          <t>Insurer page with the missing attributes (FR-CR-061).</t>
        </is>
      </c>
      <c r="K180" s="12" t="inlineStr">
        <is>
          <t>Meaning of the attributes; owners; approval?</t>
        </is>
      </c>
      <c r="L180" s="12" t="inlineStr">
        <is>
          <t>Comptrollership - FRBS, Disbursement and ACSL</t>
        </is>
      </c>
      <c r="M180" s="40" t="n">
        <v>46290</v>
      </c>
      <c r="N180" s="32" t="inlineStr">
        <is>
          <t>Open</t>
        </is>
      </c>
      <c r="O180" s="12" t="inlineStr"/>
      <c r="P180" s="40" t="n"/>
      <c r="Q180" s="12" t="inlineStr">
        <is>
          <t>CRQ08</t>
        </is>
      </c>
    </row>
    <row r="181" ht="41.8" customHeight="1">
      <c r="A181" s="38" t="inlineStr">
        <is>
          <t>DCR-177</t>
        </is>
      </c>
      <c r="B181" s="12" t="inlineStr">
        <is>
          <t>BRD-0 CORE</t>
        </is>
      </c>
      <c r="C181" s="12" t="inlineStr">
        <is>
          <t>Programme</t>
        </is>
      </c>
      <c r="D181" s="12" t="inlineStr">
        <is>
          <t>Cap.21 (p.12), BR-053, BR-054 (p.15)</t>
        </is>
      </c>
      <c r="E181" s="12" t="inlineStr">
        <is>
          <t>BRD vs platform</t>
        </is>
      </c>
      <c r="F181" s="12" t="inlineStr">
        <is>
          <t>Customised reports with fields, charts and summaries, scheduled or on demand; BIBS has fixed columns, saved parameter variants and system-scheduled files only.</t>
        </is>
      </c>
      <c r="G181" s="12" t="inlineStr">
        <is>
          <t>Report layout and subscriptions (V1093).</t>
        </is>
      </c>
      <c r="H181" s="39" t="inlineStr">
        <is>
          <t>Medium</t>
        </is>
      </c>
      <c r="I181" s="12" t="inlineStr">
        <is>
          <t>Reports</t>
        </is>
      </c>
      <c r="J181" s="12" t="inlineStr">
        <is>
          <t>FR-CR-042 and FR-CR-043.</t>
        </is>
      </c>
      <c r="K181" s="12" t="inlineStr">
        <is>
          <t>Which reports, schedules, formats, delivery?</t>
        </is>
      </c>
      <c r="L181" s="12" t="inlineStr">
        <is>
          <t>Report SMEs named in the Report List</t>
        </is>
      </c>
      <c r="M181" s="40" t="n">
        <v>46290</v>
      </c>
      <c r="N181" s="32" t="inlineStr">
        <is>
          <t>Open</t>
        </is>
      </c>
      <c r="O181" s="12" t="inlineStr"/>
      <c r="P181" s="40" t="n"/>
      <c r="Q181" s="12" t="inlineStr">
        <is>
          <t>CRQ11, Q40</t>
        </is>
      </c>
    </row>
    <row r="182" ht="41.8" customHeight="1">
      <c r="A182" s="38" t="inlineStr">
        <is>
          <t>DCR-178</t>
        </is>
      </c>
      <c r="B182" s="12" t="inlineStr">
        <is>
          <t>BRD-0 CORE</t>
        </is>
      </c>
      <c r="C182" s="12" t="inlineStr">
        <is>
          <t>Programme</t>
        </is>
      </c>
      <c r="D182" s="12" t="inlineStr">
        <is>
          <t>p.5; BR-125, BR-152, BR-160 (p.20-22)</t>
        </is>
      </c>
      <c r="E182" s="12" t="inlineStr">
        <is>
          <t>Gap / missing detail</t>
        </is>
      </c>
      <c r="F182" s="12" t="inlineStr">
        <is>
          <t>Centralised dashboards for all roles; dashboard details "to be defined".</t>
        </is>
      </c>
      <c r="G182" s="12" t="inlineStr">
        <is>
          <t>Role home page (V1094).</t>
        </is>
      </c>
      <c r="H182" s="39" t="inlineStr">
        <is>
          <t>Medium</t>
        </is>
      </c>
      <c r="I182" s="12" t="inlineStr">
        <is>
          <t>Dashboard</t>
        </is>
      </c>
      <c r="J182" s="12" t="inlineStr">
        <is>
          <t>Default widget sets per role (FR-CR-010).</t>
        </is>
      </c>
      <c r="K182" s="12" t="inlineStr">
        <is>
          <t>Which figures per role?</t>
        </is>
      </c>
      <c r="L182" s="12" t="inlineStr">
        <is>
          <t>BIBS Product Owner, with the owners of the BRDs involved</t>
        </is>
      </c>
      <c r="M182" s="40" t="n">
        <v>46290</v>
      </c>
      <c r="N182" s="32" t="inlineStr">
        <is>
          <t>Open</t>
        </is>
      </c>
      <c r="O182" s="12" t="inlineStr"/>
      <c r="P182" s="40" t="n"/>
      <c r="Q182" s="12" t="inlineStr">
        <is>
          <t>CRQ06</t>
        </is>
      </c>
    </row>
    <row r="183" ht="41.8" customHeight="1">
      <c r="A183" s="38" t="inlineStr">
        <is>
          <t>DCR-179</t>
        </is>
      </c>
      <c r="B183" s="12" t="inlineStr">
        <is>
          <t>BRD-0 CORE; BRD-2 OPS</t>
        </is>
      </c>
      <c r="C183" s="12" t="inlineStr">
        <is>
          <t>Drop 1</t>
        </is>
      </c>
      <c r="D183" s="12" t="inlineStr">
        <is>
          <t>BR-175 (p.23)</t>
        </is>
      </c>
      <c r="E183" s="12" t="inlineStr">
        <is>
          <t>Ambiguity</t>
        </is>
      </c>
      <c r="F183" s="12" t="inlineStr">
        <is>
          <t>Invoice Master List with cover and version numbers, assignees, placement status and approval dates; not stated whether it is the Operations invoice ledger.</t>
        </is>
      </c>
      <c r="G183" s="12" t="inlineStr">
        <is>
          <t>Ledger view columns.</t>
        </is>
      </c>
      <c r="H183" s="39" t="inlineStr">
        <is>
          <t>Low</t>
        </is>
      </c>
      <c r="I183" s="12" t="inlineStr">
        <is>
          <t>Operations</t>
        </is>
      </c>
      <c r="J183" s="12" t="inlineStr">
        <is>
          <t>Extend the invoice ledger view (FR-CR-090).</t>
        </is>
      </c>
      <c r="K183" s="12" t="inlineStr">
        <is>
          <t>Is it the invoice ledger; columns; owner?</t>
        </is>
      </c>
      <c r="L183" s="12" t="inlineStr">
        <is>
          <t>Operations - Financial Transactions and Processing</t>
        </is>
      </c>
      <c r="M183" s="40" t="n">
        <v>46290</v>
      </c>
      <c r="N183" s="32" t="inlineStr">
        <is>
          <t>Open</t>
        </is>
      </c>
      <c r="O183" s="12" t="inlineStr"/>
      <c r="P183" s="40" t="n"/>
      <c r="Q183" s="12" t="inlineStr">
        <is>
          <t>CRQ13</t>
        </is>
      </c>
    </row>
    <row r="184" ht="41.8" customHeight="1">
      <c r="A184" s="38" t="inlineStr">
        <is>
          <t>DCR-180</t>
        </is>
      </c>
      <c r="B184" s="12" t="inlineStr">
        <is>
          <t>BRD-0 CORE</t>
        </is>
      </c>
      <c r="C184" s="12" t="inlineStr">
        <is>
          <t>Programme</t>
        </is>
      </c>
      <c r="D184" s="12" t="inlineStr">
        <is>
          <t>Cap.18 (p.11), BR-176 (p.23)</t>
        </is>
      </c>
      <c r="E184" s="12" t="inlineStr">
        <is>
          <t>Gap / missing detail</t>
        </is>
      </c>
      <c r="F184" s="12" t="inlineStr">
        <is>
          <t>"Include any other / additional system capabilities" is not testable.</t>
        </is>
      </c>
      <c r="G184" s="12" t="inlineStr">
        <is>
          <t>No build.</t>
        </is>
      </c>
      <c r="H184" s="39" t="inlineStr">
        <is>
          <t>Low</t>
        </is>
      </c>
      <c r="I184" s="12" t="inlineStr">
        <is>
          <t>None</t>
        </is>
      </c>
      <c r="J184" s="12" t="inlineStr">
        <is>
          <t>Withdraw or list.</t>
        </is>
      </c>
      <c r="K184" s="12" t="inlineStr">
        <is>
          <t>List the capabilities or withdraw BR-176.</t>
        </is>
      </c>
      <c r="L184" s="12" t="inlineStr">
        <is>
          <t>Business Project Services (BRD owner) with the BIBS Product Owner</t>
        </is>
      </c>
      <c r="M184" s="40" t="n">
        <v>46290</v>
      </c>
      <c r="N184" s="32" t="inlineStr">
        <is>
          <t>Open</t>
        </is>
      </c>
      <c r="O184" s="12" t="inlineStr"/>
      <c r="P184" s="40" t="n"/>
      <c r="Q184" s="12" t="inlineStr">
        <is>
          <t>CRQ10</t>
        </is>
      </c>
    </row>
    <row r="185" ht="41.8" customHeight="1">
      <c r="A185" s="38" t="inlineStr">
        <is>
          <t>DCR-181</t>
        </is>
      </c>
      <c r="B185" s="12" t="inlineStr">
        <is>
          <t>BRD-0 CORE; BRD-1 NB; BRD-3 PM</t>
        </is>
      </c>
      <c r="C185" s="12" t="inlineStr">
        <is>
          <t>Drop 0</t>
        </is>
      </c>
      <c r="D185" s="12" t="inlineStr">
        <is>
          <t>Cap.4 (p.7); revision 20-Nov-2025 (p.2)</t>
        </is>
      </c>
      <c r="E185" s="12" t="inlineStr">
        <is>
          <t>Data / numbering issue</t>
        </is>
      </c>
      <c r="F185" s="12" t="inlineStr">
        <is>
          <t>Non-Package Management has 24 bullets but no BR ID and no traceability row.</t>
        </is>
      </c>
      <c r="G185" s="12" t="inlineStr">
        <is>
          <t>Traceability; boundary with PQ19.</t>
        </is>
      </c>
      <c r="H185" s="39" t="inlineStr">
        <is>
          <t>Low</t>
        </is>
      </c>
      <c r="I185" s="12" t="inlineStr">
        <is>
          <t>Non-package placement</t>
        </is>
      </c>
      <c r="J185" s="12" t="inlineStr">
        <is>
          <t>Read as NB non-package placement (BRNB.005-017).</t>
        </is>
      </c>
      <c r="K185" s="12" t="inlineStr">
        <is>
          <t>Confirm it is NB non-package placement.</t>
        </is>
      </c>
      <c r="L185" s="12" t="inlineStr">
        <is>
          <t>Marketing and Processing - New Business (Product Owner)</t>
        </is>
      </c>
      <c r="M185" s="40" t="n">
        <v>46290</v>
      </c>
      <c r="N185" s="32" t="inlineStr">
        <is>
          <t>Open</t>
        </is>
      </c>
      <c r="O185" s="12" t="inlineStr"/>
      <c r="P185" s="40" t="n"/>
      <c r="Q185" s="12" t="inlineStr">
        <is>
          <t>CRQ02, PQ19</t>
        </is>
      </c>
    </row>
    <row r="186" ht="41.8" customHeight="1">
      <c r="A186" s="38" t="inlineStr">
        <is>
          <t>DCR-182</t>
        </is>
      </c>
      <c r="B186" s="12" t="inlineStr">
        <is>
          <t>BRD-0 CORE; BRD-1 NB</t>
        </is>
      </c>
      <c r="C186" s="12" t="inlineStr">
        <is>
          <t>Drop 1</t>
        </is>
      </c>
      <c r="D186" s="12" t="inlineStr">
        <is>
          <t>BR-008 (p.13); traceability p.30</t>
        </is>
      </c>
      <c r="E186" s="12" t="inlineStr">
        <is>
          <t>Ambiguity</t>
        </is>
      </c>
      <c r="F186" s="12" t="inlineStr">
        <is>
          <t>Delete of prospect / record is Must have with no BRD-1 ID; BIBS deactivates with a reason and purges under retention.</t>
        </is>
      </c>
      <c r="G186" s="12" t="inlineStr">
        <is>
          <t>Data privacy handling.</t>
        </is>
      </c>
      <c r="H186" s="39" t="inlineStr">
        <is>
          <t>Low</t>
        </is>
      </c>
      <c r="I186" s="12" t="inlineStr">
        <is>
          <t>CRM</t>
        </is>
      </c>
      <c r="J186" s="12" t="inlineStr">
        <is>
          <t>Deactivation plus retention purge.</t>
        </is>
      </c>
      <c r="K186" s="12" t="inlineStr">
        <is>
          <t>Is deactivation acceptable, or must a prospect be erased on request?</t>
        </is>
      </c>
      <c r="L186" s="12" t="inlineStr">
        <is>
          <t>Marketing and Processing - New Business (Product Owner)</t>
        </is>
      </c>
      <c r="M186" s="40" t="n">
        <v>46290</v>
      </c>
      <c r="N186" s="32" t="inlineStr">
        <is>
          <t>Open</t>
        </is>
      </c>
      <c r="O186" s="12" t="inlineStr"/>
      <c r="P186" s="40" t="n"/>
      <c r="Q186" s="12" t="inlineStr">
        <is>
          <t>CRQ05</t>
        </is>
      </c>
    </row>
    <row r="187" ht="41.8" customHeight="1">
      <c r="A187" s="38" t="inlineStr">
        <is>
          <t>DCR-183</t>
        </is>
      </c>
      <c r="B187" s="12" t="inlineStr">
        <is>
          <t>BRD-0 CORE</t>
        </is>
      </c>
      <c r="C187" s="12" t="inlineStr">
        <is>
          <t>Programme</t>
        </is>
      </c>
      <c r="D187" s="12" t="inlineStr">
        <is>
          <t>BR-184-198 (p.23-24); BR-004 (p.13)</t>
        </is>
      </c>
      <c r="E187" s="12" t="inlineStr">
        <is>
          <t>Data / numbering issue</t>
        </is>
      </c>
      <c r="F187" s="12" t="inlineStr">
        <is>
          <t>BR-196, 197, 198 repeat BR-184, 185, 186; BR-004 has no priority.</t>
        </is>
      </c>
      <c r="G187" s="12" t="inlineStr">
        <is>
          <t>None on build.</t>
        </is>
      </c>
      <c r="H187" s="39" t="inlineStr">
        <is>
          <t>Low</t>
        </is>
      </c>
      <c r="I187" s="12" t="inlineStr">
        <is>
          <t>EB; LOV</t>
        </is>
      </c>
      <c r="J187" s="12" t="inlineStr">
        <is>
          <t>Correct in the next revision.</t>
        </is>
      </c>
      <c r="K187" s="12" t="inlineStr">
        <is>
          <t>Confirm the duplicates can be removed.</t>
        </is>
      </c>
      <c r="L187" s="12" t="inlineStr">
        <is>
          <t>Business Project Services (BRD owner) with the BIBS Product Owner</t>
        </is>
      </c>
      <c r="M187" s="40" t="n">
        <v>46290</v>
      </c>
      <c r="N187" s="32" t="inlineStr">
        <is>
          <t>Open</t>
        </is>
      </c>
      <c r="O187" s="12" t="inlineStr"/>
      <c r="P187" s="40" t="n"/>
      <c r="Q187" s="12" t="inlineStr"/>
    </row>
    <row r="188" ht="41.8" customHeight="1">
      <c r="A188" s="38" t="inlineStr">
        <is>
          <t>DCR-184</t>
        </is>
      </c>
      <c r="B188" s="12" t="inlineStr">
        <is>
          <t>BRD-0 CORE; BRD-1 NB</t>
        </is>
      </c>
      <c r="C188" s="12" t="inlineStr">
        <is>
          <t>Drop 1</t>
        </is>
      </c>
      <c r="D188" s="12" t="inlineStr">
        <is>
          <t>Volumes "Invoice Batch Printing" (p.43)</t>
        </is>
      </c>
      <c r="E188" s="12" t="inlineStr">
        <is>
          <t>Gap / missing detail</t>
        </is>
      </c>
      <c r="F188" s="12" t="inlineStr">
        <is>
          <t>Daily batch invoice printing, delivery to insurers by SFTP and delivery report, per insurer; no format or endpoints; BIBS e-mails each service invoice.</t>
        </is>
      </c>
      <c r="G188" s="12" t="inlineStr">
        <is>
          <t>Insurer invoice batch (V1096); SFTP adapter parked.</t>
        </is>
      </c>
      <c r="H188" s="39" t="inlineStr">
        <is>
          <t>Medium</t>
        </is>
      </c>
      <c r="I188" s="12" t="inlineStr">
        <is>
          <t>Booking</t>
        </is>
      </c>
      <c r="J188" s="12" t="inlineStr">
        <is>
          <t>FR-CR-081.</t>
        </is>
      </c>
      <c r="K188" s="12" t="inlineStr">
        <is>
          <t>Batch format, SFTP endpoints; replaces e-mail?</t>
        </is>
      </c>
      <c r="L188" s="12" t="inlineStr">
        <is>
          <t>Marketing and Processing - New Business (Product Owner)</t>
        </is>
      </c>
      <c r="M188" s="40" t="n">
        <v>46290</v>
      </c>
      <c r="N188" s="32" t="inlineStr">
        <is>
          <t>Open</t>
        </is>
      </c>
      <c r="O188" s="12" t="inlineStr"/>
      <c r="P188" s="40" t="n"/>
      <c r="Q188" s="12" t="inlineStr">
        <is>
          <t>CRQ18</t>
        </is>
      </c>
    </row>
    <row r="189" ht="41.8" customHeight="1">
      <c r="A189" s="38" t="inlineStr">
        <is>
          <t>DCR-185</t>
        </is>
      </c>
      <c r="B189" s="12" t="inlineStr">
        <is>
          <t>BRD-0 CORE</t>
        </is>
      </c>
      <c r="C189" s="12" t="inlineStr">
        <is>
          <t>Programme</t>
        </is>
      </c>
      <c r="D189" s="12" t="inlineStr">
        <is>
          <t>Volumes "ALeA" (p.43)</t>
        </is>
      </c>
      <c r="E189" s="12" t="inlineStr">
        <is>
          <t>Gap / missing detail</t>
        </is>
      </c>
      <c r="F189" s="12" t="inlineStr">
        <is>
          <t>"ALeA - Email Address Encoding, as needed" is not explained.</t>
        </is>
      </c>
      <c r="G189" s="12" t="inlineStr">
        <is>
          <t>Unknown.</t>
        </is>
      </c>
      <c r="H189" s="39" t="inlineStr">
        <is>
          <t>Low</t>
        </is>
      </c>
      <c r="I189" s="12" t="inlineStr">
        <is>
          <t>None</t>
        </is>
      </c>
      <c r="J189" s="12" t="inlineStr">
        <is>
          <t>No build until defined.</t>
        </is>
      </c>
      <c r="K189" s="12" t="inlineStr">
        <is>
          <t>What is ALeA?</t>
        </is>
      </c>
      <c r="L189" s="12" t="inlineStr">
        <is>
          <t>Business Project Services (BRD owner) with the BIBS Product Owner</t>
        </is>
      </c>
      <c r="M189" s="40" t="n">
        <v>46290</v>
      </c>
      <c r="N189" s="32" t="inlineStr">
        <is>
          <t>Open</t>
        </is>
      </c>
      <c r="O189" s="12" t="inlineStr"/>
      <c r="P189" s="40" t="n"/>
      <c r="Q189" s="12" t="inlineStr">
        <is>
          <t>CRQ20</t>
        </is>
      </c>
    </row>
    <row r="190" ht="41.8" customHeight="1">
      <c r="A190" s="38" t="inlineStr">
        <is>
          <t>DCR-186</t>
        </is>
      </c>
      <c r="B190" s="12" t="inlineStr">
        <is>
          <t>BRD-0 CORE</t>
        </is>
      </c>
      <c r="C190" s="12" t="inlineStr">
        <is>
          <t>Programme</t>
        </is>
      </c>
      <c r="D190" s="12" t="inlineStr">
        <is>
          <t>Approval (p.46-48)</t>
        </is>
      </c>
      <c r="E190" s="12" t="inlineStr">
        <is>
          <t>Document quality</t>
        </is>
      </c>
      <c r="F190" s="12" t="inlineStr">
        <is>
          <t>Product Owner FRBS and ACSL "On Mandatory Leave" without signature; Analytics and Risk Management head "sign-off not applicable"; four approvals by e-mail only.</t>
        </is>
      </c>
      <c r="G190" s="12" t="inlineStr">
        <is>
          <t>Approval status of the umbrella.</t>
        </is>
      </c>
      <c r="H190" s="39" t="inlineStr">
        <is>
          <t>Medium</t>
        </is>
      </c>
      <c r="I190" s="12" t="inlineStr">
        <is>
          <t>All</t>
        </is>
      </c>
      <c r="J190" s="12" t="inlineStr">
        <is>
          <t>Confirm approval.</t>
        </is>
      </c>
      <c r="K190" s="12" t="inlineStr">
        <is>
          <t>Is the document approved?</t>
        </is>
      </c>
      <c r="L190" s="12" t="inlineStr">
        <is>
          <t>Business Project Services (BRD owner) with the BIBS Product Owner</t>
        </is>
      </c>
      <c r="M190" s="40" t="n">
        <v>46290</v>
      </c>
      <c r="N190" s="32" t="inlineStr">
        <is>
          <t>Open</t>
        </is>
      </c>
      <c r="O190" s="12" t="inlineStr"/>
      <c r="P190" s="40" t="n"/>
      <c r="Q190" s="12" t="inlineStr">
        <is>
          <t>CRQ25</t>
        </is>
      </c>
    </row>
    <row r="191" ht="41.8" customHeight="1">
      <c r="A191" s="38" t="inlineStr">
        <is>
          <t>DCR-187</t>
        </is>
      </c>
      <c r="B191" s="12" t="inlineStr">
        <is>
          <t>BRD-0 CORE</t>
        </is>
      </c>
      <c r="C191" s="12" t="inlineStr">
        <is>
          <t>Programme</t>
        </is>
      </c>
      <c r="D191" s="12" t="inlineStr">
        <is>
          <t>Revision log (p.2); BR-178-183 (p.23)</t>
        </is>
      </c>
      <c r="E191" s="12" t="inlineStr">
        <is>
          <t>Document quality</t>
        </is>
      </c>
      <c r="F191" s="12" t="inlineStr">
        <is>
          <t>Every revision row is version 1.0; BR-178-183 are RFI vendor-qualification items (brand, icons, Figma), not system requirements.</t>
        </is>
      </c>
      <c r="G191" s="12" t="inlineStr">
        <is>
          <t>None on build; icon set needed (CRQ17).</t>
        </is>
      </c>
      <c r="H191" s="39" t="inlineStr">
        <is>
          <t>Low</t>
        </is>
      </c>
      <c r="I191" s="12" t="inlineStr">
        <is>
          <t>UI</t>
        </is>
      </c>
      <c r="J191" s="12" t="inlineStr">
        <is>
          <t>Treat as design-system items (FR-CR-092).</t>
        </is>
      </c>
      <c r="K191" s="12" t="inlineStr">
        <is>
          <t>Supply the BDO icon set and design files.</t>
        </is>
      </c>
      <c r="L191" s="12" t="inlineStr">
        <is>
          <t>Business Project Services (BRD owner) with the BIBS Product Owner</t>
        </is>
      </c>
      <c r="M191" s="40" t="n">
        <v>46290</v>
      </c>
      <c r="N191" s="32" t="inlineStr">
        <is>
          <t>Open</t>
        </is>
      </c>
      <c r="O191" s="12" t="inlineStr"/>
      <c r="P191" s="40" t="n"/>
      <c r="Q191" s="12" t="inlineStr">
        <is>
          <t>CRQ17</t>
        </is>
      </c>
    </row>
    <row r="192" ht="67" customHeight="1">
      <c r="A192" s="38" t="inlineStr">
        <is>
          <t>DCR-188</t>
        </is>
      </c>
      <c r="B192" s="12" t="inlineStr">
        <is>
          <t>BRD-4 CLXN; BRD-7 CLM</t>
        </is>
      </c>
      <c r="C192" s="12" t="inlineStr">
        <is>
          <t>Drop 1</t>
        </is>
      </c>
      <c r="D192" s="12" t="inlineStr">
        <is>
          <t>FRS BRD-04 and FRS BRD-07 sources</t>
        </is>
      </c>
      <c r="E192" s="12" t="inlineStr">
        <is>
          <t>Document quality</t>
        </is>
      </c>
      <c r="F192" s="12" t="inlineStr">
        <is>
          <t>Both FRS number requirements FR-CL-nnn; 28 IDs exist in both documents.</t>
        </is>
      </c>
      <c r="G192" s="12" t="inlineStr">
        <is>
          <t>Test plans and RTM cannot key on the FR ID alone.</t>
        </is>
      </c>
      <c r="H192" s="39" t="inlineStr">
        <is>
          <t>Low</t>
        </is>
      </c>
      <c r="I192" s="12" t="inlineStr">
        <is>
          <t>Collections; Claims</t>
        </is>
      </c>
      <c r="J192" s="12" t="inlineStr">
        <is>
          <t>Renumber Claims to FR-CM-nnn. Applied on 26 September 2026 to the Claims FRS, the Claims test plan (case IDs TC-CM, SC-CM, TD-CM) and the Core Replacement spec and FRS; Collections keeps FR-CL-nnn.</t>
        </is>
      </c>
      <c r="K192" s="12" t="inlineStr">
        <is>
          <t>None (project correction).</t>
        </is>
      </c>
      <c r="L192" s="12" t="inlineStr">
        <is>
          <t>BIBS Product Owner, with the owners of the BRDs involved</t>
        </is>
      </c>
      <c r="M192" s="40" t="n">
        <v>46290</v>
      </c>
      <c r="N192" s="32" t="inlineStr">
        <is>
          <t>Open</t>
        </is>
      </c>
      <c r="O192" s="12" t="inlineStr"/>
      <c r="P192" s="40" t="n"/>
      <c r="Q192" s="12" t="inlineStr"/>
    </row>
    <row r="193" ht="67" customHeight="1">
      <c r="A193" s="38" t="inlineStr">
        <is>
          <t>DCR-189</t>
        </is>
      </c>
      <c r="B193" s="12" t="inlineStr">
        <is>
          <t>BRD-13 DM</t>
        </is>
      </c>
      <c r="C193" s="12" t="inlineStr">
        <is>
          <t>Drop 0</t>
        </is>
      </c>
      <c r="D193" s="12" t="inlineStr">
        <is>
          <t>Revision log (p.2); approval (p.15-16)</t>
        </is>
      </c>
      <c r="E193" s="12" t="inlineStr">
        <is>
          <t>Document quality</t>
        </is>
      </c>
      <c r="F193" s="12" t="inlineStr">
        <is>
          <t>The BRD is draft v0.01 of 14-Apr-2026 with one revision entry ("Initial Draft"). None of the 13 approvers has signed or dated the approval pages.</t>
        </is>
      </c>
      <c r="G193" s="12" t="inlineStr">
        <is>
          <t>Business: the migration scope is not agreed. Build: the answers BRD-13 gives to other BRDs (CQ13, CQ07, RQ27, CSQ01) may change at the walk-through. Test: no signed baseline for the migration test cases.</t>
        </is>
      </c>
      <c r="H193" s="39" t="inlineStr">
        <is>
          <t>Medium</t>
        </is>
      </c>
      <c r="I193" s="12" t="inlineStr">
        <is>
          <t>Data migration</t>
        </is>
      </c>
      <c r="J193" s="12" t="inlineStr">
        <is>
          <t>Use the draft as the working baseline; start the migration build (wave DM0) after the walk-through and sign-off.</t>
        </is>
      </c>
      <c r="K193" s="12" t="inlineStr">
        <is>
          <t>When will the Data Migration BRD be walked through and signed, and by whom?</t>
        </is>
      </c>
      <c r="L193" s="12" t="inlineStr">
        <is>
          <t>Enterprise Services Group - Business Project Services (Program Manager) with BDOI Comptrollership and Operations</t>
        </is>
      </c>
      <c r="M193" s="40" t="n">
        <v>46290</v>
      </c>
      <c r="N193" s="32" t="inlineStr">
        <is>
          <t>Open</t>
        </is>
      </c>
      <c r="O193" s="12" t="inlineStr"/>
      <c r="P193" s="40" t="n"/>
      <c r="Q193" s="12" t="inlineStr"/>
    </row>
    <row r="194" ht="130" customHeight="1">
      <c r="A194" s="38" t="inlineStr">
        <is>
          <t>DCR-190</t>
        </is>
      </c>
      <c r="B194" s="12" t="inlineStr">
        <is>
          <t>BRD-13 DM</t>
        </is>
      </c>
      <c r="C194" s="12" t="inlineStr">
        <is>
          <t>Drop 0</t>
        </is>
      </c>
      <c r="D194" s="12" t="inlineStr">
        <is>
          <t>Cover (p.1); business goals (p.3); section V (p.6); usage tables (p.13)</t>
        </is>
      </c>
      <c r="E194" s="12" t="inlineStr">
        <is>
          <t>Document quality</t>
        </is>
      </c>
      <c r="F194" s="12" t="inlineStr">
        <is>
          <t>Template text is left in: the cover reads "Business Requirements Document (BRD) Template"; the business-goal answers are in the blue sample style and the footer "Texts highlighted in blue are provided as samples only. Please remove them when drafting the actual BRD" is still on p.3; template instructions remain on p.6 and p.13. "Compliance / Regulatory Requirement" and "Tech Obsolescence" are not ticked, although BRID 11.1 serves audit and regulatory inquiries and the programme replaces the legacy platforms.</t>
        </is>
      </c>
      <c r="G194" s="12" t="inlineStr">
        <is>
          <t>None on build. The business goals cannot be read as BDOI's answers.</t>
        </is>
      </c>
      <c r="H194" s="39" t="inlineStr">
        <is>
          <t>Low</t>
        </is>
      </c>
      <c r="I194" s="12" t="inlineStr">
        <is>
          <t>None</t>
        </is>
      </c>
      <c r="J194" s="12" t="inlineStr">
        <is>
          <t>Remove the template text and confirm the business goals in the next revision.</t>
        </is>
      </c>
      <c r="K194" s="12" t="inlineStr">
        <is>
          <t>Are the ticked business goals on p.3 BDOI's answers or template samples? Should Compliance / Regulatory Requirement and Tech Obsolescence be ticked?</t>
        </is>
      </c>
      <c r="L194" s="12" t="inlineStr">
        <is>
          <t>Enterprise Services Group - Business Project Services (Program Manager) with BDOI Comptrollership and Operations</t>
        </is>
      </c>
      <c r="M194" s="40" t="n">
        <v>46290</v>
      </c>
      <c r="N194" s="32" t="inlineStr">
        <is>
          <t>Open</t>
        </is>
      </c>
      <c r="O194" s="12" t="inlineStr"/>
      <c r="P194" s="40" t="n"/>
      <c r="Q194" s="12" t="inlineStr"/>
    </row>
    <row r="195" ht="67" customHeight="1">
      <c r="A195" s="38" t="inlineStr">
        <is>
          <t>DCR-191</t>
        </is>
      </c>
      <c r="B195" s="12" t="inlineStr">
        <is>
          <t>BRD-13 DM</t>
        </is>
      </c>
      <c r="C195" s="12" t="inlineStr">
        <is>
          <t>Drop 0</t>
        </is>
      </c>
      <c r="D195" s="12" t="inlineStr">
        <is>
          <t>BRID 1.1 (p.7, two rows)</t>
        </is>
      </c>
      <c r="E195" s="12" t="inlineStr">
        <is>
          <t>Data / numbering issue</t>
        </is>
      </c>
      <c r="F195" s="12" t="inlineStr">
        <is>
          <t>BRID 1.1 is used for two requirements: decision gates per data object and reconciliation per data object. The baseline numbers them 1.1a and 1.1b.</t>
        </is>
      </c>
      <c r="G195" s="12" t="inlineStr">
        <is>
          <t>Traceability and test cases cannot key on the BRID alone.</t>
        </is>
      </c>
      <c r="H195" s="39" t="inlineStr">
        <is>
          <t>Low</t>
        </is>
      </c>
      <c r="I195" s="12" t="inlineStr">
        <is>
          <t>Data migration</t>
        </is>
      </c>
      <c r="J195" s="12" t="inlineStr">
        <is>
          <t>Renumber the second row (for example 1.2) in the next revision; BIBS documents use 1.1a / 1.1b until then.</t>
        </is>
      </c>
      <c r="K195" s="12" t="inlineStr">
        <is>
          <t>Please confirm the renumbering of the second BRID 1.1.</t>
        </is>
      </c>
      <c r="L195" s="12" t="inlineStr">
        <is>
          <t>Enterprise Services Group - Business Project Services (Program Manager) with BDOI Comptrollership and Operations</t>
        </is>
      </c>
      <c r="M195" s="40" t="n">
        <v>46290</v>
      </c>
      <c r="N195" s="32" t="inlineStr">
        <is>
          <t>Open</t>
        </is>
      </c>
      <c r="O195" s="12" t="inlineStr"/>
      <c r="P195" s="40" t="n"/>
      <c r="Q195" s="12" t="inlineStr"/>
    </row>
    <row r="196" ht="79.59999999999999" customHeight="1">
      <c r="A196" s="38" t="inlineStr">
        <is>
          <t>DCR-192</t>
        </is>
      </c>
      <c r="B196" s="12" t="inlineStr">
        <is>
          <t>BRD-13 DM</t>
        </is>
      </c>
      <c r="C196" s="12" t="inlineStr">
        <is>
          <t>Drop 0</t>
        </is>
      </c>
      <c r="D196" s="12" t="inlineStr">
        <is>
          <t>BRID 1.1a acceptance criteria (p.7)</t>
        </is>
      </c>
      <c r="E196" s="12" t="inlineStr">
        <is>
          <t>Gap / missing detail</t>
        </is>
      </c>
      <c r="F196" s="12" t="inlineStr">
        <is>
          <t>The acceptance criterion reads "Then it data objects been actioned upon ie. as Migrate / Carry-Forward (Open Items) / Archive / Excluded". The rule that turns the four criteria (Day-1 need, compliance need, read-only / archival option, data trust) into a class is missing, and so are the rating scale, who rates and who approves.</t>
        </is>
      </c>
      <c r="G196" s="12" t="inlineStr">
        <is>
          <t>Build: the decision register and gate G1 of the Migration Console. Business: every data object's treatment depends on it. Test: no acceptance rule for BRID 1.1a.</t>
        </is>
      </c>
      <c r="H196" s="39" t="inlineStr">
        <is>
          <t>High</t>
        </is>
      </c>
      <c r="I196" s="12" t="inlineStr">
        <is>
          <t>Data migration</t>
        </is>
      </c>
      <c r="J196" s="12" t="inlineStr">
        <is>
          <t>The business owner rates each criterion per object and proposes the class; the Program Manager approves; the object catalogue of the design gives the default class per object.</t>
        </is>
      </c>
      <c r="K196" s="12" t="inlineStr">
        <is>
          <t>How are the four criteria rated, who assigns and approves them, and what rule gives Migrate / Carry-Forward / Archive / Excluded?</t>
        </is>
      </c>
      <c r="L196" s="12" t="inlineStr">
        <is>
          <t>Enterprise Services Group - Business Project Services (Program Manager) with BDOI Comptrollership and Operations</t>
        </is>
      </c>
      <c r="M196" s="40" t="n">
        <v>46290</v>
      </c>
      <c r="N196" s="32" t="inlineStr">
        <is>
          <t>Open</t>
        </is>
      </c>
      <c r="O196" s="12" t="inlineStr"/>
      <c r="P196" s="40" t="n"/>
      <c r="Q196" s="12" t="inlineStr">
        <is>
          <t>DMQ01, DMQ02</t>
        </is>
      </c>
    </row>
    <row r="197" ht="104.8" customHeight="1">
      <c r="A197" s="38" t="inlineStr">
        <is>
          <t>DCR-193</t>
        </is>
      </c>
      <c r="B197" s="12" t="inlineStr">
        <is>
          <t>BRD-13 DM; BRD-0 CORE</t>
        </is>
      </c>
      <c r="C197" s="12" t="inlineStr">
        <is>
          <t>Drop 0</t>
        </is>
      </c>
      <c r="D197" s="12" t="inlineStr">
        <is>
          <t>Usage requirements (p.13-14); BRD-00 usage tables (p.42-45)</t>
        </is>
      </c>
      <c r="E197" s="12" t="inlineStr">
        <is>
          <t>Gap / missing detail</t>
        </is>
      </c>
      <c r="F197" s="12" t="inlineStr">
        <is>
          <t>Every usage table (volume and performance, availability, data retention and archiving) says "Not Applicable - Refer to the consolidated NFR requirements for BDO Insure Core Modernization project"; the table rows are empty and that document is not in the pack. There are no migration volumes, no cutover window and no data-quality thresholds. The umbrella BRD gives only "2020 to present" for clients (p.43).</t>
        </is>
      </c>
      <c r="G197" s="12" t="inlineStr">
        <is>
          <t>Build: load sizing and the cutover window are project assumptions (1,000,000 client rows, 500,000 open-item rows, 48-hour window). Test: performance targets of the dress rehearsal.</t>
        </is>
      </c>
      <c r="H197" s="39" t="inlineStr">
        <is>
          <t>Medium</t>
        </is>
      </c>
      <c r="I197" s="12" t="inlineStr">
        <is>
          <t>Data migration</t>
        </is>
      </c>
      <c r="J197" s="12" t="inlineStr">
        <is>
          <t>Plan on the design assumptions; confirm them with the row counts from the first profiling extract.</t>
        </is>
      </c>
      <c r="K197" s="12" t="inlineStr">
        <is>
          <t>Please send the consolidated NFR document (name, version, owner) and the row counts per data object and source.</t>
        </is>
      </c>
      <c r="L197" s="12" t="inlineStr">
        <is>
          <t>BIBS Product Owner, with the owners of the BRDs involved</t>
        </is>
      </c>
      <c r="M197" s="40" t="n">
        <v>46290</v>
      </c>
      <c r="N197" s="32" t="inlineStr">
        <is>
          <t>Open</t>
        </is>
      </c>
      <c r="O197" s="12" t="inlineStr"/>
      <c r="P197" s="40" t="n"/>
      <c r="Q197" s="12" t="inlineStr">
        <is>
          <t>DMQ28, DMQ29, XQ08</t>
        </is>
      </c>
    </row>
    <row r="198" ht="79.59999999999999" customHeight="1">
      <c r="A198" s="38" t="inlineStr">
        <is>
          <t>DCR-194</t>
        </is>
      </c>
      <c r="B198" s="12" t="inlineStr">
        <is>
          <t>BRD-13 DM</t>
        </is>
      </c>
      <c r="C198" s="12" t="inlineStr">
        <is>
          <t>Drop 0</t>
        </is>
      </c>
      <c r="D198" s="12" t="inlineStr">
        <is>
          <t>Capabilities 4 and 9 (p.6); BRID 4.1 (p.8); BRID 9.1-9.3 (p.11)</t>
        </is>
      </c>
      <c r="E198" s="12" t="inlineStr">
        <is>
          <t>Contradiction within BRD</t>
        </is>
      </c>
      <c r="F198" s="12" t="inlineStr">
        <is>
          <t>Capability 4 (in-force policy header) is "conditional" and capability 9 (endorsements on legacy invoices) is "subject to coexistence decision", but BRID 4.1 and 9.1-9.3 are "Must have". Neither the condition nor the decision is stated. BRID 9 cannot be met in BIBS without the header of BRID 4.1.</t>
        </is>
      </c>
      <c r="G198" s="12" t="inlineStr">
        <is>
          <t>Build: account import of legacy headers (V823) and endorsements of legacy invoices (booking V873, adjustment). Business: where endorsements of legacy policies are processed after cutover. Test: endorsement scenarios on legacy invoices.</t>
        </is>
      </c>
      <c r="H198" s="39" t="inlineStr">
        <is>
          <t>High</t>
        </is>
      </c>
      <c r="I198" s="12" t="inlineStr">
        <is>
          <t>Account; Booking; Adjustment; Data migration</t>
        </is>
      </c>
      <c r="J198" s="12" t="inlineStr">
        <is>
          <t>Migrate the header of every policy in force at cutover, and process endorsements of legacy invoices in BIBS from cutover.</t>
        </is>
      </c>
      <c r="K198" s="12" t="inlineStr">
        <is>
          <t>Which in-force policies get a header, with which fields? Confirm that endorsements of legacy invoices are processed in BIBS from cutover, and which endorsement types.</t>
        </is>
      </c>
      <c r="L198" s="12" t="inlineStr">
        <is>
          <t>Enterprise Services Group - Business Project Services (Program Manager) with BDOI Comptrollership and Operations</t>
        </is>
      </c>
      <c r="M198" s="40" t="n">
        <v>46290</v>
      </c>
      <c r="N198" s="32" t="inlineStr">
        <is>
          <t>Open</t>
        </is>
      </c>
      <c r="O198" s="12" t="inlineStr"/>
      <c r="P198" s="40" t="n"/>
      <c r="Q198" s="12" t="inlineStr">
        <is>
          <t>DMQ09, DMQ22</t>
        </is>
      </c>
    </row>
    <row r="199" ht="67" customHeight="1">
      <c r="A199" s="38" t="inlineStr">
        <is>
          <t>DCR-195</t>
        </is>
      </c>
      <c r="B199" s="12" t="inlineStr">
        <is>
          <t>BRD-13 DM</t>
        </is>
      </c>
      <c r="C199" s="12" t="inlineStr">
        <is>
          <t>Drop 0</t>
        </is>
      </c>
      <c r="D199" s="12" t="inlineStr">
        <is>
          <t>Executive summary (p.3); BRID 1.1a (p.7)</t>
        </is>
      </c>
      <c r="E199" s="12" t="inlineStr">
        <is>
          <t>Gap / missing detail</t>
        </is>
      </c>
      <c r="F199" s="12" t="inlineStr">
        <is>
          <t>The BRD names no data objects and only two source systems, "e.g. QPS and EBIX" (p.3). ISYS, the CMS, LOS / LAMD and the Excel masterlists used by other BRDs are not named; no object has an owner or a system of record.</t>
        </is>
      </c>
      <c r="G199" s="12" t="inlineStr">
        <is>
          <t>Build: the object register, layouts and loaders. Business: extract owners cannot be named. Test: reconciliation per object needs the list.</t>
        </is>
      </c>
      <c r="H199" s="39" t="inlineStr">
        <is>
          <t>High</t>
        </is>
      </c>
      <c r="I199" s="12" t="inlineStr">
        <is>
          <t>Data migration</t>
        </is>
      </c>
      <c r="J199" s="12" t="inlineStr">
        <is>
          <t>Use the object catalogue of the Data Migration design (reference, client, policy, financial, GL and archive objects) as the proposal for BDOI to confirm.</t>
        </is>
      </c>
      <c r="K199" s="12" t="inlineStr">
        <is>
          <t>Please confirm the data object inventory, the source system of each object and its business owner.</t>
        </is>
      </c>
      <c r="L199" s="12" t="inlineStr">
        <is>
          <t>Enterprise Services Group - Business Project Services (Program Manager) with BDOI Comptrollership and Operations</t>
        </is>
      </c>
      <c r="M199" s="40" t="n">
        <v>46290</v>
      </c>
      <c r="N199" s="32" t="inlineStr">
        <is>
          <t>Open</t>
        </is>
      </c>
      <c r="O199" s="12" t="inlineStr"/>
      <c r="P199" s="40" t="n"/>
      <c r="Q199" s="12" t="inlineStr">
        <is>
          <t>DMQ01, DMQ03</t>
        </is>
      </c>
    </row>
    <row r="200" ht="104.8" customHeight="1">
      <c r="A200" s="38" t="inlineStr">
        <is>
          <t>DCR-196</t>
        </is>
      </c>
      <c r="B200" s="12" t="inlineStr">
        <is>
          <t>BRD-13 DM; BRD-5 ACCT; BRD-7 CLM; BRD-12 SP</t>
        </is>
      </c>
      <c r="C200" s="12" t="inlineStr">
        <is>
          <t>Drop 0</t>
        </is>
      </c>
      <c r="D200" s="12" t="inlineStr">
        <is>
          <t>BRD-13 p.3, BRID 1.1a (p.7); BRD-7 assumptions (p.23); BRD-12 BRIDSP-33 (p.12); BRD-5 DIS 2.2.x</t>
        </is>
      </c>
      <c r="E200" s="12" t="inlineStr">
        <is>
          <t>Conflict between BRDs</t>
        </is>
      </c>
      <c r="F200" s="12" t="inlineStr">
        <is>
          <t>Other BRDs expect data that BRD-13 does not mention: open claims (BRD-7 assumes migration "will be seamless"), the in-force Employee Benefits programmes (the EB design holds a programme load), the Excel submitted-policy masterlists (BRD-12 BRIDSP-33), the payee master (BRD-5), open disbursements, check pick-ups, PDCs on hand, users and roles. BRD-13 keeps historical claims read-only or archived.</t>
        </is>
      </c>
      <c r="G200" s="12" t="inlineStr">
        <is>
          <t>Build: loaders for objects F07, P04, P05, R09 and V1025 (Claims) stay parked. Business: go-live readiness of Claims, EB, Submitted Policies and Disbursement. Test: migration test scope.</t>
        </is>
      </c>
      <c r="H200" s="39" t="inlineStr">
        <is>
          <t>High</t>
        </is>
      </c>
      <c r="I200" s="12" t="inlineStr">
        <is>
          <t>Data migration; Claims; Employee Benefits; Submitted Policies; Disbursement</t>
        </is>
      </c>
      <c r="J200" s="12" t="inlineStr">
        <is>
          <t>Run the loaders the other designs already hold (BCL_CLAIM_MIGRATION, EB_PROGRAMME_LOAD, SBM_MIGRATION, DISB_PAYEE_MIGRATION) under the migration framework, once BDOI puts the objects in scope.</t>
        </is>
      </c>
      <c r="K200" s="12" t="inlineStr">
        <is>
          <t>Are open claims, EB programmes, the submitted-policy masterlists, payees, open disbursements, PDCs, users and roles in scope of the migration?</t>
        </is>
      </c>
      <c r="L200" s="12" t="inlineStr">
        <is>
          <t>BIBS Product Owner, with the owners of the BRDs involved</t>
        </is>
      </c>
      <c r="M200" s="40" t="n">
        <v>46290</v>
      </c>
      <c r="N200" s="32" t="inlineStr">
        <is>
          <t>Open</t>
        </is>
      </c>
      <c r="O200" s="12" t="inlineStr"/>
      <c r="P200" s="40" t="n"/>
      <c r="Q200" s="12" t="inlineStr">
        <is>
          <t>DMQ30, CLQ14, SP-SQ16, AQ11</t>
        </is>
      </c>
    </row>
    <row r="201" ht="79.59999999999999" customHeight="1">
      <c r="A201" s="38" t="inlineStr">
        <is>
          <t>DCR-197</t>
        </is>
      </c>
      <c r="B201" s="12" t="inlineStr">
        <is>
          <t>BRD-13 DM; BRD-5 ACCT</t>
        </is>
      </c>
      <c r="C201" s="12" t="inlineStr">
        <is>
          <t>Drop 0</t>
        </is>
      </c>
      <c r="D201" s="12" t="inlineStr">
        <is>
          <t>BRD-13 BRID 5.1-8.1 (p.8-10); BRD-5 FRBS 2.3.0-2.3.2</t>
        </is>
      </c>
      <c r="E201" s="12" t="inlineStr">
        <is>
          <t>Gap / missing detail</t>
        </is>
      </c>
      <c r="F201" s="12" t="inlineStr">
        <is>
          <t>BRD-13 asks for legacy sub-ledgers (Premium Receivable, Commission Receivable, DTIP, UPP) and accounting entries on legacy invoices, but not for the GL opening balances those sub-ledgers must agree with, nor for the mapping of the legacy chart. BRD-5 gives no chart either (AQ01).</t>
        </is>
      </c>
      <c r="G201" s="12" t="inlineStr">
        <is>
          <t>Business: GL and sub-ledgers may not agree at go-live. Build: legacy control accounts, clearing account, OPENING journals (V1087, demo V1982). Test: clearing account at 0.00 is a go / no-go criterion.</t>
        </is>
      </c>
      <c r="H201" s="39" t="inlineStr">
        <is>
          <t>High</t>
        </is>
      </c>
      <c r="I201" s="12" t="inlineStr">
        <is>
          <t>Accounting; ACSL; Data migration</t>
        </is>
      </c>
      <c r="J201" s="12" t="inlineStr">
        <is>
          <t>Separate legacy control accounts plus a migration clearing account; the legacy trial balance loaded per branch and currency as OPENING journals; cutover after a legacy month-end close, preferably at year start.</t>
        </is>
      </c>
      <c r="K201" s="12" t="inlineStr">
        <is>
          <t>Are the legacy sub-ledgers separate GL control accounts? Is the whole trial balance migrated at cutover, per branch and currency, and what is the end state after run-off?</t>
        </is>
      </c>
      <c r="L201" s="12" t="inlineStr">
        <is>
          <t>Comptrollership - FRBS, Disbursement and ACSL</t>
        </is>
      </c>
      <c r="M201" s="40" t="n">
        <v>46290</v>
      </c>
      <c r="N201" s="32" t="inlineStr">
        <is>
          <t>Open</t>
        </is>
      </c>
      <c r="O201" s="12" t="inlineStr"/>
      <c r="P201" s="40" t="n"/>
      <c r="Q201" s="12" t="inlineStr">
        <is>
          <t>DMQ18, AQ01</t>
        </is>
      </c>
    </row>
    <row r="202" ht="67" customHeight="1">
      <c r="A202" s="38" t="inlineStr">
        <is>
          <t>DCR-198</t>
        </is>
      </c>
      <c r="B202" s="12" t="inlineStr">
        <is>
          <t>BRD-13 DM</t>
        </is>
      </c>
      <c r="C202" s="12" t="inlineStr">
        <is>
          <t>Drop 0</t>
        </is>
      </c>
      <c r="D202" s="12" t="inlineStr">
        <is>
          <t>BRID 5.1-12.1 (p.8-12)</t>
        </is>
      </c>
      <c r="E202" s="12" t="inlineStr">
        <is>
          <t>Ambiguity</t>
        </is>
      </c>
      <c r="F202" s="12" t="inlineStr">
        <is>
          <t>Terms are used without definition: UPP, DPPR, PR2307, DTIP, RMEL, OTC, autopay, MIS, LOV, Prod Recon, "Cash Receipts Books", "Cash Disbursements Books" and "top management". DPPR is read as "direct-payment premium receivable".</t>
        </is>
      </c>
      <c r="G202" s="12" t="inlineStr">
        <is>
          <t>Build: the DPPR reversal batch and the top-management approval step rest on assumed meanings. Test: acceptance of BRID 5.5 and 7.1.</t>
        </is>
      </c>
      <c r="H202" s="39" t="inlineStr">
        <is>
          <t>Medium</t>
        </is>
      </c>
      <c r="I202" s="12" t="inlineStr">
        <is>
          <t>Cashiering; Commission; Data migration</t>
        </is>
      </c>
      <c r="J202" s="12" t="inlineStr">
        <is>
          <t>Read the terms as in the Operations, Collections and Accounting BRDs (FRS glossary); add a glossary in the next revision.</t>
        </is>
      </c>
      <c r="K202" s="12" t="inlineStr">
        <is>
          <t>Please confirm the meaning of DPPR and who "top management" is (role, names, delegation).</t>
        </is>
      </c>
      <c r="L202" s="12" t="inlineStr">
        <is>
          <t>Enterprise Services Group - Business Project Services (Program Manager) with BDOI Comptrollership and Operations</t>
        </is>
      </c>
      <c r="M202" s="40" t="n">
        <v>46290</v>
      </c>
      <c r="N202" s="32" t="inlineStr">
        <is>
          <t>Open</t>
        </is>
      </c>
      <c r="O202" s="12" t="inlineStr"/>
      <c r="P202" s="40" t="n"/>
      <c r="Q202" s="12" t="inlineStr">
        <is>
          <t>DMQ16, DMQ19</t>
        </is>
      </c>
    </row>
    <row r="203" ht="92.2" customHeight="1">
      <c r="A203" s="38" t="inlineStr">
        <is>
          <t>DCR-199</t>
        </is>
      </c>
      <c r="B203" s="12" t="inlineStr">
        <is>
          <t>BRD-13 DM; BRD-6 RN</t>
        </is>
      </c>
      <c r="C203" s="12" t="inlineStr">
        <is>
          <t>Drop 0</t>
        </is>
      </c>
      <c r="D203" s="12" t="inlineStr">
        <is>
          <t>BRD-13 BRID 12.1 (p.12), envisioned journey (p.5); BRD-6 Addendum 1 out of scope (p.34)</t>
        </is>
      </c>
      <c r="E203" s="12" t="inlineStr">
        <is>
          <t>Conflict between BRDs</t>
        </is>
      </c>
      <c r="F203" s="12" t="inlineStr">
        <is>
          <t>BRD-13 makes the transition renewal-driven: policies "follow the agreed transition model" and renew into BIBS as clean records, but the model is not described. BRD-6 Addendum 1 excludes requirements that reference EBIX or QPS. At go-live the RMEL of the next months (BIBS extracts 140 days before expiry) has already been extracted in legacy.</t>
        </is>
      </c>
      <c r="G203" s="12" t="inlineStr">
        <is>
          <t>Business: first months of renewals after go-live. Build: legacy cohorts through LegacyPolicySource, run-off tracker. Test: renewal of a legacy policy.</t>
        </is>
      </c>
      <c r="H203" s="39" t="inlineStr">
        <is>
          <t>High</t>
        </is>
      </c>
      <c r="I203" s="12" t="inlineStr">
        <is>
          <t>Renewal; Account; Data migration</t>
        </is>
      </c>
      <c r="J203" s="12" t="inlineStr">
        <is>
          <t>Cohorts expiring before go-live stay in legacy; cohorts up to go-live plus 140 days are carried forward with disposition, handler and status; later cohorts are extracted by BIBS from the migrated headers; legacy renewals take the new-business path.</t>
        </is>
      </c>
      <c r="K203" s="12" t="inlineStr">
        <is>
          <t>Which transition model applies to the RMEL cohorts already extracted in legacy at go-live, and which is the first cohort extracted by BIBS?</t>
        </is>
      </c>
      <c r="L203" s="12" t="inlineStr">
        <is>
          <t>Marketing and Processing - Renewal (RMEL)</t>
        </is>
      </c>
      <c r="M203" s="40" t="n">
        <v>46290</v>
      </c>
      <c r="N203" s="32" t="inlineStr">
        <is>
          <t>Open</t>
        </is>
      </c>
      <c r="O203" s="12" t="inlineStr"/>
      <c r="P203" s="40" t="n"/>
      <c r="Q203" s="12" t="inlineStr">
        <is>
          <t>DMQ26, RQ27</t>
        </is>
      </c>
    </row>
    <row r="204" ht="67" customHeight="1">
      <c r="A204" s="38" t="inlineStr">
        <is>
          <t>DCR-200</t>
        </is>
      </c>
      <c r="B204" s="12" t="inlineStr">
        <is>
          <t>BRD-13 DM</t>
        </is>
      </c>
      <c r="C204" s="12" t="inlineStr">
        <is>
          <t>Drop 0</t>
        </is>
      </c>
      <c r="D204" s="12" t="inlineStr">
        <is>
          <t>BRID 12.1 (p.12)</t>
        </is>
      </c>
      <c r="E204" s="12" t="inlineStr">
        <is>
          <t>Gap / missing detail</t>
        </is>
      </c>
      <c r="F204" s="12" t="inlineStr">
        <is>
          <t>The BRD asks for a cutover aligned to RMEL but gives no go-live date or month, freeze length, mock runs, dress rehearsal, go / no-go criteria, point of no return, fallback or hypercare, nor the treatment of transactions in flight at the freeze.</t>
        </is>
      </c>
      <c r="G204" s="12" t="inlineStr">
        <is>
          <t>Build: cutover plan, go / no-go and runbook in the Migration Console. Business: cutover calendar and freeze. Test: mock runs and dress rehearsal.</t>
        </is>
      </c>
      <c r="H204" s="39" t="inlineStr">
        <is>
          <t>Medium</t>
        </is>
      </c>
      <c r="I204" s="12" t="inlineStr">
        <is>
          <t>Data migration</t>
        </is>
      </c>
      <c r="J204" s="12" t="inlineStr">
        <is>
          <t>Go-live on the first business day of a month after a legacy month-end close; two mock runs and a dress rehearsal; go / no-go on the reconciliation results; fallback only before the point of no return.</t>
        </is>
      </c>
      <c r="K204" s="12" t="inlineStr">
        <is>
          <t>Please give the go-live month, freeze window, number of rehearsals, fallback rule and the treatment of in-flight items.</t>
        </is>
      </c>
      <c r="L204" s="12" t="inlineStr">
        <is>
          <t>Enterprise Services Group - Business Project Services (Program Manager) with BDOI Comptrollership and Operations</t>
        </is>
      </c>
      <c r="M204" s="40" t="n">
        <v>46290</v>
      </c>
      <c r="N204" s="32" t="inlineStr">
        <is>
          <t>Open</t>
        </is>
      </c>
      <c r="O204" s="12" t="inlineStr"/>
      <c r="P204" s="40" t="n"/>
      <c r="Q204" s="12" t="inlineStr">
        <is>
          <t>DMQ25, DMQ31, DMQ32, DMQ33</t>
        </is>
      </c>
    </row>
    <row r="205" ht="41.8" customHeight="1">
      <c r="A205" s="38" t="inlineStr">
        <is>
          <t>DCR-201</t>
        </is>
      </c>
      <c r="B205" s="12" t="inlineStr">
        <is>
          <t>BRD-13 DM; BRD-0 CORE</t>
        </is>
      </c>
      <c r="C205" s="12" t="inlineStr">
        <is>
          <t>Drop 0</t>
        </is>
      </c>
      <c r="D205" s="12" t="inlineStr">
        <is>
          <t>BRD-13 page header (p.1-16); BRD-00 title (p.1)</t>
        </is>
      </c>
      <c r="E205" s="12" t="inlineStr">
        <is>
          <t>Document quality</t>
        </is>
      </c>
      <c r="F205" s="12" t="inlineStr">
        <is>
          <t>The page header reads "BDOI Core Modernization Data Migration" while the umbrella BRD is titled "BDOI CORE REPLACEMENT"; BRD-13 is not in the umbrella's BRD list (p.3).</t>
        </is>
      </c>
      <c r="G205" s="12" t="inlineStr">
        <is>
          <t>None on build.</t>
        </is>
      </c>
      <c r="H205" s="39" t="inlineStr">
        <is>
          <t>Low</t>
        </is>
      </c>
      <c r="I205" s="12" t="inlineStr">
        <is>
          <t>None</t>
        </is>
      </c>
      <c r="J205" s="12" t="inlineStr">
        <is>
          <t>Align the programme name in the next revision.</t>
        </is>
      </c>
      <c r="K205" s="12" t="inlineStr">
        <is>
          <t>Which programme name is used in the documents?</t>
        </is>
      </c>
      <c r="L205" s="12" t="inlineStr">
        <is>
          <t>BIBS Product Owner, with the owners of the BRDs involved</t>
        </is>
      </c>
      <c r="M205" s="40" t="n">
        <v>46290</v>
      </c>
      <c r="N205" s="32" t="inlineStr">
        <is>
          <t>Open</t>
        </is>
      </c>
      <c r="O205" s="12" t="inlineStr"/>
      <c r="P205" s="40" t="n"/>
      <c r="Q205" s="12" t="inlineStr">
        <is>
          <t>CRQ01</t>
        </is>
      </c>
    </row>
    <row r="206" ht="54.4" customHeight="1">
      <c r="A206" s="38" t="inlineStr">
        <is>
          <t>DCR-202</t>
        </is>
      </c>
      <c r="B206" s="12" t="inlineStr">
        <is>
          <t>BRD-13 DM; BRD-9 CSF</t>
        </is>
      </c>
      <c r="C206" s="12" t="inlineStr">
        <is>
          <t>Drop 0</t>
        </is>
      </c>
      <c r="D206" s="12" t="inlineStr">
        <is>
          <t>BRD-13 envisioned journey (p.5), BRID 2.1 (p.7); BRD-9 footnote 3 (p.3)</t>
        </is>
      </c>
      <c r="E206" s="12" t="inlineStr">
        <is>
          <t>Conflict between BRDs</t>
        </is>
      </c>
      <c r="F206" s="12" t="inlineStr">
        <is>
          <t>BRD-9 says QPS and EBIX must receive client contact updates during coexistence. BRD-13 makes legacy read-only after cutover, with the new Core as the trusted client master, and asks for no write-back.</t>
        </is>
      </c>
      <c r="G206" s="12" t="inlineStr">
        <is>
          <t>Build: a write-back transport for ContactSyncGateway, or none. Test: coexistence cases in CSF.</t>
        </is>
      </c>
      <c r="H206" s="39" t="inlineStr">
        <is>
          <t>Medium</t>
        </is>
      </c>
      <c r="I206" s="12" t="inlineStr">
        <is>
          <t>Customer Servicing; Client (CRM)</t>
        </is>
      </c>
      <c r="J206" s="12" t="inlineStr">
        <is>
          <t>Legacy read-only from cutover; the CSF outbox stays NOT_CONFIGURED; accounts that exist only in legacy are found through LegacyAccountLookup.</t>
        </is>
      </c>
      <c r="K206" s="12" t="inlineStr">
        <is>
          <t>After cutover, must contact updates still be written back to QPS / EBIX?</t>
        </is>
      </c>
      <c r="L206" s="12" t="inlineStr">
        <is>
          <t>BIBS Product Owner, with the owners of the BRDs involved</t>
        </is>
      </c>
      <c r="M206" s="40" t="n">
        <v>46290</v>
      </c>
      <c r="N206" s="32" t="inlineStr">
        <is>
          <t>Open</t>
        </is>
      </c>
      <c r="O206" s="12" t="inlineStr"/>
      <c r="P206" s="40" t="n"/>
      <c r="Q206" s="12" t="inlineStr">
        <is>
          <t>CSQ01, Q08</t>
        </is>
      </c>
    </row>
    <row r="207" ht="67" customHeight="1">
      <c r="A207" s="38" t="inlineStr">
        <is>
          <t>DCR-203</t>
        </is>
      </c>
      <c r="B207" s="12" t="inlineStr">
        <is>
          <t>BRD-13 DM; BRD-4 CLXN</t>
        </is>
      </c>
      <c r="C207" s="12" t="inlineStr">
        <is>
          <t>Drop 0</t>
        </is>
      </c>
      <c r="D207" s="12" t="inlineStr">
        <is>
          <t>BRD-13 p.3, BRID 5.1, 11.1 (p.7-11); BRD-4 BRCLXN.013-015, 022</t>
        </is>
      </c>
      <c r="E207" s="12" t="inlineStr">
        <is>
          <t>Gap / missing detail</t>
        </is>
      </c>
      <c r="F207" s="12" t="inlineStr">
        <is>
          <t>BRD-4 needs open EBIX PRs and the disposition history at go-live. BRD-13 carries the receivables forward and keeps history read-only or archived, but says nothing about open dispositions, promises to pay, installment plans and collector assignments.</t>
        </is>
      </c>
      <c r="G207" s="12" t="inlineStr">
        <is>
          <t>Business: collectors lose open promises at cutover. Build: legacy item state loader (V1007). Test: worklist of legacy invoices.</t>
        </is>
      </c>
      <c r="H207" s="39" t="inlineStr">
        <is>
          <t>Medium</t>
        </is>
      </c>
      <c r="I207" s="12" t="inlineStr">
        <is>
          <t>Collections; Data migration</t>
        </is>
      </c>
      <c r="J207" s="12" t="inlineStr">
        <is>
          <t>Carry the open dispositions, promises, installment plans and assignments; history stays in the archive.</t>
        </is>
      </c>
      <c r="K207" s="12" t="inlineStr">
        <is>
          <t>Are open dispositions, promises, installment plans and collector assignments of legacy invoices carried into BIBS?</t>
        </is>
      </c>
      <c r="L207" s="12" t="inlineStr">
        <is>
          <t>Operations - Collections (Head of BDOI Operations)</t>
        </is>
      </c>
      <c r="M207" s="40" t="n">
        <v>46290</v>
      </c>
      <c r="N207" s="32" t="inlineStr">
        <is>
          <t>Open</t>
        </is>
      </c>
      <c r="O207" s="12" t="inlineStr"/>
      <c r="P207" s="40" t="n"/>
      <c r="Q207" s="12" t="inlineStr">
        <is>
          <t>DMQ34, CQ07</t>
        </is>
      </c>
    </row>
    <row r="208" ht="54.4" customHeight="1">
      <c r="A208" s="38" t="inlineStr">
        <is>
          <t>DCR-204</t>
        </is>
      </c>
      <c r="B208" s="12" t="inlineStr">
        <is>
          <t>BRD-13 DM; BRD-2 OPS</t>
        </is>
      </c>
      <c r="C208" s="12" t="inlineStr">
        <is>
          <t>Drop 0</t>
        </is>
      </c>
      <c r="D208" s="12" t="inlineStr">
        <is>
          <t>BRD-13 BRID 5.1 (p.8); BRD-2 Cashiering AR issuance</t>
        </is>
      </c>
      <c r="E208" s="12" t="inlineStr">
        <is>
          <t>Ambiguity</t>
        </is>
      </c>
      <c r="F208" s="12" t="inlineStr">
        <is>
          <t>BRID 5.1 says the system "can issue acknowledgment receipt" for a migrated UPP item. The cash was already acknowledged in legacy with an AR; a second AR from the BIBS series for the same cash would count the receipt twice.</t>
        </is>
      </c>
      <c r="G208" s="12" t="inlineStr">
        <is>
          <t>Business: receipt books and BIR reporting. Build: migrated UPP creation. Test: UPP intake.</t>
        </is>
      </c>
      <c r="H208" s="39" t="inlineStr">
        <is>
          <t>High</t>
        </is>
      </c>
      <c r="I208" s="12" t="inlineStr">
        <is>
          <t>Cashiering; Data migration</t>
        </is>
      </c>
      <c r="J208" s="12" t="inlineStr">
        <is>
          <t>No new AR for a migrated UPP item; the legacy AR number and date are shown on the item.</t>
        </is>
      </c>
      <c r="K208" s="12" t="inlineStr">
        <is>
          <t>Must BIBS issue a new AR for a migrated UPP item, reprint the legacy AR number, or issue nothing until application?</t>
        </is>
      </c>
      <c r="L208" s="12" t="inlineStr">
        <is>
          <t>Operations - Financial Transactions and Processing</t>
        </is>
      </c>
      <c r="M208" s="40" t="n">
        <v>46290</v>
      </c>
      <c r="N208" s="32" t="inlineStr">
        <is>
          <t>Open</t>
        </is>
      </c>
      <c r="O208" s="12" t="inlineStr"/>
      <c r="P208" s="40" t="n"/>
      <c r="Q208" s="12" t="inlineStr">
        <is>
          <t>DMQ14</t>
        </is>
      </c>
    </row>
    <row r="209" ht="79.59999999999999" customHeight="1">
      <c r="A209" s="38" t="inlineStr">
        <is>
          <t>DCR-205</t>
        </is>
      </c>
      <c r="B209" s="12" t="inlineStr">
        <is>
          <t>BRD-13 DM; BRD-2 OPS; BRD-4 CLXN</t>
        </is>
      </c>
      <c r="C209" s="12" t="inlineStr">
        <is>
          <t>Drop 0</t>
        </is>
      </c>
      <c r="D209" s="12" t="inlineStr">
        <is>
          <t>BRD-13 BRID 5.5 (p.9); BRD-2 unapplied dispositions; BRD-4 unapplied view</t>
        </is>
      </c>
      <c r="E209" s="12" t="inlineStr">
        <is>
          <t>Gap / missing detail</t>
        </is>
      </c>
      <c r="F209" s="12" t="inlineStr">
        <is>
          <t>BRID 5.5 asks to reclassify legacy UPP to other income with "top management approval". Criteria (age, amount, client not found), batch frequency, GL account, client notification and reversal are not given, and neither BRD-2 nor BRD-4 has an income-reclass disposition or a top-management approver.</t>
        </is>
      </c>
      <c r="G209" s="12" t="inlineStr">
        <is>
          <t>Business: income recognition of unclaimed collections. Build: new disposition with a two-step approval. Test: reclass and reversal.</t>
        </is>
      </c>
      <c r="H209" s="39" t="inlineStr">
        <is>
          <t>Medium</t>
        </is>
      </c>
      <c r="I209" s="12" t="inlineStr">
        <is>
          <t>Cashiering; Collections; Accounting</t>
        </is>
      </c>
      <c r="J209" s="12" t="inlineStr">
        <is>
          <t>New disposition RECLASS_OTHER_INCOME in batches, approved by the TL and then by a top-management approver; reversal only by a new approved batch.</t>
        </is>
      </c>
      <c r="K209" s="12" t="inlineStr">
        <is>
          <t>Who approves as top management, on which criteria, and to which GL account is the UPP reclassified?</t>
        </is>
      </c>
      <c r="L209" s="12" t="inlineStr">
        <is>
          <t>BIBS Product Owner, with the owners of the BRDs involved</t>
        </is>
      </c>
      <c r="M209" s="40" t="n">
        <v>46290</v>
      </c>
      <c r="N209" s="32" t="inlineStr">
        <is>
          <t>Open</t>
        </is>
      </c>
      <c r="O209" s="12" t="inlineStr"/>
      <c r="P209" s="40" t="n"/>
      <c r="Q209" s="12" t="inlineStr">
        <is>
          <t>DMQ16, OQ15</t>
        </is>
      </c>
    </row>
    <row r="210" ht="92.2" customHeight="1">
      <c r="A210" s="38" t="inlineStr">
        <is>
          <t>DCR-206</t>
        </is>
      </c>
      <c r="B210" s="12" t="inlineStr">
        <is>
          <t>BRD-13 DM; BRD-2 OPS; BRD-4 CLXN</t>
        </is>
      </c>
      <c r="C210" s="12" t="inlineStr">
        <is>
          <t>Drop 0</t>
        </is>
      </c>
      <c r="D210" s="12" t="inlineStr">
        <is>
          <t>BRD-13 BRID 7.1, 7.2 (p.10); BRD-2 MKTID.012; BRD-4 disposition "DP PR for reversal"</t>
        </is>
      </c>
      <c r="E210" s="12" t="inlineStr">
        <is>
          <t>Ambiguity</t>
        </is>
      </c>
      <c r="F210" s="12" t="inlineStr">
        <is>
          <t>BRD-13 asks for batch reversal of "DPPR legacy invoices approved for reversal" and of PR2307 legacy invoices, updating Premium Receivable, Commission Receivable and DTIP. BRD-2 reverses DP PR per invoice after confirmed collection, and BRD-4 tags "DP PR for reversal". The source of the approved list, the approver and the commission receivable entry are not given.</t>
        </is>
      </c>
      <c r="G210" s="12" t="inlineStr">
        <is>
          <t>Business: GL entries on legacy DP and CWT items. Build: DPPR and PR2307 reversal batches. Test: reversal entries.</t>
        </is>
      </c>
      <c r="H210" s="39" t="inlineStr">
        <is>
          <t>Medium</t>
        </is>
      </c>
      <c r="I210" s="12" t="inlineStr">
        <is>
          <t>Commission; Cashiering; Collections</t>
        </is>
      </c>
      <c r="J210" s="12" t="inlineStr">
        <is>
          <t>Batches built from an upload or from the Collections "for reversal" tags of legacy invoices, with maker-checker approval; the commission receivable entry per BDOI answer.</t>
        </is>
      </c>
      <c r="K210" s="12" t="inlineStr">
        <is>
          <t>What is a DPPR legacy invoice, which list is "approved for reversal", who approves the batch, and what are the entries including Commission Receivable?</t>
        </is>
      </c>
      <c r="L210" s="12" t="inlineStr">
        <is>
          <t>BIBS Product Owner, with the owners of the BRDs involved</t>
        </is>
      </c>
      <c r="M210" s="40" t="n">
        <v>46290</v>
      </c>
      <c r="N210" s="32" t="inlineStr">
        <is>
          <t>Open</t>
        </is>
      </c>
      <c r="O210" s="12" t="inlineStr"/>
      <c r="P210" s="40" t="n"/>
      <c r="Q210" s="12" t="inlineStr">
        <is>
          <t>DMQ19, DMQ20, CQ08</t>
        </is>
      </c>
    </row>
    <row r="211" ht="79.59999999999999" customHeight="1">
      <c r="A211" s="38" t="inlineStr">
        <is>
          <t>DCR-207</t>
        </is>
      </c>
      <c r="B211" s="12" t="inlineStr">
        <is>
          <t>BRD-13 DM; BRD-4 CLXN</t>
        </is>
      </c>
      <c r="C211" s="12" t="inlineStr">
        <is>
          <t>Drop 0</t>
        </is>
      </c>
      <c r="D211" s="12" t="inlineStr">
        <is>
          <t>BRD-13 BRID 5-8 (p.8-10); BRD-4 BRCLXN.036 (EBIX invoice format)</t>
        </is>
      </c>
      <c r="E211" s="12" t="inlineStr">
        <is>
          <t>Data / numbering issue</t>
        </is>
      </c>
      <c r="F211" s="12" t="inlineStr">
        <is>
          <t>Legacy invoices are processed in BIBS by their legacy number, but it is not stated whether EBIX and QPS numbers are unique across both systems, what the QPS format is, and whether the extract can give open balances per component (basic, DST, taxes, DTIP, commission, WTAX, PR2307) and per insurer share.</t>
        </is>
      </c>
      <c r="G211" s="12" t="inlineStr">
        <is>
          <t>Build: invoice key rule and "open-balance mode" of the intake. Test: component reconciliation.</t>
        </is>
      </c>
      <c r="H211" s="39" t="inlineStr">
        <is>
          <t>Medium</t>
        </is>
      </c>
      <c r="I211" s="12" t="inlineStr">
        <is>
          <t>Operations ledger; Collections; Data migration</t>
        </is>
      </c>
      <c r="J211" s="12" t="inlineStr">
        <is>
          <t>Keep the legacy number as the BIBS invoice number unless it collides (then source prefix); load by component, or in open-balance mode if legacy cannot split.</t>
        </is>
      </c>
      <c r="K211" s="12" t="inlineStr">
        <is>
          <t>Are EBIX and QPS invoice numbers unique across both systems; what is the QPS format; can the extract give components and paid / remitted splits?</t>
        </is>
      </c>
      <c r="L211" s="12" t="inlineStr">
        <is>
          <t>Operations - Financial Transactions and Processing</t>
        </is>
      </c>
      <c r="M211" s="40" t="n">
        <v>46290</v>
      </c>
      <c r="N211" s="32" t="inlineStr">
        <is>
          <t>Open</t>
        </is>
      </c>
      <c r="O211" s="12" t="inlineStr"/>
      <c r="P211" s="40" t="n"/>
      <c r="Q211" s="12" t="inlineStr">
        <is>
          <t>DMQ11, DMQ12, CQ13, CQ22</t>
        </is>
      </c>
    </row>
    <row r="212" ht="67" customHeight="1">
      <c r="A212" s="38" t="inlineStr">
        <is>
          <t>DCR-208</t>
        </is>
      </c>
      <c r="B212" s="12" t="inlineStr">
        <is>
          <t>BRD-13 DM; BRD-10 SANC</t>
        </is>
      </c>
      <c r="C212" s="12" t="inlineStr">
        <is>
          <t>Drop 0</t>
        </is>
      </c>
      <c r="D212" s="12" t="inlineStr">
        <is>
          <t>BRD-13 BRID 2.1 (p.7); BRD-10 SNSRP-602 (p.14-15)</t>
        </is>
      </c>
      <c r="E212" s="12" t="inlineStr">
        <is>
          <t>Gap / missing detail</t>
        </is>
      </c>
      <c r="F212" s="12" t="inlineStr">
        <is>
          <t>BRD-10 triggers name matching whenever a client is created. BRD-13 loads the client master in bulk and does not say whether migrated clients are screened one by one, once in a full run after the load, or not at all, nor whether legacy risk ratings are kept.</t>
        </is>
      </c>
      <c r="G212" s="12" t="inlineStr">
        <is>
          <t>Compliance: screening coverage at go-live. Build: screening trigger suppression for migrated clients and a full re-screen. Test: screening of the migrated population.</t>
        </is>
      </c>
      <c r="H212" s="39" t="inlineStr">
        <is>
          <t>Medium</t>
        </is>
      </c>
      <c r="I212" s="12" t="inlineStr">
        <is>
          <t>Screening; Client (CRM); Data migration</t>
        </is>
      </c>
      <c r="J212" s="12" t="inlineStr">
        <is>
          <t>No screening per migrated client; one full screening run after the client load; legacy risk ratings kept until the run completes.</t>
        </is>
      </c>
      <c r="K212" s="12" t="inlineStr">
        <is>
          <t>Are migrated clients screened once after the load instead of one by one, and are legacy risk ratings migrated or recomputed?</t>
        </is>
      </c>
      <c r="L212" s="12" t="inlineStr">
        <is>
          <t>Compliance (Chief Compliance Officer)</t>
        </is>
      </c>
      <c r="M212" s="40" t="n">
        <v>46290</v>
      </c>
      <c r="N212" s="32" t="inlineStr">
        <is>
          <t>Open</t>
        </is>
      </c>
      <c r="O212" s="12" t="inlineStr"/>
      <c r="P212" s="40" t="n"/>
      <c r="Q212" s="12" t="inlineStr">
        <is>
          <t>DMQ06</t>
        </is>
      </c>
    </row>
    <row r="213" ht="92.2" customHeight="1">
      <c r="A213" s="38" t="inlineStr">
        <is>
          <t>DCR-209</t>
        </is>
      </c>
      <c r="B213" s="12" t="inlineStr">
        <is>
          <t>BRD-13 DM; BRD-0 CORE</t>
        </is>
      </c>
      <c r="C213" s="12" t="inlineStr">
        <is>
          <t>Drop 0</t>
        </is>
      </c>
      <c r="D213" s="12" t="inlineStr">
        <is>
          <t>BRD-13 BRID 11.1 (p.11-12), usage tables (p.14); BRD-00 retention (p.45)</t>
        </is>
      </c>
      <c r="E213" s="12" t="inlineStr">
        <is>
          <t>Gap / missing detail</t>
        </is>
      </c>
      <c r="F213" s="12" t="inlineStr">
        <is>
          <t>BRD-13 keeps history in read-only legacy or an archive with logged access, but gives no retention per record type, no rule for how long legacy stays read-only, and no retention for the migration evidence (reconciliations, sign-offs). The umbrella gives 5 years online and 15 years archive for historical data; the hosting appendix purges migration staging within 5 days.</t>
        </is>
      </c>
      <c r="G213" s="12" t="inlineStr">
        <is>
          <t>Business: audit access to legacy history. Build: archive retention and decommissioning criteria. Test: archive inquiry.</t>
        </is>
      </c>
      <c r="H213" s="39" t="inlineStr">
        <is>
          <t>Medium</t>
        </is>
      </c>
      <c r="I213" s="12" t="inlineStr">
        <is>
          <t>Data migration; Retention</t>
        </is>
      </c>
      <c r="J213" s="12" t="inlineStr">
        <is>
          <t>Archive records follow the retention rules per record type (default 5 / 15); migration evidence kept 10 years as project records; staging purged within 5 days.</t>
        </is>
      </c>
      <c r="K213" s="12" t="inlineStr">
        <is>
          <t>For each legacy system: kept read-only (how long, hosted by whom) or archived into BIBS? Retention of the archive and of the migration evidence?</t>
        </is>
      </c>
      <c r="L213" s="12" t="inlineStr">
        <is>
          <t>BIBS Product Owner, with the owners of the BRDs involved</t>
        </is>
      </c>
      <c r="M213" s="40" t="n">
        <v>46290</v>
      </c>
      <c r="N213" s="32" t="inlineStr">
        <is>
          <t>Open</t>
        </is>
      </c>
      <c r="O213" s="12" t="inlineStr"/>
      <c r="P213" s="40" t="n"/>
      <c r="Q213" s="12" t="inlineStr">
        <is>
          <t>DMQ24, DMQ27, CRQ22</t>
        </is>
      </c>
    </row>
    <row r="214" ht="92.2" customHeight="1">
      <c r="A214" s="38" t="inlineStr">
        <is>
          <t>DCR-210</t>
        </is>
      </c>
      <c r="B214" s="12" t="inlineStr">
        <is>
          <t>BRD-2 OPS; BRD-0 CORE</t>
        </is>
      </c>
      <c r="C214" s="12" t="inlineStr">
        <is>
          <t>Drop 1</t>
        </is>
      </c>
      <c r="D214" s="12" t="inlineStr">
        <is>
          <t>Drop plan slide, Drop 1 downstream item 3 (Remittance: "Operations BRD (Remittance Addendum), Reinsurance BRD"); BDOI answer A3 (26-Sep-2026); ReInsurance BRD (phase 2)</t>
        </is>
      </c>
      <c r="E214" s="12" t="inlineStr">
        <is>
          <t>Ambiguity</t>
        </is>
      </c>
      <c r="F214" s="12" t="inlineStr">
        <is>
          <t>The drop plan names the Reinsurance BRD for Remittance in Drop 1, while the ReInsurance BRD is phase 2. BDOI answered that Remittance handles the reinsurance transactions in Drop 1 and the reinsurance module is phase 2, but no document says which reinsurance transactions (premium from cedants remitted to reinsurers, RI claim recoveries) or how they are accounted for.</t>
        </is>
      </c>
      <c r="G214" s="12" t="inlineStr">
        <is>
          <t>Build: counterparties and remittance types in remittance; accounting rules. Test: Drop 1 remittance cases with reinsurance transactions.</t>
        </is>
      </c>
      <c r="H214" s="39" t="inlineStr">
        <is>
          <t>High</t>
        </is>
      </c>
      <c r="I214" s="12" t="inlineStr">
        <is>
          <t>Remittance; Accounting; Party</t>
        </is>
      </c>
      <c r="J214" s="12" t="inlineStr">
        <is>
          <t>Handle the named reinsurance transactions in remittance as remittance types with reinsurer counterparties and their own accounting rules; treaty and facultative processing stays phase 2.</t>
        </is>
      </c>
      <c r="K214" s="12" t="inlineStr">
        <is>
          <t>Which reinsurance transactions does Remittance handle in Drop 1, with which accounting entries? Please supply the Remittance Addendum named on the slide.</t>
        </is>
      </c>
      <c r="L214" s="12" t="inlineStr">
        <is>
          <t>Operations - Financial Transactions and Processing, with Comptrollership</t>
        </is>
      </c>
      <c r="M214" s="40" t="n">
        <v>46290</v>
      </c>
      <c r="N214" s="32" t="inlineStr">
        <is>
          <t>Open</t>
        </is>
      </c>
      <c r="O214" s="12" t="inlineStr"/>
      <c r="P214" s="40" t="n"/>
      <c r="Q214" s="12" t="inlineStr">
        <is>
          <t>IQ20, DCR-215</t>
        </is>
      </c>
    </row>
    <row r="215" ht="92.2" customHeight="1">
      <c r="A215" s="38" t="inlineStr">
        <is>
          <t>DCR-211</t>
        </is>
      </c>
      <c r="B215" s="12" t="inlineStr">
        <is>
          <t>BRD-8 EB; BRD-0 CORE</t>
        </is>
      </c>
      <c r="C215" s="12" t="inlineStr">
        <is>
          <t>Drop 2</t>
        </is>
      </c>
      <c r="D215" s="12" t="inlineStr">
        <is>
          <t>Drop plan slide, Drop 2 item 4 "Employee Benefits (No Portal Feature)"; BRD-8 BRID-005, 005.01, 014; IER Architecture Diagram sheet (tenant "EB Insurer Portal ~50 partners")</t>
        </is>
      </c>
      <c r="E215" s="12" t="inlineStr">
        <is>
          <t>Conflict between BRDs</t>
        </is>
      </c>
      <c r="F215" s="12" t="inlineStr">
        <is>
          <t>The drop plan says Employee Benefits has no portal feature. BRD-8 (BRID-005, 005.01, 014) and the answers to Q06 / Q31 have insurers and client HR uploading through a secure portal; the EB design adds a portal module; the IER diagram sizes an EB insurer portal tenant.</t>
        </is>
      </c>
      <c r="G215" s="12" t="inlineStr">
        <is>
          <t>Build: the portal module and external users are dropped; EB uploads are done by internal users. FRS BRD-8 and its test plan change. IER sizing loses a tenant.</t>
        </is>
      </c>
      <c r="H215" s="39" t="inlineStr">
        <is>
          <t>High</t>
        </is>
      </c>
      <c r="I215" s="12" t="inlineStr">
        <is>
          <t>Employee Benefits; User Access; Infrastructure</t>
        </is>
      </c>
      <c r="J215" s="12" t="inlineStr">
        <is>
          <t>No portal: insurers and client HR send documents by e-mail, EB users upload and validate them; EXTERNAL access requests stay refused.</t>
        </is>
      </c>
      <c r="K215" s="12" t="inlineStr">
        <is>
          <t>Please confirm that the EB portal requirements of BRD-8 (BRID-005, 005.01, 014) are out of scope.</t>
        </is>
      </c>
      <c r="L215" s="12" t="inlineStr">
        <is>
          <t>Employee Benefits - Marketing, Processing and Collection</t>
        </is>
      </c>
      <c r="M215" s="40" t="n">
        <v>46290</v>
      </c>
      <c r="N215" s="32" t="inlineStr">
        <is>
          <t>Open</t>
        </is>
      </c>
      <c r="O215" s="12" t="inlineStr"/>
      <c r="P215" s="40" t="n"/>
      <c r="Q215" s="12" t="inlineStr">
        <is>
          <t>IQ22, Q06, Q31, DCR-235</t>
        </is>
      </c>
    </row>
    <row r="216" ht="79.59999999999999" customHeight="1">
      <c r="A216" s="38" t="inlineStr">
        <is>
          <t>DCR-212</t>
        </is>
      </c>
      <c r="B216" s="12" t="inlineStr">
        <is>
          <t>BRD-4 CLXN; BRD-2 OPS</t>
        </is>
      </c>
      <c r="C216" s="12" t="inlineStr">
        <is>
          <t>Drop 2</t>
        </is>
      </c>
      <c r="D216" s="12" t="inlineStr">
        <is>
          <t>Drop plan slide, Drop 2 item 1 "Marketing Collection (extraction)"; BRD-4 (Collection Management System BRD p.35-61)</t>
        </is>
      </c>
      <c r="E216" s="12" t="inlineStr">
        <is>
          <t>Ambiguity</t>
        </is>
      </c>
      <c r="F216" s="12" t="inlineStr">
        <is>
          <t>Drop 2 lists "Marketing Collection (extraction)". BRD-4 Collections is built as a BIBS module fed by the Operations invoice ledger, replacing the separate Collection Management System that legacy fed nightly. "Extraction" suggests a feed from BIBS to a separate collection application.</t>
        </is>
      </c>
      <c r="G216" s="12" t="inlineStr">
        <is>
          <t>Build: an outbound extraction only if a separate system remains. Test: which drop tests BRD-4.</t>
        </is>
      </c>
      <c r="H216" s="39" t="inlineStr">
        <is>
          <t>Medium</t>
        </is>
      </c>
      <c r="I216" s="12" t="inlineStr">
        <is>
          <t>Collections; Operations</t>
        </is>
      </c>
      <c r="J216" s="12" t="inlineStr">
        <is>
          <t>BRD-4 in BIBS replaces the Collection Management System; the item means the Collections daily files; BRD-4 tested in Drop 2 except the DP rows (Drop 1).</t>
        </is>
      </c>
      <c r="K216" s="12" t="inlineStr">
        <is>
          <t>What is "Marketing Collection (extraction)"? Is a separate Collection Management System kept after go-live?</t>
        </is>
      </c>
      <c r="L216" s="12" t="inlineStr">
        <is>
          <t>Operations - Collections (Head of BDOI Operations)</t>
        </is>
      </c>
      <c r="M216" s="40" t="n">
        <v>46290</v>
      </c>
      <c r="N216" s="32" t="inlineStr">
        <is>
          <t>Open</t>
        </is>
      </c>
      <c r="O216" s="12" t="inlineStr"/>
      <c r="P216" s="40" t="n"/>
      <c r="Q216" s="12" t="inlineStr">
        <is>
          <t>IQ21, OQ01, DCR-221</t>
        </is>
      </c>
    </row>
    <row r="217" ht="79.59999999999999" customHeight="1">
      <c r="A217" s="38" t="inlineStr">
        <is>
          <t>DCR-213</t>
        </is>
      </c>
      <c r="B217" s="12" t="inlineStr">
        <is>
          <t>BRD-10 SANC; BRD-9 CSF; BRD-0 CORE</t>
        </is>
      </c>
      <c r="C217" s="12" t="inlineStr">
        <is>
          <t>Drop 1</t>
        </is>
      </c>
      <c r="D217" s="12" t="inlineStr">
        <is>
          <t>Drop plan slide (all drops)</t>
        </is>
      </c>
      <c r="E217" s="12" t="inlineStr">
        <is>
          <t>Gap / missing detail</t>
        </is>
      </c>
      <c r="F217" s="12" t="inlineStr">
        <is>
          <t>BRD-10 Sanction Screening and Risk Profiling (built) and the Customer Servicing Facility service-request functions of BRD-9 (designed) are not placed in any drop; only "Account Creation and Maintenance (NB, CSF)" names CSF, and Bridger Insight XG appears among the Drop 2 integrations.</t>
        </is>
      </c>
      <c r="G217" s="12" t="inlineStr">
        <is>
          <t>Planning: requirements sign-off, SIT and UAT slots for two BRDs.</t>
        </is>
      </c>
      <c r="H217" s="39" t="inlineStr">
        <is>
          <t>Medium</t>
        </is>
      </c>
      <c r="I217" s="12" t="inlineStr">
        <is>
          <t>Sanction Screening; Customer Servicing</t>
        </is>
      </c>
      <c r="J217" s="12" t="inlineStr">
        <is>
          <t>BRD-10 in Drop 1 with Client Onboarding (screening at onboarding); CSF service requests in Drop 2.</t>
        </is>
      </c>
      <c r="K217" s="12" t="inlineStr">
        <is>
          <t>In which drop are BRD-10 and the CSF service-request functions?</t>
        </is>
      </c>
      <c r="L217" s="12" t="inlineStr">
        <is>
          <t>BIBS Product Owner, with the owners of the BRDs involved</t>
        </is>
      </c>
      <c r="M217" s="40" t="n">
        <v>46290</v>
      </c>
      <c r="N217" s="32" t="inlineStr">
        <is>
          <t>Open</t>
        </is>
      </c>
      <c r="O217" s="12" t="inlineStr"/>
      <c r="P217" s="40" t="n"/>
      <c r="Q217" s="12" t="inlineStr">
        <is>
          <t>IQ23</t>
        </is>
      </c>
    </row>
    <row r="218" ht="67" customHeight="1">
      <c r="A218" s="38" t="inlineStr">
        <is>
          <t>DCR-214</t>
        </is>
      </c>
      <c r="B218" s="12" t="inlineStr">
        <is>
          <t>BRD-0 CORE; BRD-11 UAM; BRD-5 ACCT</t>
        </is>
      </c>
      <c r="C218" s="12" t="inlineStr">
        <is>
          <t>Drop 0</t>
        </is>
      </c>
      <c r="D218" s="12" t="inlineStr">
        <is>
          <t>Drop plan slide, Drop 0 items 1 (Accessibility &amp; Login), 4 (Data Management), 5 (Workflow): BRD file column empty; BRD-00 CORE-17 (p.11)</t>
        </is>
      </c>
      <c r="E218" s="12" t="inlineStr">
        <is>
          <t>Gap / missing detail</t>
        </is>
      </c>
      <c r="F218" s="12" t="inlineStr">
        <is>
          <t>Drop 0 items have no BRD. Data Management is umbrella capability CORE-17 (MIS field definition NEW, insurer management CHANGE, no BRD); Workflow is a platform capability; "Accessibility &amp; Login" can mean sign-in (BRD-11, EIAM) or WCAG accessibility (UAM-NFR-05).</t>
        </is>
      </c>
      <c r="G218" s="12" t="inlineStr">
        <is>
          <t>Test: no acceptance criteria for three Drop 0 items.</t>
        </is>
      </c>
      <c r="H218" s="39" t="inlineStr">
        <is>
          <t>Medium</t>
        </is>
      </c>
      <c r="I218" s="12" t="inlineStr">
        <is>
          <t>Setup; User Access; Workflow; Reference data</t>
        </is>
      </c>
      <c r="J218" s="12" t="inlineStr">
        <is>
          <t>Acceptance basis: BRD-11 plus EIAM for item 1, CORE-17 of the umbrella BRD for item 4, the workflows of each BRD for item 5; WCAG covered by the accessibility statement.</t>
        </is>
      </c>
      <c r="K218" s="12" t="inlineStr">
        <is>
          <t>Which requirements govern Drop 0 items 1, 4 and 5?</t>
        </is>
      </c>
      <c r="L218" s="12" t="inlineStr">
        <is>
          <t>Business Project Services (BRD owner) with the BIBS Product Owner</t>
        </is>
      </c>
      <c r="M218" s="40" t="n">
        <v>46290</v>
      </c>
      <c r="N218" s="32" t="inlineStr">
        <is>
          <t>Open</t>
        </is>
      </c>
      <c r="O218" s="12" t="inlineStr"/>
      <c r="P218" s="40" t="n"/>
      <c r="Q218" s="12" t="inlineStr">
        <is>
          <t>IQ24, CRQ09</t>
        </is>
      </c>
    </row>
    <row r="219" ht="79.59999999999999" customHeight="1">
      <c r="A219" s="38" t="inlineStr">
        <is>
          <t>DCR-215</t>
        </is>
      </c>
      <c r="B219" s="12" t="inlineStr">
        <is>
          <t>BRD-2 OPS; BRD-4 CLXN</t>
        </is>
      </c>
      <c r="C219" s="12" t="inlineStr">
        <is>
          <t>Drop 1</t>
        </is>
      </c>
      <c r="D219" s="12" t="inlineStr">
        <is>
          <t>Drop plan slide, Drop 1 downstream items 2 and 3 ("Operations BRD (Cashiering Addendum)", "(Remittance Addendum)"), item 7 ("Collections BRD Addendum")</t>
        </is>
      </c>
      <c r="E219" s="12" t="inlineStr">
        <is>
          <t>Gap / missing detail</t>
        </is>
      </c>
      <c r="F219" s="12" t="inlineStr">
        <is>
          <t>The slide names a Cashiering Addendum and a Remittance Addendum to the Operations BRD. The Operations pack received has only Addendum 1 (RMTID.002, ADJID.014). The Collections addendum is in the pack (BRCLXN.049-060 signed, 061-064 draft).</t>
        </is>
      </c>
      <c r="G219" s="12" t="inlineStr">
        <is>
          <t>Requirements may exist that are not in the FRS BRD-2.</t>
        </is>
      </c>
      <c r="H219" s="39" t="inlineStr">
        <is>
          <t>Medium</t>
        </is>
      </c>
      <c r="I219" s="12" t="inlineStr">
        <is>
          <t>Cashiering; Remittance</t>
        </is>
      </c>
      <c r="J219" s="12" t="inlineStr">
        <is>
          <t>BDOI supplies both addenda; FRS BRD-2 v1.1 takes them in.</t>
        </is>
      </c>
      <c r="K219" s="12" t="inlineStr">
        <is>
          <t>Please send the Cashiering and Remittance addenda of the Operations BRD, or confirm that Addendum 1 is meant.</t>
        </is>
      </c>
      <c r="L219" s="12" t="inlineStr">
        <is>
          <t>Operations - Financial Transactions and Processing</t>
        </is>
      </c>
      <c r="M219" s="40" t="n">
        <v>46290</v>
      </c>
      <c r="N219" s="32" t="inlineStr">
        <is>
          <t>Open</t>
        </is>
      </c>
      <c r="O219" s="12" t="inlineStr"/>
      <c r="P219" s="40" t="n"/>
      <c r="Q219" s="12" t="inlineStr">
        <is>
          <t>IQ20, DCR-210, CQ01</t>
        </is>
      </c>
    </row>
    <row r="220" ht="54.4" customHeight="1">
      <c r="A220" s="38" t="inlineStr">
        <is>
          <t>DCR-216</t>
        </is>
      </c>
      <c r="B220" s="12" t="inlineStr">
        <is>
          <t>BRD-1 NB; BRD-12 SP</t>
        </is>
      </c>
      <c r="C220" s="12" t="inlineStr">
        <is>
          <t>Drop 0</t>
        </is>
      </c>
      <c r="D220" s="12" t="inlineStr">
        <is>
          <t>Drop plan slide: HLS in Drop 0, LOAS in Drop 2; BDOI integration list (HL - LOAS = Home Loan System)</t>
        </is>
      </c>
      <c r="E220" s="12" t="inlineStr">
        <is>
          <t>Ambiguity</t>
        </is>
      </c>
      <c r="F220" s="12" t="inlineStr">
        <is>
          <t>HLS (Drop 0) and LOAS (Drop 2) are the same system, HL-LOAS. BIBS uses it for home-insurance quotation requests (BRNB.023), the HLS insurance report of Submitted Policies and the HLS amortised CLPC billing.</t>
        </is>
      </c>
      <c r="G220" s="12" t="inlineStr">
        <is>
          <t>Planning: one interface specification or two, in which drop.</t>
        </is>
      </c>
      <c r="H220" s="39" t="inlineStr">
        <is>
          <t>Low</t>
        </is>
      </c>
      <c r="I220" s="12" t="inlineStr">
        <is>
          <t>Quotation; Submitted Policies; Placement (CLPC)</t>
        </is>
      </c>
      <c r="J220" s="12" t="inlineStr">
        <is>
          <t>One interface specification for HL-LOAS, delivered in Drop 0.</t>
        </is>
      </c>
      <c r="K220" s="12" t="inlineStr">
        <is>
          <t>One interface or two for HL-LOAS, and in which drop?</t>
        </is>
      </c>
      <c r="L220" s="12" t="inlineStr">
        <is>
          <t>BIBS Product Owner, with the owners of the BRDs involved</t>
        </is>
      </c>
      <c r="M220" s="40" t="n">
        <v>46290</v>
      </c>
      <c r="N220" s="32" t="inlineStr">
        <is>
          <t>Open</t>
        </is>
      </c>
      <c r="O220" s="12" t="inlineStr"/>
      <c r="P220" s="40" t="n"/>
      <c r="Q220" s="12" t="inlineStr">
        <is>
          <t>IQ07, Q11</t>
        </is>
      </c>
    </row>
    <row r="221" ht="104.8" customHeight="1">
      <c r="A221" s="38" t="inlineStr">
        <is>
          <t>DCR-217</t>
        </is>
      </c>
      <c r="B221" s="12" t="inlineStr">
        <is>
          <t>BRD-0 CORE; BRD-13 DM</t>
        </is>
      </c>
      <c r="C221" s="12" t="inlineStr">
        <is>
          <t>Programme</t>
        </is>
      </c>
      <c r="D221" s="12" t="inlineStr">
        <is>
          <t>Programme timeline slide (go-live marker at the end of January 2028; bars); BDOI_DROP_PLAN.md timeline table; BRD-13 design section 17.2</t>
        </is>
      </c>
      <c r="E221" s="12" t="inlineStr">
        <is>
          <t>Gap / missing detail</t>
        </is>
      </c>
      <c r="F221" s="12" t="inlineStr">
        <is>
          <t>The go-live day in January 2028 is not fixed; the slide marker sits at the end of January. The migration design takes T as the first business day of a month after a legacy month-end close (Mon 3-Jan-2028, freeze after the EOD of Wed 29-Dec-2027). The transcription of the timeline gives the Drop 1 requirements as Sep-Oct and Drop 2 as Nov-Feb; the bars show Sep-Nov and Dec-Feb. Drop 0 has no bar.</t>
        </is>
      </c>
      <c r="G221" s="12" t="inlineStr">
        <is>
          <t>Cut-over calendar, year-end close in legacy, GL opening (January stub period if T is later), mock dates.</t>
        </is>
      </c>
      <c r="H221" s="39" t="inlineStr">
        <is>
          <t>High</t>
        </is>
      </c>
      <c r="I221" s="12" t="inlineStr">
        <is>
          <t>Data migration; Accounting; all</t>
        </is>
      </c>
      <c r="J221" s="12" t="inlineStr">
        <is>
          <t>T = Monday 3 January 2028; absolute mock calendar Mock 1 Apr-May, Mock 2 Jun-Jul, Mock 3 Aug, re-load Oct, dress rehearsal Nov-Dec 2027.</t>
        </is>
      </c>
      <c r="K221" s="12" t="inlineStr">
        <is>
          <t>Which date in January 2028 is the go-live, and does the legacy December / year-end close complete before the final extracts?</t>
        </is>
      </c>
      <c r="L221" s="12" t="inlineStr">
        <is>
          <t>Enterprise Services Group - Business Project Services (Program Manager) with BDOI Comptrollership and Operations</t>
        </is>
      </c>
      <c r="M221" s="40" t="n">
        <v>46290</v>
      </c>
      <c r="N221" s="32" t="inlineStr">
        <is>
          <t>Open</t>
        </is>
      </c>
      <c r="O221" s="12" t="inlineStr"/>
      <c r="P221" s="40" t="n"/>
      <c r="Q221" s="12" t="inlineStr">
        <is>
          <t>IQ01, DMQ25, DMQ18</t>
        </is>
      </c>
    </row>
    <row r="222" ht="79.59999999999999" customHeight="1">
      <c r="A222" s="38" t="inlineStr">
        <is>
          <t>DCR-218</t>
        </is>
      </c>
      <c r="B222" s="12" t="inlineStr">
        <is>
          <t>BRD-6 RN; BRD-0 CORE</t>
        </is>
      </c>
      <c r="C222" s="12" t="inlineStr">
        <is>
          <t>Drop 1</t>
        </is>
      </c>
      <c r="D222" s="12" t="inlineStr">
        <is>
          <t>Concept Paper "Advance Implementation of Renewal Processing" V1.0 (p.1-7); BDOI answer A1 (26-Sep-2026)</t>
        </is>
      </c>
      <c r="E222" s="12" t="inlineStr">
        <is>
          <t>Document quality</t>
        </is>
      </c>
      <c r="F222" s="12" t="inlineStr">
        <is>
          <t>The signed concept paper proposes an early renewal release by 15-Aug-2027 for January-May 2028 expiries, with early migration of the client master and reference data. BDOI answered that all modules go live together in January 2028 and there is no early go-live. The paper still carries a MANCOM decision block.</t>
        </is>
      </c>
      <c r="G222" s="12" t="inlineStr">
        <is>
          <t>None on the build if the paper is withdrawn; otherwise a separate production release, early client migration and a five-month legacy-to-BIBS client sync.</t>
        </is>
      </c>
      <c r="H222" s="39" t="inlineStr">
        <is>
          <t>Medium</t>
        </is>
      </c>
      <c r="I222" s="12" t="inlineStr">
        <is>
          <t>Renewal; Data migration</t>
        </is>
      </c>
      <c r="J222" s="12" t="inlineStr">
        <is>
          <t>The paper is recorded as superseded as an operating model; its capabilities stay in scope for January 2028.</t>
        </is>
      </c>
      <c r="K222" s="12" t="inlineStr">
        <is>
          <t>Please confirm that MANCOM will not approve the early release and that the paper is withdrawn.</t>
        </is>
      </c>
      <c r="L222" s="12" t="inlineStr">
        <is>
          <t>Marketing and Processing - Renewal (RMEL)</t>
        </is>
      </c>
      <c r="M222" s="40" t="n">
        <v>46290</v>
      </c>
      <c r="N222" s="32" t="inlineStr">
        <is>
          <t>Answered</t>
        </is>
      </c>
      <c r="O222" s="12" t="inlineStr">
        <is>
          <t>BDOI answer of 26-Sep-2026: every module goes live together in January 2028; there is no early go-live.</t>
        </is>
      </c>
      <c r="P222" s="40" t="n"/>
      <c r="Q222" s="12" t="inlineStr">
        <is>
          <t>IQ02, DCR-219</t>
        </is>
      </c>
    </row>
    <row r="223" ht="117.4" customHeight="1">
      <c r="A223" s="38" t="inlineStr">
        <is>
          <t>DCR-219</t>
        </is>
      </c>
      <c r="B223" s="12" t="inlineStr">
        <is>
          <t>BRD-6 RN; BRD-3 PM; BRD-13 DM</t>
        </is>
      </c>
      <c r="C223" s="12" t="inlineStr">
        <is>
          <t>Drop 0</t>
        </is>
      </c>
      <c r="D223" s="12" t="inlineStr">
        <is>
          <t>Concept paper VII (p.2), VIII (p.2), Annex B (p.5), Annex C (p.6): package remapping</t>
        </is>
      </c>
      <c r="E223" s="12" t="inlineStr">
        <is>
          <t>Gap / missing detail</t>
        </is>
      </c>
      <c r="F223" s="12" t="inlineStr">
        <is>
          <t>Legacy package names must be remapped to the BIBS packages for the migrated policy headers (P01), the carried-forward RMEL cohorts (P03) and the package versions (R06). The paper asks for a design decision owner and whether mapping happens during upload or during sanitation. The data requirements workbook has no PACKAGE code map set.</t>
        </is>
      </c>
      <c r="G223" s="12" t="inlineStr">
        <is>
          <t>Build: code map set and a renewal sanitation check. Test: sample RMEL validation in Mock 1.</t>
        </is>
      </c>
      <c r="H223" s="39" t="inlineStr">
        <is>
          <t>Medium</t>
        </is>
      </c>
      <c r="I223" s="12" t="inlineStr">
        <is>
          <t>Data migration; Renewal; Product Maintenance</t>
        </is>
      </c>
      <c r="J223" s="12" t="inlineStr">
        <is>
          <t>Both: a versioned PACKAGE code map at intake for one-to-one mappings, plus a renewal check that sends unmapped, retired or split packages to Review for TSU; owner TSU with the MBS steward; rules agreed before 15-Jan-2027.</t>
        </is>
      </c>
      <c r="K223" s="12" t="inlineStr">
        <is>
          <t>Who owns package remapping, and do you agree to map at intake with a sanitation check for exceptions?</t>
        </is>
      </c>
      <c r="L223" s="12" t="inlineStr">
        <is>
          <t>Marketing Business Services (MBS) and TSU</t>
        </is>
      </c>
      <c r="M223" s="40" t="n">
        <v>46290</v>
      </c>
      <c r="N223" s="32" t="inlineStr">
        <is>
          <t>Answered</t>
        </is>
      </c>
      <c r="O223" s="12" t="inlineStr">
        <is>
          <t>BDOI answer of 26-Sep-2026 (DMQ36): package remapping is done at sanitation, not at upload. The migration loads the legacy package code and the PACKAGE code map only; the Renewal sanitation check PACKAGE_REMAP sends unmapped packages to the Exception bucket for the Renewal processing team.</t>
        </is>
      </c>
      <c r="P223" s="40" t="n"/>
      <c r="Q223" s="12" t="inlineStr">
        <is>
          <t>IQ03, DMQ26</t>
        </is>
      </c>
    </row>
    <row r="224" ht="205.6" customHeight="1">
      <c r="A224" s="38" t="inlineStr">
        <is>
          <t>DCR-220</t>
        </is>
      </c>
      <c r="B224" s="12" t="inlineStr">
        <is>
          <t>BRD-6 RN; BRD-13 DM</t>
        </is>
      </c>
      <c r="C224" s="12" t="inlineStr">
        <is>
          <t>Drop 0</t>
        </is>
      </c>
      <c r="D224" s="12" t="inlineStr">
        <is>
          <t>Concept paper IV (p.1); BRD-13 BRID 12.1; renewal lead time 140 days (RENEWAL_DESIGN section 9)</t>
        </is>
      </c>
      <c r="E224" s="12" t="inlineStr">
        <is>
          <t>Gap / missing detail</t>
        </is>
      </c>
      <c r="F224" s="12" t="inlineStr">
        <is>
          <t>Renewals expiring between the legacy freeze and go-live, and the RMEL cohorts expiring from T to T+140 days that legacy has already extracted, need an agreed treatment. With no early release, legacy processes renewals until the freeze.</t>
        </is>
      </c>
      <c r="G224" s="12" t="inlineStr">
        <is>
          <t>Business: no lapse of cover over the cut-over. Build: P03 carry-forward.</t>
        </is>
      </c>
      <c r="H224" s="39" t="inlineStr">
        <is>
          <t>Medium</t>
        </is>
      </c>
      <c r="I224" s="12" t="inlineStr">
        <is>
          <t>Renewal; Data migration; Placement</t>
        </is>
      </c>
      <c r="J224" s="12" t="inlineStr">
        <is>
          <t>Legacy places and books all renewals up to the freeze; cohorts T to T+140 days are carried forward with their disposition (P03); expiries in the freeze window are placed before the freeze or held by hold covers.</t>
        </is>
      </c>
      <c r="K224" s="12" t="inlineStr">
        <is>
          <t>Please confirm the renewal treatment across the cut-over.</t>
        </is>
      </c>
      <c r="L224" s="12" t="inlineStr">
        <is>
          <t>Marketing and Processing - Renewal (RMEL)</t>
        </is>
      </c>
      <c r="M224" s="40" t="n">
        <v>46290</v>
      </c>
      <c r="N224" s="32" t="inlineStr">
        <is>
          <t>Answered</t>
        </is>
      </c>
      <c r="O224" s="12" t="inlineStr">
        <is>
          <t>BDOI answer of 26-Sep-2026 (DMQ37): renewals expiring January to May 2028 are processed in BIBS after go-live; no renewal candidates are carried from legacy. At go-live BIBS extracts every expiry from go-live to 31-May-2028 into the renewal pipeline, prioritised by expiry date with January expiries flagged urgent; a renewal advice already sent manually before go-live (Excel trackers) is recorded as RA already sent and is not sent again. Renewals whose new term starts before go-live are placed and booked in legacy before the freeze (unchanged).</t>
        </is>
      </c>
      <c r="P224" s="40" t="n"/>
      <c r="Q224" s="12" t="inlineStr">
        <is>
          <t>IQ02, DMQ26</t>
        </is>
      </c>
    </row>
    <row r="225" ht="104.8" customHeight="1">
      <c r="A225" s="38" t="inlineStr">
        <is>
          <t>DCR-221</t>
        </is>
      </c>
      <c r="B225" s="12" t="inlineStr">
        <is>
          <t>BRD-4 CLXN; BRD-5 ACCT; BRD-13 DM</t>
        </is>
      </c>
      <c r="C225" s="12" t="inlineStr">
        <is>
          <t>Drop 0</t>
        </is>
      </c>
      <c r="D225" s="12" t="inlineStr">
        <is>
          <t>Drop plan slide, Drop 0 integration 6 ("CMS - with alternate option of OBPCS"); BDOI integration list (CMS / New BOB = Cash Management System, outward payments); BRD-4 (Collection Management System); BRD-13 sources</t>
        </is>
      </c>
      <c r="E225" s="12" t="inlineStr">
        <is>
          <t>Ambiguity</t>
        </is>
      </c>
      <c r="F225" s="12" t="inlineStr">
        <is>
          <t>CMS means the Collection Management System in BRD-4, in the BIBS specifications and in the migration source list (objects C01, F02, F03), and the Cash Management System (outward payments) on the drop plan.</t>
        </is>
      </c>
      <c r="G225" s="12" t="inlineStr">
        <is>
          <t>Wrong system assumed in interface and migration discussions.</t>
        </is>
      </c>
      <c r="H225" s="39" t="inlineStr">
        <is>
          <t>Medium</t>
        </is>
      </c>
      <c r="I225" s="12" t="inlineStr">
        <is>
          <t>Collections; Disbursement; Data migration</t>
        </is>
      </c>
      <c r="J225" s="12" t="inlineStr">
        <is>
          <t>Write "CMS / New BOB" for the bank channel and "Collection Management System" in full; glossary updated.</t>
        </is>
      </c>
      <c r="K225" s="12" t="inlineStr">
        <is>
          <t>Please confirm that the migration source "CMS" is the Collection Management System.</t>
        </is>
      </c>
      <c r="L225" s="12" t="inlineStr">
        <is>
          <t>BIBS Product Owner, with the owners of the BRDs involved</t>
        </is>
      </c>
      <c r="M225" s="40" t="n">
        <v>46290</v>
      </c>
      <c r="N225" s="32" t="inlineStr">
        <is>
          <t>Open</t>
        </is>
      </c>
      <c r="O225" s="12" t="inlineStr"/>
      <c r="P225" s="40" t="n"/>
      <c r="Q225" s="12" t="inlineStr">
        <is>
          <t>IQ10, DCR-212</t>
        </is>
      </c>
    </row>
    <row r="226" ht="130" customHeight="1">
      <c r="A226" s="38" t="inlineStr">
        <is>
          <t>DCR-222</t>
        </is>
      </c>
      <c r="B226" s="12" t="inlineStr">
        <is>
          <t>BRD-0 CORE</t>
        </is>
      </c>
      <c r="C226" s="12" t="inlineStr">
        <is>
          <t>Programme</t>
        </is>
      </c>
      <c r="D226" s="12" t="inlineStr">
        <is>
          <t>IER workbook v20, sheet Architecture Diagram (embedded picture "Technical Architecture - Multi-Tenant"), sheets K8S (DEV / SIT / UAT / PROD Y1-Y5)</t>
        </is>
      </c>
      <c r="E226" s="12" t="inlineStr">
        <is>
          <t>BRD vs platform</t>
        </is>
      </c>
      <c r="F226" s="12" t="inlineStr">
        <is>
          <t>The IER describes a multi-tenant microservice platform: ten services (bv-policy-admin-svc to bv-batch-notification-svc), three tenants (BDOI ~1,200 users, EB insurer portal ~50 partners, broker / RI network ~200 accounts), Aurora and MongoDB per tenant, Apigee X, Istio + OPA, EventBridge with ~80 topics, and "no cross-DB transactions". BIBS is one modular monolith (Spring Boot 3.5, Java 21) and one React frontend on EKS, with one PostgreSQL database where a business record, its journal, ledger and sub-ledger rows commit in one transaction.</t>
        </is>
      </c>
      <c r="G226" s="12" t="inlineStr">
        <is>
          <t>Infrastructure sizing and cost; security and network design; the IER diagram would be signed off for a system that is not built.</t>
        </is>
      </c>
      <c r="H226" s="39" t="inlineStr">
        <is>
          <t>High</t>
        </is>
      </c>
      <c r="I226" s="12" t="inlineStr">
        <is>
          <t>Platform; Infrastructure</t>
        </is>
      </c>
      <c r="J226" s="12" t="inlineStr">
        <is>
          <t>Proposed: BIBS modular monolith with IER enterprise elements (edge security, managed AWS services, separate web, jobs and integration workloads), docs/architecture/ARCHITECTURE_OPTION_DECISION.md, awaiting BDOI confirmation. Replace the IER diagrams with the BIBS application and deployment diagrams (alignment document figures 3 and 4); restate the K8s sheets for the BIBS workloads.</t>
        </is>
      </c>
      <c r="K226" s="12" t="inlineStr">
        <is>
          <t>Please confirm that the IER will describe BIBS as built, and name the mandatory edge component (ALB + WAF, CloudFront, Apigee X).</t>
        </is>
      </c>
      <c r="L226" s="12" t="inlineStr">
        <is>
          <t>BIBS Product Owner with BDO Cloud and Digital Operations Engineering</t>
        </is>
      </c>
      <c r="M226" s="40" t="n">
        <v>46290</v>
      </c>
      <c r="N226" s="32" t="inlineStr">
        <is>
          <t>Open</t>
        </is>
      </c>
      <c r="O226" s="12" t="inlineStr"/>
      <c r="P226" s="40" t="n"/>
      <c r="Q226" s="12" t="inlineStr">
        <is>
          <t>IQ25, DCR-223, DCR-232</t>
        </is>
      </c>
    </row>
    <row r="227" ht="130" customHeight="1">
      <c r="A227" s="38" t="inlineStr">
        <is>
          <t>DCR-223</t>
        </is>
      </c>
      <c r="B227" s="12" t="inlineStr">
        <is>
          <t>BRD-0 CORE</t>
        </is>
      </c>
      <c r="C227" s="12" t="inlineStr">
        <is>
          <t>Programme</t>
        </is>
      </c>
      <c r="D227" s="12" t="inlineStr">
        <is>
          <t>IER workbook v20, sheets K8S (column Q "Total PV (GB) EFS"), Pre-Prod (title), DEV / SIT / UAT / Pre-Prod / PROD / DR (rows), SUMMARY</t>
        </is>
      </c>
      <c r="E227" s="12" t="inlineStr">
        <is>
          <t>Data / numbering issue</t>
        </is>
      </c>
      <c r="F227" s="12" t="inlineStr">
        <is>
          <t>Column "Total PV (GB) EFS" computes max replicas x CPU limit (=E*H) instead of max replicas x PV (=E*K), giving 21,800 GB (DEV), 32,760 GB (UAT) and 43,600 to 87,200 GB (PROD Y1-Y5) where the declared PV is 20 GB. There are no K8s sheets for Pre-Prod and DR. The Pre-Prod sheet is titled "UAT ENVIRONMENT". The environment sheets hold template rows (Windows Server, EXACC, ON PREM, 0 CPU), so the SUMMARY (PHP 3.55 million over 5 years) does not cost RDS, MSK, ElastiCache or the EKS nodes. The enterprise discount is 10.5 % in Assumptions and 13 % in SUMMARY.</t>
        </is>
      </c>
      <c r="G227" s="12" t="inlineStr">
        <is>
          <t>Cost estimate and storage request are not usable.</t>
        </is>
      </c>
      <c r="H227" s="39" t="inlineStr">
        <is>
          <t>High</t>
        </is>
      </c>
      <c r="I227" s="12" t="inlineStr">
        <is>
          <t>Infrastructure</t>
        </is>
      </c>
      <c r="J227" s="12" t="inlineStr">
        <is>
          <t>Proposed: BIBS modular monolith with IER enterprise elements (edge security, managed AWS services, separate web, jobs and integration workloads), docs/architecture/ARCHITECTURE_OPTION_DECISION.md, awaiting BDOI confirmation. BDOI IT corrects the formula (or removes EFS), adds Pre-Prod and DR cluster sheets, fills the environment sheets from the alignment sizing and re-costs.</t>
        </is>
      </c>
      <c r="K227" s="12" t="inlineStr">
        <is>
          <t>Will BDOI IT correct and complete the IER from the BIBS sizing?</t>
        </is>
      </c>
      <c r="L227" s="12" t="inlineStr">
        <is>
          <t>BDO Cloud and Digital Operations Engineering</t>
        </is>
      </c>
      <c r="M227" s="40" t="n">
        <v>46290</v>
      </c>
      <c r="N227" s="32" t="inlineStr">
        <is>
          <t>Open</t>
        </is>
      </c>
      <c r="O227" s="12" t="inlineStr"/>
      <c r="P227" s="40" t="n"/>
      <c r="Q227" s="12" t="inlineStr">
        <is>
          <t>IQ33, DCR-222</t>
        </is>
      </c>
    </row>
    <row r="228" ht="142.6" customHeight="1">
      <c r="A228" s="38" t="inlineStr">
        <is>
          <t>DCR-224</t>
        </is>
      </c>
      <c r="B228" s="12" t="inlineStr">
        <is>
          <t>BRD-0 CORE</t>
        </is>
      </c>
      <c r="C228" s="12" t="inlineStr">
        <is>
          <t>Programme</t>
        </is>
      </c>
      <c r="D228" s="12" t="inlineStr">
        <is>
          <t>IER workbook v20, VDI Requirements (OpenJDK Temurin 17, Node.js 20, Angular), HW &amp; SW Requirements ("RHEL 9.x + PostgreSQL 16 (Amazon RDS)", GitLab Runner), Architecture Diagram (Infra) (GitHub + Jenkins), Architecture Diagram (ArgoCD, Terraform + Crossplane), K8s sheets (Dynatrace)</t>
        </is>
      </c>
      <c r="E228" s="12" t="inlineStr">
        <is>
          <t>BRD vs platform</t>
        </is>
      </c>
      <c r="F228" s="12" t="inlineStr">
        <is>
          <t>The IER names JDK 17, Node 20 and an Angular SPA; BIBS uses Java 21, Node 22 and React 19. RDS rows name "RHEL 9.x" for a managed engine. Three CI/CD toolchains are named (GitLab, GitHub + Jenkins, ArgoCD) and two observability stacks (Dynatrace; CloudWatch, X-Ray, Prometheus, Loki, Grafana). BIBS builds on GitHub Actions and exposes Prometheus metrics.</t>
        </is>
      </c>
      <c r="G228" s="12" t="inlineStr">
        <is>
          <t>VDI images, pipelines and monitoring set up for the wrong stack.</t>
        </is>
      </c>
      <c r="H228" s="39" t="inlineStr">
        <is>
          <t>Medium</t>
        </is>
      </c>
      <c r="I228" s="12" t="inlineStr">
        <is>
          <t>Infrastructure; Delivery</t>
        </is>
      </c>
      <c r="J228" s="12" t="inlineStr">
        <is>
          <t>VDI list: Temurin 21, Maven 3.9, Node 22; RDS rows without an OS; one toolchain and one APM named by BDOI IT.</t>
        </is>
      </c>
      <c r="K228" s="12" t="inlineStr">
        <is>
          <t>Which CI/CD toolchain, container registry, image base and APM apply?</t>
        </is>
      </c>
      <c r="L228" s="12" t="inlineStr">
        <is>
          <t>BDO Cloud and Digital Operations Engineering</t>
        </is>
      </c>
      <c r="M228" s="40" t="n">
        <v>46290</v>
      </c>
      <c r="N228" s="32" t="inlineStr">
        <is>
          <t>Open</t>
        </is>
      </c>
      <c r="O228" s="12" t="inlineStr"/>
      <c r="P228" s="40" t="n"/>
      <c r="Q228" s="12" t="inlineStr">
        <is>
          <t>IQ28, IQ29, IQ30</t>
        </is>
      </c>
    </row>
    <row r="229" ht="142.6" customHeight="1">
      <c r="A229" s="38" t="inlineStr">
        <is>
          <t>DCR-225</t>
        </is>
      </c>
      <c r="B229" s="12" t="inlineStr">
        <is>
          <t>BRD-0 CORE</t>
        </is>
      </c>
      <c r="C229" s="12" t="inlineStr">
        <is>
          <t>Programme</t>
        </is>
      </c>
      <c r="D229" s="12" t="inlineStr">
        <is>
          <t>IER workbook v20, HW &amp; SW Requirements (PROD DR "cross-region read replica", RPO &lt;= 15 min), Architecture Diagram ("ap-southeast-1 primary + DR warm-standby"), both diagram sheets (RPO 15 min, RTO 4 h), DR sheet (12 x 7); hosting appendix (AWS ap-southeast-1, access from the Philippines)</t>
        </is>
      </c>
      <c r="E229" s="12" t="inlineStr">
        <is>
          <t>NFR inconsistency</t>
        </is>
      </c>
      <c r="F229" s="12" t="inlineStr">
        <is>
          <t>The IER sets RPO 15 minutes and RTO 4 hours, which matches the DCR-135 proposal, but the DR location differs between sheets (cross-region replica vs ap-southeast-1 warm standby) and a second region is not covered by the hosting appendix.</t>
        </is>
      </c>
      <c r="G229" s="12" t="inlineStr">
        <is>
          <t>DR design, S3 replication, data residency, DR test.</t>
        </is>
      </c>
      <c r="H229" s="39" t="inlineStr">
        <is>
          <t>High</t>
        </is>
      </c>
      <c r="I229" s="12" t="inlineStr">
        <is>
          <t>Platform (backup and DR)</t>
        </is>
      </c>
      <c r="J229" s="12" t="inlineStr">
        <is>
          <t>RPO 15 min and RTO 4 h accepted (DCR-135); DR region named by BDOI IT after the data-residency check; RDS cross-region replica, S3 cross-region replication, EKS standby.</t>
        </is>
      </c>
      <c r="K229" s="12" t="inlineStr">
        <is>
          <t>Which region hosts DR, and does data residency allow it?</t>
        </is>
      </c>
      <c r="L229" s="12" t="inlineStr">
        <is>
          <t>BDO Cloud and Digital Operations Engineering with Compliance</t>
        </is>
      </c>
      <c r="M229" s="40" t="n">
        <v>46290</v>
      </c>
      <c r="N229" s="32" t="inlineStr">
        <is>
          <t>Open</t>
        </is>
      </c>
      <c r="O229" s="12" t="inlineStr"/>
      <c r="P229" s="40" t="n"/>
      <c r="Q229" s="12" t="inlineStr">
        <is>
          <t>IQ26, DCR-135</t>
        </is>
      </c>
    </row>
    <row r="230" ht="67" customHeight="1">
      <c r="A230" s="38" t="inlineStr">
        <is>
          <t>DCR-226</t>
        </is>
      </c>
      <c r="B230" s="12" t="inlineStr">
        <is>
          <t>BRD-0 CORE</t>
        </is>
      </c>
      <c r="C230" s="12" t="inlineStr">
        <is>
          <t>Programme</t>
        </is>
      </c>
      <c r="D230" s="12" t="inlineStr">
        <is>
          <t>IER workbook v20, Assumptions 3 (non-production 12 x 5); BIBS job schedules (application.yml)</t>
        </is>
      </c>
      <c r="E230" s="12" t="inlineStr">
        <is>
          <t>NFR inconsistency</t>
        </is>
      </c>
      <c r="F230" s="12" t="inlineStr">
        <is>
          <t>Non-production runs 12 hours a day, 5 days a week. BIBS night jobs run at 20:00, 22:15-23:00, 01:00, 05:00 and 06:00 Philippine time; month-end close, migration mocks (weekend loads) and the dress rehearsal need longer hours. MSK and ElastiCache cannot be stopped.</t>
        </is>
      </c>
      <c r="G230" s="12" t="inlineStr">
        <is>
          <t>Batch and month-end tests do not run in SIT / UAT; savings overstated.</t>
        </is>
      </c>
      <c r="H230" s="39" t="inlineStr">
        <is>
          <t>Medium</t>
        </is>
      </c>
      <c r="I230" s="12" t="inlineStr">
        <is>
          <t>All batch jobs; Data migration</t>
        </is>
      </c>
      <c r="J230" s="12" t="inlineStr">
        <is>
          <t>Non-production crons moved into the window by environment variables; extended hours booked for batch, month-end and migration cycles.</t>
        </is>
      </c>
      <c r="K230" s="12" t="inlineStr">
        <is>
          <t>What are the 12 x 5 hours, and can extended hours be booked for test cycles?</t>
        </is>
      </c>
      <c r="L230" s="12" t="inlineStr">
        <is>
          <t>BDO Cloud and Digital Operations Engineering</t>
        </is>
      </c>
      <c r="M230" s="40" t="n">
        <v>46290</v>
      </c>
      <c r="N230" s="32" t="inlineStr">
        <is>
          <t>Open</t>
        </is>
      </c>
      <c r="O230" s="12" t="inlineStr"/>
      <c r="P230" s="40" t="n"/>
      <c r="Q230" s="12" t="inlineStr">
        <is>
          <t>IQ27</t>
        </is>
      </c>
    </row>
    <row r="231" ht="92.2" customHeight="1">
      <c r="A231" s="38" t="inlineStr">
        <is>
          <t>DCR-227</t>
        </is>
      </c>
      <c r="B231" s="12" t="inlineStr">
        <is>
          <t>BRD-0 CORE; BRD-13 DM</t>
        </is>
      </c>
      <c r="C231" s="12" t="inlineStr">
        <is>
          <t>Drop 0</t>
        </is>
      </c>
      <c r="D231" s="12" t="inlineStr">
        <is>
          <t>BDOI answer A4 (26-Sep-2026); IER HW &amp; SW Requirements (S3 document store + EFS shared PV); DOCUMENT_STORAGE_DECISION.md</t>
        </is>
      </c>
      <c r="E231" s="12" t="inlineStr">
        <is>
          <t>BRD vs platform</t>
        </is>
      </c>
      <c r="F231" s="12" t="inlineStr">
        <is>
          <t>BDOI requires documents and attachments in S3 only. BIBS keeps file bytes in PostgreSQL bytea columns in 13 tables (attachments, slips, advices, service invoices, remittance and billing documents, print batches, EOD outputs, report runs and batches, extracts, e-mail attachments, issuance uploads). The IER also plans EFS for shared volumes, which BIBS does not use.</t>
        </is>
      </c>
      <c r="G231" s="12" t="inlineStr">
        <is>
          <t>Build items ST0 (storage port, stored_file, presigned links) and ST1 (every module moved, existing bytes copied); IER rows for buckets, KMS, endpoint, replication and malware scanning; EFS removed.</t>
        </is>
      </c>
      <c r="H231" s="39" t="inlineStr">
        <is>
          <t>High</t>
        </is>
      </c>
      <c r="I231" s="12" t="inlineStr">
        <is>
          <t>Attachments; Documents; Reports; all modules storing files; Infrastructure</t>
        </is>
      </c>
      <c r="J231" s="12" t="inlineStr">
        <is>
          <t>Option C of DOCUMENT_STORAGE_DECISION.md: S3 for bytes, PostgreSQL metadata, 5-minute presigned links after the permission check and audit, four buckets per environment, SSE-KMS, Object Lock governance, cross-region replication.</t>
        </is>
      </c>
      <c r="K231" s="12" t="inlineStr">
        <is>
          <t>Please confirm option C and the five decisions of DOCUMENT_STORAGE_DECISION.md section 5.</t>
        </is>
      </c>
      <c r="L231" s="12" t="inlineStr">
        <is>
          <t>BIBS Product Owner with BDO Cloud and Digital Operations Engineering</t>
        </is>
      </c>
      <c r="M231" s="40" t="n">
        <v>46290</v>
      </c>
      <c r="N231" s="32" t="inlineStr">
        <is>
          <t>Answered</t>
        </is>
      </c>
      <c r="O231" s="12" t="inlineStr">
        <is>
          <t>BDOI answer of 26-Sep-2026: documents and attachments are stored in an S3 bucket only. Design options still to confirm (IQ31).</t>
        </is>
      </c>
      <c r="P231" s="40" t="n"/>
      <c r="Q231" s="12" t="inlineStr">
        <is>
          <t>IQ31, IQ13, DSQ01, DSQ02, DSQ03, DSQ04, DCR-223</t>
        </is>
      </c>
    </row>
    <row r="232" ht="67" customHeight="1">
      <c r="A232" s="38" t="inlineStr">
        <is>
          <t>DCR-228</t>
        </is>
      </c>
      <c r="B232" s="12" t="inlineStr">
        <is>
          <t>BRD-0 CORE</t>
        </is>
      </c>
      <c r="C232" s="12" t="inlineStr">
        <is>
          <t>Programme</t>
        </is>
      </c>
      <c r="D232" s="12" t="inlineStr">
        <is>
          <t>IER workbook v20, HW &amp; SW Requirements (Pre-Prod, PROD: "ElastiCache for Redis 7.x (cluster)")</t>
        </is>
      </c>
      <c r="E232" s="12" t="inlineStr">
        <is>
          <t>BRD vs platform</t>
        </is>
      </c>
      <c r="F232" s="12" t="inlineStr">
        <is>
          <t>The IER asks for ElastiCache "cluster" in Pre-Prod and PROD. BIBS is configured for cluster mode disabled (one shard, primary and replica); the cache clear uses SCAN over one node and the job lock uses scripts on single keys.</t>
        </is>
      </c>
      <c r="G232" s="12" t="inlineStr">
        <is>
          <t>Cluster mode enabled would need a code and configuration change.</t>
        </is>
      </c>
      <c r="H232" s="39" t="inlineStr">
        <is>
          <t>Medium</t>
        </is>
      </c>
      <c r="I232" s="12" t="inlineStr">
        <is>
          <t>Platform (cache, job lock)</t>
        </is>
      </c>
      <c r="J232" s="12" t="inlineStr">
        <is>
          <t>ElastiCache Redis 7, cluster mode disabled, Multi-AZ replica.</t>
        </is>
      </c>
      <c r="K232" s="12" t="inlineStr">
        <is>
          <t>Please confirm cluster mode disabled.</t>
        </is>
      </c>
      <c r="L232" s="12" t="inlineStr">
        <is>
          <t>BDO Cloud and Digital Operations Engineering</t>
        </is>
      </c>
      <c r="M232" s="40" t="n">
        <v>46290</v>
      </c>
      <c r="N232" s="32" t="inlineStr">
        <is>
          <t>Open</t>
        </is>
      </c>
      <c r="O232" s="12" t="inlineStr"/>
      <c r="P232" s="40" t="n"/>
      <c r="Q232" s="12" t="inlineStr">
        <is>
          <t>IQ34</t>
        </is>
      </c>
    </row>
    <row r="233" ht="67" customHeight="1">
      <c r="A233" s="38" t="inlineStr">
        <is>
          <t>DCR-229</t>
        </is>
      </c>
      <c r="B233" s="12" t="inlineStr">
        <is>
          <t>BRD-11 UAM; BRD-0 CORE</t>
        </is>
      </c>
      <c r="C233" s="12" t="inlineStr">
        <is>
          <t>Drop 0</t>
        </is>
      </c>
      <c r="D233" s="12" t="inlineStr">
        <is>
          <t>Drop plan slide, Drop 0 integration 2 (IGA); BDOI integration list (UIDM-ISC); BRD-11 (request and approval of access in the system, p.6)</t>
        </is>
      </c>
      <c r="E233" s="12" t="inlineStr">
        <is>
          <t>Conflict between BRDs</t>
        </is>
      </c>
      <c r="F233" s="12" t="inlineStr">
        <is>
          <t>BRD-11 makes an approved request in BIBS the only way to change a user or a group profile. The drop plan adds UIDM-ISC, an identity governance tool that normally owns access requests, approvals, provisioning and certification.</t>
        </is>
      </c>
      <c r="G233" s="12" t="inlineStr">
        <is>
          <t>Build: provisioning API and aggregation; the BRD-11 request screens may be reduced. Test: joiner / mover / leaver cases.</t>
        </is>
      </c>
      <c r="H233" s="39" t="inlineStr">
        <is>
          <t>High</t>
        </is>
      </c>
      <c r="I233" s="12" t="inlineStr">
        <is>
          <t>User Access; Security</t>
        </is>
      </c>
      <c r="J233" s="12" t="inlineStr">
        <is>
          <t>UIDM-ISC provisions users and group-profile assignments through an API (SCIM 2.0 or its connector) with the ISC request number in the change log; group-profile definitions stay in BIBS under BRD-11.</t>
        </is>
      </c>
      <c r="K233" s="12" t="inlineStr">
        <is>
          <t>Does UIDM-ISC own access requests and approvals? Which connector?</t>
        </is>
      </c>
      <c r="L233" s="12" t="inlineStr">
        <is>
          <t>UAM process owner (Product Owner) with ITIO</t>
        </is>
      </c>
      <c r="M233" s="40" t="n">
        <v>46290</v>
      </c>
      <c r="N233" s="32" t="inlineStr">
        <is>
          <t>Open</t>
        </is>
      </c>
      <c r="O233" s="12" t="inlineStr"/>
      <c r="P233" s="40" t="n"/>
      <c r="Q233" s="12" t="inlineStr">
        <is>
          <t>IQ05, DCR-230</t>
        </is>
      </c>
    </row>
    <row r="234" ht="92.2" customHeight="1">
      <c r="A234" s="38" t="inlineStr">
        <is>
          <t>DCR-230</t>
        </is>
      </c>
      <c r="B234" s="12" t="inlineStr">
        <is>
          <t>BRD-11 UAM; BRD-0 CORE</t>
        </is>
      </c>
      <c r="C234" s="12" t="inlineStr">
        <is>
          <t>Drop 0</t>
        </is>
      </c>
      <c r="D234" s="12" t="inlineStr">
        <is>
          <t>Drop plan slide, Drop 0 integration 1 (Entra-ID); BDOI integration list (EIAM); BRD-11 NFR (EUA with the Windows ID, lockout after 3 attempts, p.13-14)</t>
        </is>
      </c>
      <c r="E234" s="12" t="inlineStr">
        <is>
          <t>Conflict between BRDs</t>
        </is>
      </c>
      <c r="F234" s="12" t="inlineStr">
        <is>
          <t>BRD-11 asks for authentication of the Windows ID through BDO EUA with a password, and for lockout after 3 invalid attempts in BIBS. The drop plan names EIAM on Entra ID, which is a redirect-based sign-in (OpenID Connect) where the password, MFA and lockout sit in Entra ID. The BIBS directory port checks a password and does not fit a redirect.</t>
        </is>
      </c>
      <c r="G234" s="12" t="inlineStr">
        <is>
          <t>Build: OIDC sign-in in the frontend and backend, user mapping, break-glass administrator; lockout and password rules move to Entra ID. Test: log-in cases of every BRD.</t>
        </is>
      </c>
      <c r="H234" s="39" t="inlineStr">
        <is>
          <t>High</t>
        </is>
      </c>
      <c r="I234" s="12" t="inlineStr">
        <is>
          <t>Security; User Access</t>
        </is>
      </c>
      <c r="J234" s="12" t="inlineStr">
        <is>
          <t>EIAM OIDC sign-in for all internal users; roles and permissions stay in BIBS; local sign-in kept only for a break-glass administrator.</t>
        </is>
      </c>
      <c r="K234" s="12" t="inlineStr">
        <is>
          <t>Please confirm OIDC against Entra ID, the identifying claim, MFA, session lifetimes and whether EIAM replaces EUA.</t>
        </is>
      </c>
      <c r="L234" s="12" t="inlineStr">
        <is>
          <t>UAM process owner (Product Owner) with ITIO</t>
        </is>
      </c>
      <c r="M234" s="40" t="n">
        <v>46290</v>
      </c>
      <c r="N234" s="32" t="inlineStr">
        <is>
          <t>Open</t>
        </is>
      </c>
      <c r="O234" s="12" t="inlineStr"/>
      <c r="P234" s="40" t="n"/>
      <c r="Q234" s="12" t="inlineStr">
        <is>
          <t>IQ04, DCR-143, Q42, UQ04</t>
        </is>
      </c>
    </row>
    <row r="235" ht="79.59999999999999" customHeight="1">
      <c r="A235" s="38" t="inlineStr">
        <is>
          <t>DCR-231</t>
        </is>
      </c>
      <c r="B235" s="12" t="inlineStr">
        <is>
          <t>BRD-0 CORE</t>
        </is>
      </c>
      <c r="C235" s="12" t="inlineStr">
        <is>
          <t>Programme</t>
        </is>
      </c>
      <c r="D235" s="12" t="inlineStr">
        <is>
          <t>IER workbook v20, VDI Requirements (8 developers, 4 testers, 3 production support); hosting appendix (access restricted to personnel in the Philippines)</t>
        </is>
      </c>
      <c r="E235" s="12" t="inlineStr">
        <is>
          <t>Gap / missing detail</t>
        </is>
      </c>
      <c r="F235" s="12" t="inlineStr">
        <is>
          <t>The IER plans 15 VDI users. The hosting appendix restricts access to personnel in the Philippines, without saying whether this applies to DEV and SIT with masked data or to vendor staff outside the Philippines.</t>
        </is>
      </c>
      <c r="G235" s="12" t="inlineStr">
        <is>
          <t>Delivery model of the build and support teams; VDI count.</t>
        </is>
      </c>
      <c r="H235" s="39" t="inlineStr">
        <is>
          <t>Medium</t>
        </is>
      </c>
      <c r="I235" s="12" t="inlineStr">
        <is>
          <t>Delivery; Security</t>
        </is>
      </c>
      <c r="J235" s="12" t="inlineStr">
        <is>
          <t>Production and UAT only from the Philippines; DEV and SIT with masked data reachable by named vendor staff through VDI.</t>
        </is>
      </c>
      <c r="K235" s="12" t="inlineStr">
        <is>
          <t>Does the access restriction apply to DEV and SIT with masked data? Which vendor staff need VDI?</t>
        </is>
      </c>
      <c r="L235" s="12" t="inlineStr">
        <is>
          <t>BDO Cloud and Digital Operations Engineering with Compliance</t>
        </is>
      </c>
      <c r="M235" s="40" t="n">
        <v>46290</v>
      </c>
      <c r="N235" s="32" t="inlineStr">
        <is>
          <t>Open</t>
        </is>
      </c>
      <c r="O235" s="12" t="inlineStr"/>
      <c r="P235" s="40" t="n"/>
      <c r="Q235" s="12" t="inlineStr">
        <is>
          <t>IQ28</t>
        </is>
      </c>
    </row>
    <row r="236" ht="79.59999999999999" customHeight="1">
      <c r="A236" s="38" t="inlineStr">
        <is>
          <t>DCR-232</t>
        </is>
      </c>
      <c r="B236" s="12" t="inlineStr">
        <is>
          <t>BRD-0 CORE</t>
        </is>
      </c>
      <c r="C236" s="12" t="inlineStr">
        <is>
          <t>Programme</t>
        </is>
      </c>
      <c r="D236" s="12" t="inlineStr">
        <is>
          <t>IER workbook v20, Architecture Diagram (tenants ~1,200 users, ~50 partners, ~200 accounts), HW &amp; SW Requirements (growth 15 %); BRD-00 usage table (p.42)</t>
        </is>
      </c>
      <c r="E236" s="12" t="inlineStr">
        <is>
          <t>NFR inconsistency</t>
        </is>
      </c>
      <c r="F236" s="12" t="inlineStr">
        <is>
          <t>The IER sizes for about 1,200 internal users plus 250 external accounts; the umbrella BRD gives 1,344 named and 429 concurrent users (DCR-166). Neither gives transactions per second, which the IER K8s guideline 3 asks for.</t>
        </is>
      </c>
      <c r="G236" s="12" t="inlineStr">
        <is>
          <t>Sizing and performance test targets.</t>
        </is>
      </c>
      <c r="H236" s="39" t="inlineStr">
        <is>
          <t>Medium</t>
        </is>
      </c>
      <c r="I236" s="12" t="inlineStr">
        <is>
          <t>All</t>
        </is>
      </c>
      <c r="J236" s="12" t="inlineStr">
        <is>
          <t>Size and test for 429 concurrent sessions (peak) until BDOI decides; no external users.</t>
        </is>
      </c>
      <c r="K236" s="12" t="inlineStr">
        <is>
          <t>Which user and transaction figures govern sizing?</t>
        </is>
      </c>
      <c r="L236" s="12" t="inlineStr">
        <is>
          <t>BIBS Product Owner, with the owners of the BRDs involved</t>
        </is>
      </c>
      <c r="M236" s="40" t="n">
        <v>46290</v>
      </c>
      <c r="N236" s="32" t="inlineStr">
        <is>
          <t>Open</t>
        </is>
      </c>
      <c r="O236" s="12" t="inlineStr"/>
      <c r="P236" s="40" t="n"/>
      <c r="Q236" s="12" t="inlineStr">
        <is>
          <t>IQ32, DCR-166</t>
        </is>
      </c>
    </row>
    <row r="237" ht="67" customHeight="1">
      <c r="A237" s="38" t="inlineStr">
        <is>
          <t>DCR-233</t>
        </is>
      </c>
      <c r="B237" s="12" t="inlineStr">
        <is>
          <t>BRD-5 ACCT; BRD-0 CORE</t>
        </is>
      </c>
      <c r="C237" s="12" t="inlineStr">
        <is>
          <t>Drop 2</t>
        </is>
      </c>
      <c r="D237" s="12" t="inlineStr">
        <is>
          <t>Drop plan slide, Drop 2 integrations 1 (EDP - Data Ingestion (SD 11)) and 2 (Enterprise General Ledger); BDOI integration list</t>
        </is>
      </c>
      <c r="E237" s="12" t="inlineStr">
        <is>
          <t>Gap / missing detail</t>
        </is>
      </c>
      <c r="F237" s="12" t="inlineStr">
        <is>
          <t>EDP ingestion and the Enterprise General Ledger are named without specification. No BRD describes what BIBS sends to EGL (journal detail or balances, frequency, account mapping) or what EDP ingests; "SD 11" is not explained. BIBS has no GL or data-platform interface today.</t>
        </is>
      </c>
      <c r="G237" s="12" t="inlineStr">
        <is>
          <t>Build: two new outbound interfaces in Drop 2 (build Mar-Apr 2027). Test: reconciliation of EGL to the BIBS GL.</t>
        </is>
      </c>
      <c r="H237" s="39" t="inlineStr">
        <is>
          <t>High</t>
        </is>
      </c>
      <c r="I237" s="12" t="inlineStr">
        <is>
          <t>Accounting (GL); Platform</t>
        </is>
      </c>
      <c r="J237" s="12" t="inlineStr">
        <is>
          <t>EGL: daily journal extract with a code map to EGL accounts and control totals; EDP: daily extracts to an S3 drop per SD 11. Final once specified.</t>
        </is>
      </c>
      <c r="K237" s="12" t="inlineStr">
        <is>
          <t>Please provide the EGL and EDP (SD 11) interface specifications by 31-Jan-2027.</t>
        </is>
      </c>
      <c r="L237" s="12" t="inlineStr">
        <is>
          <t>Comptrollership - FRBS, Disbursement and ACSL, with BDOI IT</t>
        </is>
      </c>
      <c r="M237" s="40" t="n">
        <v>46290</v>
      </c>
      <c r="N237" s="32" t="inlineStr">
        <is>
          <t>Open</t>
        </is>
      </c>
      <c r="O237" s="12" t="inlineStr"/>
      <c r="P237" s="40" t="n"/>
      <c r="Q237" s="12" t="inlineStr">
        <is>
          <t>IQ15, IQ16, AQ31</t>
        </is>
      </c>
    </row>
    <row r="238" ht="92.2" customHeight="1">
      <c r="A238" s="38" t="inlineStr">
        <is>
          <t>DCR-234</t>
        </is>
      </c>
      <c r="B238" s="12" t="inlineStr">
        <is>
          <t>BRD-2 OPS; BRD-5 ACCT</t>
        </is>
      </c>
      <c r="C238" s="12" t="inlineStr">
        <is>
          <t>Drop 0</t>
        </is>
      </c>
      <c r="D238" s="12" t="inlineStr">
        <is>
          <t>Drop plan slide, Drop 0 integration 6 (CMS, OBPCS, AFTS, ICBS struck through, BOB); BDOI integration list (CMS / New BOB, OBPCS, Old BOB, PMS)</t>
        </is>
      </c>
      <c r="E238" s="12" t="inlineStr">
        <is>
          <t>Gap / missing detail</t>
        </is>
      </c>
      <c r="F238" s="12" t="inlineStr">
        <is>
          <t>Bank and payment channels are named without layouts or transport: CMS / New BOB for outward payments, OBPCS for bills payment, Old BOB for SOA funds transfers, PMS for PDCs. AFTS is not explained. BIBS has configurable payment-file handlers (PAY_BILLS, PAY_DIRECT_CREDIT, PAY_PDC, PAY_TRADE, PAY_CLPC) and a BOB approval upload, with layouts still open (OQ03, AQ09).</t>
        </is>
      </c>
      <c r="G238" s="12" t="inlineStr">
        <is>
          <t>Build: layouts and possibly host-to-host transfer in Drop 0.</t>
        </is>
      </c>
      <c r="H238" s="39" t="inlineStr">
        <is>
          <t>Medium</t>
        </is>
      </c>
      <c r="I238" s="12" t="inlineStr">
        <is>
          <t>Cashiering; Disbursement</t>
        </is>
      </c>
      <c r="J238" s="12" t="inlineStr">
        <is>
          <t>Layouts configured in the payment-file layout table; CMS / New BOB outward file built in disbursement; automated transfer if BDOI IT offers it.</t>
        </is>
      </c>
      <c r="K238" s="12" t="inlineStr">
        <is>
          <t>Please provide the layouts, transport and cut-off times for CMS / New BOB, OBPCS, Old BOB, PMS and AFTS.</t>
        </is>
      </c>
      <c r="L238" s="12" t="inlineStr">
        <is>
          <t>Operations - Financial Transactions and Processing, with Comptrollership and BDOI IT</t>
        </is>
      </c>
      <c r="M238" s="40" t="n">
        <v>46290</v>
      </c>
      <c r="N238" s="32" t="inlineStr">
        <is>
          <t>Open</t>
        </is>
      </c>
      <c r="O238" s="12" t="inlineStr"/>
      <c r="P238" s="40" t="n"/>
      <c r="Q238" s="12" t="inlineStr">
        <is>
          <t>IQ09, IQ10, OQ03, AQ09</t>
        </is>
      </c>
    </row>
    <row r="239" ht="79.59999999999999" customHeight="1">
      <c r="A239" s="38" t="inlineStr">
        <is>
          <t>DCR-235</t>
        </is>
      </c>
      <c r="B239" s="12" t="inlineStr">
        <is>
          <t>BRD-8 EB; BRD-1 NB; Report List</t>
        </is>
      </c>
      <c r="C239" s="12" t="inlineStr">
        <is>
          <t>Drop 1</t>
        </is>
      </c>
      <c r="D239" s="12" t="inlineStr">
        <is>
          <t>Drop plan slide, Drop 1 upstream items 6 (Placement &amp; ePolicy: NB, RN, EB) and 9 (Reports upstream: NB, RN, SP, EB); Drop 2 items 4 (EB) and 5 (Other Reports)</t>
        </is>
      </c>
      <c r="E239" s="12" t="inlineStr">
        <is>
          <t>Ambiguity</t>
        </is>
      </c>
      <c r="F239" s="12" t="inlineStr">
        <is>
          <t>EB placement and EB reports are in Drop 1 while the EB module is in Drop 2. "Other Reports" (Drop 2) is not defined, and the Report List is not split by drop.</t>
        </is>
      </c>
      <c r="G239" s="12" t="inlineStr">
        <is>
          <t>Test planning; report ownership per drop.</t>
        </is>
      </c>
      <c r="H239" s="39" t="inlineStr">
        <is>
          <t>Low</t>
        </is>
      </c>
      <c r="I239" s="12" t="inlineStr">
        <is>
          <t>Employee Benefits; Reports</t>
        </is>
      </c>
      <c r="J239" s="12" t="inlineStr">
        <is>
          <t>EB programmes are placed through the NB placement screens in Drop 1; each Report List item goes with the drop of its owning module; "Other Reports" = the rest.</t>
        </is>
      </c>
      <c r="K239" s="12" t="inlineStr">
        <is>
          <t>Please confirm the split of EB and of the Report List across the drops.</t>
        </is>
      </c>
      <c r="L239" s="12" t="inlineStr">
        <is>
          <t>BIBS Product Owner, with the owners of the BRDs involved</t>
        </is>
      </c>
      <c r="M239" s="40" t="n">
        <v>46290</v>
      </c>
      <c r="N239" s="32" t="inlineStr">
        <is>
          <t>Open</t>
        </is>
      </c>
      <c r="O239" s="12" t="inlineStr"/>
      <c r="P239" s="40" t="n"/>
      <c r="Q239" s="12" t="inlineStr">
        <is>
          <t>IQ22, DCR-211</t>
        </is>
      </c>
    </row>
    <row r="240" ht="180.4" customHeight="1">
      <c r="A240" s="38" t="inlineStr">
        <is>
          <t>DCR-240</t>
        </is>
      </c>
      <c r="B240" s="12" t="inlineStr">
        <is>
          <t>BRD-13 DM; BRD-6 RN; BRD-0 CORE</t>
        </is>
      </c>
      <c r="C240" s="12" t="inlineStr">
        <is>
          <t>Drop 0</t>
        </is>
      </c>
      <c r="D240" s="12" t="inlineStr">
        <is>
          <t>Concept Paper - Advance Implementation of Renewal Processing V1.0 (signed 06-Sep-2026) p.1-2, Annex A p.4, Annex D p.7; BDOI drop plan and timeline (received 26-Sep-2026); BRD-13 BRID 12.1 (p.12)</t>
        </is>
      </c>
      <c r="E240" s="12" t="inlineStr">
        <is>
          <t>Conflict between BRDs</t>
        </is>
      </c>
      <c r="F240" s="12" t="inlineStr">
        <is>
          <t>The concept paper, signed by MANCOM on 06-Sep-2026, proposes an early renewal release on or before 15-Aug-2027 for January-May 2028 expiries, with the client master and all renewal-related reference data migrated before it (section VI, p.2). BDOI decided on 26-Sep-2026 that everything goes live together in January 2028 (drop plan and timeline: go-live January 2028, full migration and cut-over Nov 2027-Jan 2028). The concept paper is therefore superseded, but the January-May 2028 expiries it targeted are exactly the cohorts that are in their renewal cycle in legacy at a January 2028 go-live (T to T + 140 days).</t>
        </is>
      </c>
      <c r="G240" s="12" t="inlineStr">
        <is>
          <t>Business: renewals of January-May 2028 expiries (about 25,800 accounts a month, umbrella p.44-45). Build: carried RMEL cohorts (layout P03), catch-up extraction in Renewal, no pre-cut-over production load. Test: renewal of a carried legacy policy; mock-load order.</t>
        </is>
      </c>
      <c r="H240" s="39" t="inlineStr">
        <is>
          <t>High</t>
        </is>
      </c>
      <c r="I240" s="12" t="inlineStr">
        <is>
          <t>Data migration; Renewal</t>
        </is>
      </c>
      <c r="J240" s="12" t="inlineStr">
        <is>
          <t>Concept paper recorded as superseded by the single January 2028 go-live. Kept from it: reference data and clients load first in every mock (prerequisite for renewal testing); RMEL validation and exception handling for the carried January-May 2028 cohorts; the package remapping decision. Proposal for the cohorts: prepared in legacy from August 2027 as today, carried at the freeze with their disposition, placed and booked in BIBS from go-live; catch-up extraction at go-live as the safety net (DATA_MIGRATION_DESIGN section 15.1).</t>
        </is>
      </c>
      <c r="K240" s="12" t="inlineStr">
        <is>
          <t>Are the renewals of the January-May 2028 expiries prepared in legacy and carried into BIBS at the freeze (proposal), or processed in BIBS only after go-live from a catch-up extraction? Confirm that renewals whose new term starts before go-live are placed and booked in legacy before the freeze.</t>
        </is>
      </c>
      <c r="L240" s="12" t="inlineStr">
        <is>
          <t>Marketing and Processing - Renewal (RMEL); Program Manager</t>
        </is>
      </c>
      <c r="M240" s="40" t="n">
        <v>46290</v>
      </c>
      <c r="N240" s="32" t="inlineStr">
        <is>
          <t>Answered</t>
        </is>
      </c>
      <c r="O240" s="12" t="inlineStr">
        <is>
          <t>BDOI answer of 26-Sep-2026 (DMQ37): renewals expiring January to May 2028 are processed in BIBS after go-live; no renewal candidates are carried from legacy. At go-live BIBS extracts every expiry from go-live to 31-May-2028 into the renewal pipeline, prioritised by expiry date with January expiries flagged urgent; a renewal advice already sent manually before go-live (Excel trackers) is recorded as RA already sent and is not sent again.</t>
        </is>
      </c>
      <c r="P240" s="40" t="n"/>
      <c r="Q240" s="12" t="inlineStr">
        <is>
          <t>DMQ26, DMQ37, DCR-199, RQ27</t>
        </is>
      </c>
    </row>
    <row r="241" ht="142.6" customHeight="1">
      <c r="A241" s="38" t="inlineStr">
        <is>
          <t>DCR-241</t>
        </is>
      </c>
      <c r="B241" s="12" t="inlineStr">
        <is>
          <t>BRD-13 DM; BRD-3 PM; BRD-6 RN</t>
        </is>
      </c>
      <c r="C241" s="12" t="inlineStr">
        <is>
          <t>Drop 0</t>
        </is>
      </c>
      <c r="D241" s="12" t="inlineStr">
        <is>
          <t>Concept Paper V1.0 p.2 (section VII, VIII), Annex B p.5, Annex C p.6; BRD-13 BRID 3.1 (p.7)</t>
        </is>
      </c>
      <c r="E241" s="12" t="inlineStr">
        <is>
          <t>Gap / missing detail</t>
        </is>
      </c>
      <c r="F241" s="12" t="inlineStr">
        <is>
          <t>The concept paper names package remapping as a key risk: legacy package names must be remapped to the correct BIBS package names, with "a firm design choice, clear ownership, and testing", and asks MANCOM to assign a design decision owner and to decide whether mapping happens during upload processing or during sanitation. The paper is superseded, but the decision is still needed: the in-force headers (P01), the carried renewals (P03) and the package versions (R06) all carry legacy packages, and BRD-13 BRID 3.1 does not say how packages are remapped or by whom.</t>
        </is>
      </c>
      <c r="G241" s="12" t="inlineStr">
        <is>
          <t>Business: correct package on renewals and endorsements of legacy policies. Build: PACKAGE code map with conditional entries; Renewal sanitation check for unresolved packages. Test: package split by sum-insured band; unresolved package in the Exception bucket.</t>
        </is>
      </c>
      <c r="H241" s="39" t="inlineStr">
        <is>
          <t>High</t>
        </is>
      </c>
      <c r="I241" s="12" t="inlineStr">
        <is>
          <t>Data migration; Product Maintenance; Renewal</t>
        </is>
      </c>
      <c r="J241" s="12" t="inlineStr">
        <is>
          <t>Proposal: remap at upload through an approved PACKAGE code map (maker-checker, gate G2), with conditional entries where one legacy package splits; rows the map cannot resolve load as UNRESOLVED and go to the Renewal Exception bucket, where TSU chooses the package and the choice is added to the next map version. TSU prepares the map, the Product Owner of Marketing Business System approves it, MANCOM confirms the owner.</t>
        </is>
      </c>
      <c r="K241" s="12" t="inlineStr">
        <is>
          <t>Is package remapping done at upload (proposal) or during Renewal sanitation, and who owns the decision and the map? Which legacy packages split into several BIBS packages, and on which attributes?</t>
        </is>
      </c>
      <c r="L241" s="12" t="inlineStr">
        <is>
          <t>Product Owner, Marketing Business System; TSU</t>
        </is>
      </c>
      <c r="M241" s="40" t="n">
        <v>46290</v>
      </c>
      <c r="N241" s="32" t="inlineStr">
        <is>
          <t>Answered</t>
        </is>
      </c>
      <c r="O241" s="12" t="inlineStr">
        <is>
          <t>BDOI answer of 26-Sep-2026 (DMQ36): package remapping is done at sanitation, not at upload. The migration loads the legacy package code and the PACKAGE code map only; the Renewal sanitation check PACKAGE_REMAP sends unmapped packages to the Exception bucket for the Renewal processing team.</t>
        </is>
      </c>
      <c r="P241" s="40" t="n"/>
      <c r="Q241" s="12" t="inlineStr">
        <is>
          <t>DMQ36, DMQ08</t>
        </is>
      </c>
    </row>
    <row r="242" ht="167.8" customHeight="1">
      <c r="A242" s="38" t="inlineStr">
        <is>
          <t>DCR-242</t>
        </is>
      </c>
      <c r="B242" s="12" t="inlineStr">
        <is>
          <t>BRD-13 DM; BRD-0 CORE</t>
        </is>
      </c>
      <c r="C242" s="12" t="inlineStr">
        <is>
          <t>Programme</t>
        </is>
      </c>
      <c r="D242" s="12" t="inlineStr">
        <is>
          <t>BDOI Programme Timeline (image, go-live marker at the end of the January 2028 column); BRD-13 BRID 12.1 (p.12); DATA_MIGRATION_DESIGN section 17.2</t>
        </is>
      </c>
      <c r="E242" s="12" t="inlineStr">
        <is>
          <t>Ambiguity</t>
        </is>
      </c>
      <c r="F242" s="12" t="inlineStr">
        <is>
          <t>The timeline sets go-live in January 2028 and draws the marker at the end of the January column. The migration plan proposes Monday 3 January 2028, the first business day after the legacy year-end close, so the opening trial balance is a closed year-end balance and the January expiries can be placed in BIBS on time. That date puts the cut-over over the year-end holidays (24-25 and 30-31 December, 1 January): the last legacy business day would be 29 December and the production load would run on New Year's Day. A later January date keeps legacy running into January and needs a January cut-off of the trial balance.</t>
        </is>
      </c>
      <c r="G242" s="12" t="inlineStr">
        <is>
          <t>Business: availability of staff and bank channels over the holidays; year-end closing and audit adjustments. Build: none. Test: dress rehearsal timings.</t>
        </is>
      </c>
      <c r="H242" s="39" t="inlineStr">
        <is>
          <t>Medium</t>
        </is>
      </c>
      <c r="I242" s="12" t="inlineStr">
        <is>
          <t>Data migration; Accounting</t>
        </is>
      </c>
      <c r="J242" s="12" t="inlineStr">
        <is>
          <t>Proposal: T = Monday 3 January 2028; last legacy business day Wednesday 29 December 2027; legacy EOD and year-end close on 31 December; tasks moved off the holidays in the runbook. Date confirmed at M6 (1-Oct-2027).</t>
        </is>
      </c>
      <c r="K242" s="12" t="inlineStr">
        <is>
          <t>Is go-live on Monday 3 January 2028 (after the legacy year-end close) or later in January? If 3 January: is 29 December the last legacy business day, does the year-end close complete on 31 December, and how are late 2027 and audit adjustments booked after go-live?</t>
        </is>
      </c>
      <c r="L242" s="12" t="inlineStr">
        <is>
          <t>Program Manager; Head, Comptrollership</t>
        </is>
      </c>
      <c r="M242" s="40" t="n">
        <v>46290</v>
      </c>
      <c r="N242" s="32" t="inlineStr">
        <is>
          <t>Open</t>
        </is>
      </c>
      <c r="O242" s="12" t="inlineStr">
        <is>
          <t>BDOI answer of 26-Sep-2026 (DMQ39): recommended option A, go-live Monday 3-Jan-2028 at the year-end boundary, provisional GL opening trial balance, legacy GL kept open only for FY2027 closing and audit adjustments, true-ups as opening-balance adjustment journals after the legacy close and after the audited financial statements. Options B (go-live at the end of Q1) and C (two books for Q1) not recommended. Awaiting Comptrollership confirmation.</t>
        </is>
      </c>
      <c r="P242" s="40" t="n"/>
      <c r="Q242" s="12" t="inlineStr">
        <is>
          <t>DMQ25, DMQ39, DMQ18, DCR-200</t>
        </is>
      </c>
    </row>
    <row r="243" ht="130" customHeight="1">
      <c r="A243" s="38" t="inlineStr">
        <is>
          <t>DCR-243</t>
        </is>
      </c>
      <c r="B243" s="12" t="inlineStr">
        <is>
          <t>BRD-13 DM; BRD-6 RN</t>
        </is>
      </c>
      <c r="C243" s="12" t="inlineStr">
        <is>
          <t>Drop 0</t>
        </is>
      </c>
      <c r="D243" s="12" t="inlineStr">
        <is>
          <t>BRD-6 current process (p.42): dispositions in spreadsheets and e-mail; BRD-13 BRID 12.1 (p.12); Concept Paper V1.0 Annex C p.6 (RMEL data quality)</t>
        </is>
      </c>
      <c r="E243" s="12" t="inlineStr">
        <is>
          <t>Gap / missing detail</t>
        </is>
      </c>
      <c r="F243" s="12" t="inlineStr">
        <is>
          <t>Carrying the January-May 2028 renewals "with their disposition" needs the legacy disposition, RA status, insurer approval and proposed terms per policy. The Renewal BRD says dispositions are made in spreadsheets and communicated by e-mail, and only packaged accounts go through the QPS upload and the RMEL text file (p.42). There is no system source for the disposition part of the carried rows, and the concept paper flags RMEL data quality as a risk that needs validation, exception reporting and review checkpoints.</t>
        </is>
      </c>
      <c r="G243" s="12" t="inlineStr">
        <is>
          <t>Business: business units must consolidate their disposition files monthly. Build: layout P03 combines the legacy RMEL extract with the disposition file; cohort completeness check. Test: rejected rows in every mock.</t>
        </is>
      </c>
      <c r="H243" s="39" t="inlineStr">
        <is>
          <t>High</t>
        </is>
      </c>
      <c r="I243" s="12" t="inlineStr">
        <is>
          <t>Data migration; Renewal</t>
        </is>
      </c>
      <c r="J243" s="12" t="inlineStr">
        <is>
          <t>Proposal: one consolidated disposition template per cohort month from Mock 1, merged with the legacy RMEL extract into P03; rejected rows to the Heads of Retail and Corporate Marketing after every mock; completeness check per month; catch-up extraction at go-live for any header without a carried row.</t>
        </is>
      </c>
      <c r="K243" s="12" t="inlineStr">
        <is>
          <t>Who produces the legacy RMEL extract for the January-May 2028 expiries, where are the dispositions, RA status, insurer approvals and proposed terms kept, will the business units fill one consolidated template per month, and who reviews the rejected rows?</t>
        </is>
      </c>
      <c r="L243" s="12" t="inlineStr">
        <is>
          <t>Marketing and Processing - Renewal (RMEL); BDOI IT</t>
        </is>
      </c>
      <c r="M243" s="40" t="n">
        <v>46290</v>
      </c>
      <c r="N243" s="32" t="inlineStr">
        <is>
          <t>Answered</t>
        </is>
      </c>
      <c r="O243" s="12" t="inlineStr">
        <is>
          <t>BDOI answer of 26-Sep-2026 (DMQ38): the RMEL and the dispositions are kept in Excel today; rejected rows are reviewed by the Renewal processing team on a maker-checker basis. With no carried candidates, the Excel trackers are used only to record the renewal advices already sent before go-live.</t>
        </is>
      </c>
      <c r="P243" s="40" t="n"/>
      <c r="Q243" s="12" t="inlineStr">
        <is>
          <t>DMQ38, DMQ37, DMQ33</t>
        </is>
      </c>
    </row>
  </sheetData>
  <autoFilter ref="A4:Q243"/>
  <mergeCells count="1">
    <mergeCell ref="A2:Q2"/>
  </mergeCells>
  <conditionalFormatting sqref="N5:N743">
    <cfRule type="cellIs" priority="4" operator="equal" dxfId="0" stopIfTrue="1">
      <formula>"Open"</formula>
    </cfRule>
    <cfRule type="cellIs" priority="5" operator="equal" dxfId="1" stopIfTrue="1">
      <formula>"Answered"</formula>
    </cfRule>
    <cfRule type="cellIs" priority="6" operator="equal" dxfId="1" stopIfTrue="1">
      <formula>"Closed"</formula>
    </cfRule>
  </conditionalFormatting>
  <conditionalFormatting sqref="A5:Q743">
    <cfRule type="expression" priority="7" dxfId="2">
      <formula>AND(MOD(ROW(),2)=0,$A5&lt;&gt;"")</formula>
    </cfRule>
  </conditionalFormatting>
  <conditionalFormatting sqref="H5:H743">
    <cfRule type="cellIs" priority="1" operator="equal" dxfId="3" stopIfTrue="1">
      <formula>"High"</formula>
    </cfRule>
    <cfRule type="cellIs" priority="2" operator="equal" dxfId="0" stopIfTrue="1">
      <formula>"Medium"</formula>
    </cfRule>
    <cfRule type="cellIs" priority="3" operator="equal" dxfId="4" stopIfTrue="1">
      <formula>"Low"</formula>
    </cfRule>
  </conditionalFormatting>
  <dataValidations count="4">
    <dataValidation sqref="C5:C743" showDropDown="0" showInputMessage="0" showErrorMessage="1" allowBlank="1" errorTitle="Drop" error="Choose a value from the list (Drop)." type="list">
      <formula1>'_lists'!$A$1:$A$5</formula1>
    </dataValidation>
    <dataValidation sqref="E5:E743" showDropDown="0" showInputMessage="0" showErrorMessage="1" allowBlank="1" errorTitle="Type" error="Choose a value from the list (Type)." type="list">
      <formula1>'_lists'!$B$1:$B$8</formula1>
    </dataValidation>
    <dataValidation sqref="H5:H743" showDropDown="0" showInputMessage="0" showErrorMessage="1" allowBlank="1" errorTitle="Severity" error="Choose a value from the list (Severity)." type="list">
      <formula1>'_lists'!$C$1:$C$3</formula1>
    </dataValidation>
    <dataValidation sqref="N5:N743" showDropDown="0" showInputMessage="0" showErrorMessage="1" allowBlank="1" errorTitle="Status" error="Choose a value from the list (Status)." type="list">
      <formula1>'_lists'!$D$1:$D$3</formula1>
    </dataValidation>
  </dataValidations>
  <printOptions horizontalCentered="1"/>
  <pageMargins left="0.4" right="0.4" top="0.6" bottom="0.6" header="0.5" footer="0.5"/>
  <pageSetup orientation="landscape" paperSize="8"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20" customWidth="1" min="3" max="3"/>
    <col width="62" customWidth="1" min="4" max="4"/>
    <col width="22" customWidth="1" min="5" max="5"/>
    <col width="14" customWidth="1" min="6" max="6"/>
    <col width="42" customWidth="1" min="7" max="7"/>
    <col width="13" customWidth="1" min="8" max="8"/>
    <col width="20" customWidth="1" min="9" max="9"/>
    <col width="16" customWidth="1" min="10" max="10"/>
  </cols>
  <sheetData>
    <row r="1" ht="24" customHeight="1">
      <c r="A1" s="20" t="inlineStr">
        <is>
          <t>Open questions</t>
        </is>
      </c>
    </row>
    <row r="2">
      <c r="A2" s="36" t="inlineStr">
        <is>
          <t>Every open question of the specs, with its status, the consolidated question and the register items.</t>
        </is>
      </c>
    </row>
    <row r="3" ht="6" customHeight="1">
      <c r="A3" s="23" t="n"/>
      <c r="B3" s="23" t="n"/>
      <c r="C3" s="23" t="n"/>
      <c r="D3" s="23" t="n"/>
      <c r="E3" s="23" t="n"/>
      <c r="F3" s="23" t="n"/>
      <c r="G3" s="23" t="n"/>
      <c r="H3" s="23" t="n"/>
      <c r="I3" s="23" t="n"/>
      <c r="J3" s="23" t="n"/>
    </row>
    <row r="4" ht="30" customHeight="1">
      <c r="A4" s="37" t="inlineStr">
        <is>
          <t>Question ID</t>
        </is>
      </c>
      <c r="B4" s="37" t="inlineStr">
        <is>
          <t>BRD</t>
        </is>
      </c>
      <c r="C4" s="37" t="inlineStr">
        <is>
          <t>Topic</t>
        </is>
      </c>
      <c r="D4" s="37" t="inlineStr">
        <is>
          <t>Question</t>
        </is>
      </c>
      <c r="E4" s="37" t="inlineStr">
        <is>
          <t>Source reference</t>
        </is>
      </c>
      <c r="F4" s="37" t="inlineStr">
        <is>
          <t>Status</t>
        </is>
      </c>
      <c r="G4" s="37" t="inlineStr">
        <is>
          <t>Answer so far (source)</t>
        </is>
      </c>
      <c r="H4" s="37" t="inlineStr">
        <is>
          <t>Consolidated under</t>
        </is>
      </c>
      <c r="I4" s="37" t="inlineStr">
        <is>
          <t>Same topic as</t>
        </is>
      </c>
      <c r="J4" s="37" t="inlineStr">
        <is>
          <t>Register items</t>
        </is>
      </c>
    </row>
    <row r="5" ht="54.4" customHeight="1">
      <c r="A5" s="12" t="inlineStr">
        <is>
          <t>CRQ01</t>
        </is>
      </c>
      <c r="B5" s="12" t="inlineStr">
        <is>
          <t>BRD-0 CORE</t>
        </is>
      </c>
      <c r="C5" s="12" t="inlineStr">
        <is>
          <t>BRD set and ownership</t>
        </is>
      </c>
      <c r="D5" s="12" t="inlineStr">
        <is>
          <t>The umbrella lists ten BRDs (p.3) and cites a "User &amp; Data Management" BRD (pp.38-41). Is it the umbrella over all twelve BRDs, the Data Migration BRD and the ReInsurance BRD? Who owns Data Management (capability 17)?</t>
        </is>
      </c>
      <c r="E5" s="12" t="inlineStr">
        <is>
          <t>CF-07, CORE-17</t>
        </is>
      </c>
      <c r="F5" s="32" t="inlineStr">
        <is>
          <t>Open</t>
        </is>
      </c>
      <c r="G5" s="12" t="inlineStr"/>
      <c r="H5" s="12" t="inlineStr"/>
      <c r="I5" s="12" t="inlineStr"/>
      <c r="J5" s="12" t="inlineStr">
        <is>
          <t>DCR-169, DCR-201</t>
        </is>
      </c>
    </row>
    <row r="6" ht="54.4" customHeight="1">
      <c r="A6" s="12" t="inlineStr">
        <is>
          <t>CRQ02</t>
        </is>
      </c>
      <c r="B6" s="12" t="inlineStr">
        <is>
          <t>BRD-0 CORE</t>
        </is>
      </c>
      <c r="C6" s="12" t="inlineStr">
        <is>
          <t>Non-Package Management</t>
        </is>
      </c>
      <c r="D6" s="12" t="inlineStr">
        <is>
          <t>Capability 4 (added 20-Nov-2025) has no BR ID and no traceability row. Please confirm it is the non-package placement of New Business (PRF, quotation slip, comparative table, proposal slip) and not the maintenance of non-package products (PQ19).</t>
        </is>
      </c>
      <c r="E6" s="12" t="inlineStr">
        <is>
          <t>CORE-04</t>
        </is>
      </c>
      <c r="F6" s="32" t="inlineStr">
        <is>
          <t>Open</t>
        </is>
      </c>
      <c r="G6" s="12" t="inlineStr"/>
      <c r="H6" s="12" t="inlineStr">
        <is>
          <t>PQ19</t>
        </is>
      </c>
      <c r="I6" s="12" t="inlineStr"/>
      <c r="J6" s="12" t="inlineStr">
        <is>
          <t>DCR-181</t>
        </is>
      </c>
    </row>
    <row r="7" ht="54.4" customHeight="1">
      <c r="A7" s="12" t="inlineStr">
        <is>
          <t>CRQ03</t>
        </is>
      </c>
      <c r="B7" s="12" t="inlineStr">
        <is>
          <t>BRD-0 CORE</t>
        </is>
      </c>
      <c r="C7" s="12" t="inlineStr">
        <is>
          <t>Claims cheques</t>
        </is>
      </c>
      <c r="D7" s="12" t="inlineStr">
        <is>
          <t>BR-146 to BR-148 ask for safekeeping of unclaimed cheques and hand-over to / retrieval from Cashiering. BRD-7 has no claim money through BDOI (CLQ10). Does BDOI hold settlement cheques? If yes, which unit keeps them, and what is recorded at hand-over and release?</t>
        </is>
      </c>
      <c r="E7" s="12" t="inlineStr">
        <is>
          <t>CORE-14.08-14.10</t>
        </is>
      </c>
      <c r="F7" s="32" t="inlineStr">
        <is>
          <t>Open</t>
        </is>
      </c>
      <c r="G7" s="12" t="inlineStr"/>
      <c r="H7" s="12" t="inlineStr">
        <is>
          <t>XQ13</t>
        </is>
      </c>
      <c r="I7" s="12" t="inlineStr"/>
      <c r="J7" s="12" t="inlineStr">
        <is>
          <t>DCR-164</t>
        </is>
      </c>
    </row>
    <row r="8" ht="29.2" customHeight="1">
      <c r="A8" s="12" t="inlineStr">
        <is>
          <t>CRQ04</t>
        </is>
      </c>
      <c r="B8" s="12" t="inlineStr">
        <is>
          <t>BRD-0 CORE</t>
        </is>
      </c>
      <c r="C8" s="12" t="inlineStr">
        <is>
          <t>CSF case management</t>
        </is>
      </c>
      <c r="D8" s="12" t="inlineStr">
        <is>
          <t>BR-165 asks for case resolution; BRD-9 e-mail item 10 keeps case logging in SharePoint. Which applies in phase 1?</t>
        </is>
      </c>
      <c r="E8" s="12" t="inlineStr">
        <is>
          <t>CORE-16.06</t>
        </is>
      </c>
      <c r="F8" s="32" t="inlineStr">
        <is>
          <t>Open</t>
        </is>
      </c>
      <c r="G8" s="12" t="inlineStr"/>
      <c r="H8" s="12" t="inlineStr">
        <is>
          <t>XQ12</t>
        </is>
      </c>
      <c r="I8" s="12" t="inlineStr"/>
      <c r="J8" s="12" t="inlineStr">
        <is>
          <t>DCR-163</t>
        </is>
      </c>
    </row>
    <row r="9" ht="41.8" customHeight="1">
      <c r="A9" s="12" t="inlineStr">
        <is>
          <t>CRQ05</t>
        </is>
      </c>
      <c r="B9" s="12" t="inlineStr">
        <is>
          <t>BRD-0 CORE</t>
        </is>
      </c>
      <c r="C9" s="12" t="inlineStr">
        <is>
          <t>Delete of prospect</t>
        </is>
      </c>
      <c r="D9" s="12" t="inlineStr">
        <is>
          <t>Is deactivation with a reason, followed by the retention purge, acceptable for "delete of prospect / record" (BR-008), or must a prospect be erased on request (for example under the Data Privacy Act)?</t>
        </is>
      </c>
      <c r="E9" s="12" t="inlineStr">
        <is>
          <t>CORE-01.04</t>
        </is>
      </c>
      <c r="F9" s="32" t="inlineStr">
        <is>
          <t>Open</t>
        </is>
      </c>
      <c r="G9" s="12" t="inlineStr"/>
      <c r="H9" s="12" t="inlineStr"/>
      <c r="I9" s="12" t="inlineStr"/>
      <c r="J9" s="12" t="inlineStr">
        <is>
          <t>DCR-182</t>
        </is>
      </c>
    </row>
    <row r="10" ht="41.8" customHeight="1">
      <c r="A10" s="12" t="inlineStr">
        <is>
          <t>CRQ06</t>
        </is>
      </c>
      <c r="B10" s="12" t="inlineStr">
        <is>
          <t>BRD-0 CORE</t>
        </is>
      </c>
      <c r="C10" s="12" t="inlineStr">
        <is>
          <t>Role dashboards</t>
        </is>
      </c>
      <c r="D10" s="12" t="inlineStr">
        <is>
          <t>Which figures does each role see on its home page (BR-125, 152, 160 say "to be defined")? Is one landing page per role expected, or the existing section homes?</t>
        </is>
      </c>
      <c r="E10" s="12" t="inlineStr">
        <is>
          <t>XC-02</t>
        </is>
      </c>
      <c r="F10" s="32" t="inlineStr">
        <is>
          <t>Open</t>
        </is>
      </c>
      <c r="G10" s="12" t="inlineStr"/>
      <c r="H10" s="12" t="inlineStr"/>
      <c r="I10" s="12" t="inlineStr"/>
      <c r="J10" s="12" t="inlineStr">
        <is>
          <t>DCR-178</t>
        </is>
      </c>
    </row>
    <row r="11" ht="41.8" customHeight="1">
      <c r="A11" s="12" t="inlineStr">
        <is>
          <t>CRQ07</t>
        </is>
      </c>
      <c r="B11" s="12" t="inlineStr">
        <is>
          <t>BRD-0 CORE</t>
        </is>
      </c>
      <c r="C11" s="12" t="inlineStr">
        <is>
          <t>Master data change log</t>
        </is>
      </c>
      <c r="D11" s="12" t="inlineStr">
        <is>
          <t>Which master data is in scope (users, products, insurers, LOVs, others)? Must the log show old and new values per field and the approver? Who views it?</t>
        </is>
      </c>
      <c r="E11" s="12" t="inlineStr">
        <is>
          <t>CORE-17.01</t>
        </is>
      </c>
      <c r="F11" s="32" t="inlineStr">
        <is>
          <t>Open</t>
        </is>
      </c>
      <c r="G11" s="12" t="inlineStr"/>
      <c r="H11" s="12" t="inlineStr"/>
      <c r="I11" s="12" t="inlineStr"/>
      <c r="J11" s="12" t="inlineStr">
        <is>
          <t>DCR-174</t>
        </is>
      </c>
    </row>
    <row r="12" ht="41.8" customHeight="1">
      <c r="A12" s="12" t="inlineStr">
        <is>
          <t>CRQ08</t>
        </is>
      </c>
      <c r="B12" s="12" t="inlineStr">
        <is>
          <t>BRD-0 CORE</t>
        </is>
      </c>
      <c r="C12" s="12" t="inlineStr">
        <is>
          <t>Insurer management</t>
        </is>
      </c>
      <c r="D12" s="12" t="inlineStr">
        <is>
          <t>What are "risk participation", "payment terms" and "remittance schedules" on the insurer record (BR-171)? Which unit maintains insurer records, and do changes need approval?</t>
        </is>
      </c>
      <c r="E12" s="12" t="inlineStr">
        <is>
          <t>CORE-17.02</t>
        </is>
      </c>
      <c r="F12" s="32" t="inlineStr">
        <is>
          <t>Open</t>
        </is>
      </c>
      <c r="G12" s="12" t="inlineStr"/>
      <c r="H12" s="12" t="inlineStr"/>
      <c r="I12" s="12" t="inlineStr"/>
      <c r="J12" s="12" t="inlineStr">
        <is>
          <t>DCR-176</t>
        </is>
      </c>
    </row>
    <row r="13" ht="29.2" customHeight="1">
      <c r="A13" s="12" t="inlineStr">
        <is>
          <t>CRQ09</t>
        </is>
      </c>
      <c r="B13" s="12" t="inlineStr">
        <is>
          <t>BRD-0 CORE</t>
        </is>
      </c>
      <c r="C13" s="12" t="inlineStr">
        <is>
          <t>MIS field definition</t>
        </is>
      </c>
      <c r="D13" s="12" t="inlineStr">
        <is>
          <t>Is BR-173 a fixed list of MIS fields per entity (as in its example) or a facility for users to add fields? Who maintains it?</t>
        </is>
      </c>
      <c r="E13" s="12" t="inlineStr">
        <is>
          <t>CORE-17.04</t>
        </is>
      </c>
      <c r="F13" s="32" t="inlineStr">
        <is>
          <t>Open</t>
        </is>
      </c>
      <c r="G13" s="12" t="inlineStr"/>
      <c r="H13" s="12" t="inlineStr"/>
      <c r="I13" s="12" t="inlineStr"/>
      <c r="J13" s="12" t="inlineStr">
        <is>
          <t>DCR-175, DCR-214</t>
        </is>
      </c>
    </row>
    <row r="14" ht="29.2" customHeight="1">
      <c r="A14" s="12" t="inlineStr">
        <is>
          <t>CRQ10</t>
        </is>
      </c>
      <c r="B14" s="12" t="inlineStr">
        <is>
          <t>BRD-0 CORE</t>
        </is>
      </c>
      <c r="C14" s="12" t="inlineStr">
        <is>
          <t>Emerging capabilities</t>
        </is>
      </c>
      <c r="D14" s="12" t="inlineStr">
        <is>
          <t>Capability 18 and BR-176 ("any other / additional system capabilities") cannot be tested. Please list the capabilities or withdraw the row.</t>
        </is>
      </c>
      <c r="E14" s="12" t="inlineStr">
        <is>
          <t>CORE-18.01</t>
        </is>
      </c>
      <c r="F14" s="32" t="inlineStr">
        <is>
          <t>Open</t>
        </is>
      </c>
      <c r="G14" s="12" t="inlineStr"/>
      <c r="H14" s="12" t="inlineStr"/>
      <c r="I14" s="12" t="inlineStr"/>
      <c r="J14" s="12" t="inlineStr">
        <is>
          <t>DCR-180</t>
        </is>
      </c>
    </row>
    <row r="15" ht="41.8" customHeight="1">
      <c r="A15" s="12" t="inlineStr">
        <is>
          <t>CRQ11</t>
        </is>
      </c>
      <c r="B15" s="12" t="inlineStr">
        <is>
          <t>BRD-0 CORE</t>
        </is>
      </c>
      <c r="C15" s="12" t="inlineStr">
        <is>
          <t>Report customisation and scheduling</t>
        </is>
      </c>
      <c r="D15" s="12" t="inlineStr">
        <is>
          <t>Which reports need user-chosen fields, charts and summaries? Who may schedule a report, how often, in which formats, and how is it delivered (e-mail, folder)? Is Word needed for all reports (EBQ21)?</t>
        </is>
      </c>
      <c r="E15" s="12" t="inlineStr">
        <is>
          <t>CORE-21.04, 21.05</t>
        </is>
      </c>
      <c r="F15" s="32" t="inlineStr">
        <is>
          <t>Open</t>
        </is>
      </c>
      <c r="G15" s="12" t="inlineStr"/>
      <c r="H15" s="12" t="inlineStr">
        <is>
          <t>Q40</t>
        </is>
      </c>
      <c r="I15" s="12" t="inlineStr"/>
      <c r="J15" s="12" t="inlineStr">
        <is>
          <t>DCR-177</t>
        </is>
      </c>
    </row>
    <row r="16" ht="41.8" customHeight="1">
      <c r="A16" s="12" t="inlineStr">
        <is>
          <t>CRQ12</t>
        </is>
      </c>
      <c r="B16" s="12" t="inlineStr">
        <is>
          <t>BRD-0 CORE</t>
        </is>
      </c>
      <c r="C16" s="12" t="inlineStr">
        <is>
          <t>SOA at booking</t>
        </is>
      </c>
      <c r="D16" s="12" t="inlineStr">
        <is>
          <t>Which SOA is generated with the placement report and Insurance Advice (BR-039) and with the insurer's service invoice at booking (BR-043): the client billing SOA or an insurer SOA?</t>
        </is>
      </c>
      <c r="E16" s="12" t="inlineStr">
        <is>
          <t>XC-10</t>
        </is>
      </c>
      <c r="F16" s="32" t="inlineStr">
        <is>
          <t>Open</t>
        </is>
      </c>
      <c r="G16" s="12" t="inlineStr"/>
      <c r="H16" s="12" t="inlineStr"/>
      <c r="I16" s="12" t="inlineStr"/>
      <c r="J16" s="12" t="inlineStr">
        <is>
          <t>DCR-171</t>
        </is>
      </c>
    </row>
    <row r="17" ht="41.8" customHeight="1">
      <c r="A17" s="12" t="inlineStr">
        <is>
          <t>CRQ13</t>
        </is>
      </c>
      <c r="B17" s="12" t="inlineStr">
        <is>
          <t>BRD-0 CORE</t>
        </is>
      </c>
      <c r="C17" s="12" t="inlineStr">
        <is>
          <t>Invoice Master List</t>
        </is>
      </c>
      <c r="D17" s="12" t="inlineStr">
        <is>
          <t>Is the Invoice Master List (BR-175) the Operations invoice ledger? Please confirm the columns (cover number, version number, assignees, placement status, approval dates) and the owner.</t>
        </is>
      </c>
      <c r="E17" s="12" t="inlineStr">
        <is>
          <t>XC-13</t>
        </is>
      </c>
      <c r="F17" s="32" t="inlineStr">
        <is>
          <t>Open</t>
        </is>
      </c>
      <c r="G17" s="12" t="inlineStr"/>
      <c r="H17" s="12" t="inlineStr"/>
      <c r="I17" s="12" t="inlineStr"/>
      <c r="J17" s="12" t="inlineStr">
        <is>
          <t>DCR-179</t>
        </is>
      </c>
    </row>
    <row r="18" ht="29.2" customHeight="1">
      <c r="A18" s="12" t="inlineStr">
        <is>
          <t>CRQ14</t>
        </is>
      </c>
      <c r="B18" s="12" t="inlineStr">
        <is>
          <t>BRD-0 CORE</t>
        </is>
      </c>
      <c r="C18" s="12" t="inlineStr">
        <is>
          <t>Letter names</t>
        </is>
      </c>
      <c r="D18" s="12" t="inlineStr">
        <is>
          <t>The umbrella writes "Non-Renewal Letter (NRL)", BRD-6 "Not for Renewal Letter (NFR)". Which name is printed on the letter?</t>
        </is>
      </c>
      <c r="E18" s="12" t="inlineStr">
        <is>
          <t>CORE-06.07</t>
        </is>
      </c>
      <c r="F18" s="32" t="inlineStr">
        <is>
          <t>Open</t>
        </is>
      </c>
      <c r="G18" s="12" t="inlineStr"/>
      <c r="H18" s="12" t="inlineStr"/>
      <c r="I18" s="12" t="inlineStr"/>
      <c r="J18" s="12" t="inlineStr">
        <is>
          <t>DCR-168</t>
        </is>
      </c>
    </row>
    <row r="19" ht="29.2" customHeight="1">
      <c r="A19" s="12" t="inlineStr">
        <is>
          <t>CRQ15</t>
        </is>
      </c>
      <c r="B19" s="12" t="inlineStr">
        <is>
          <t>BRD-0 CORE</t>
        </is>
      </c>
      <c r="C19" s="12" t="inlineStr">
        <is>
          <t>Bank account operations</t>
        </is>
      </c>
      <c r="D19" s="12" t="inlineStr">
        <is>
          <t>What does "Bank Account Operations" (p.9) cover beyond the account funding and bank instruments of BRD-5?</t>
        </is>
      </c>
      <c r="E19" s="12" t="inlineStr">
        <is>
          <t>CORE-08.21</t>
        </is>
      </c>
      <c r="F19" s="32" t="inlineStr">
        <is>
          <t>Open</t>
        </is>
      </c>
      <c r="G19" s="12" t="inlineStr"/>
      <c r="H19" s="12" t="inlineStr"/>
      <c r="I19" s="12" t="inlineStr"/>
      <c r="J19" s="12" t="inlineStr"/>
    </row>
    <row r="20" ht="29.2" customHeight="1">
      <c r="A20" s="12" t="inlineStr">
        <is>
          <t>CRQ16</t>
        </is>
      </c>
      <c r="B20" s="12" t="inlineStr">
        <is>
          <t>BRD-0 CORE</t>
        </is>
      </c>
      <c r="C20" s="12" t="inlineStr">
        <is>
          <t>CSF resend</t>
        </is>
      </c>
      <c r="D20" s="12" t="inlineStr">
        <is>
          <t>Must CSF agents also resend e-policies (BR-164), or only RAs (BRCSF-006)?</t>
        </is>
      </c>
      <c r="E20" s="12" t="inlineStr">
        <is>
          <t>CORE-16.04</t>
        </is>
      </c>
      <c r="F20" s="32" t="inlineStr">
        <is>
          <t>Open</t>
        </is>
      </c>
      <c r="G20" s="12" t="inlineStr"/>
      <c r="H20" s="12" t="inlineStr"/>
      <c r="I20" s="12" t="inlineStr"/>
      <c r="J20" s="12" t="inlineStr">
        <is>
          <t>DCR-172</t>
        </is>
      </c>
    </row>
    <row r="21" ht="29.2" customHeight="1">
      <c r="A21" s="12" t="inlineStr">
        <is>
          <t>CRQ17</t>
        </is>
      </c>
      <c r="B21" s="12" t="inlineStr">
        <is>
          <t>BRD-0 CORE</t>
        </is>
      </c>
      <c r="C21" s="12" t="inlineStr">
        <is>
          <t>BDO design assets</t>
        </is>
      </c>
      <c r="D21" s="12" t="inlineStr">
        <is>
          <t>Please supply the BDO icon and illustration set and the design system or Figma files (BR-179, 180, 183).</t>
        </is>
      </c>
      <c r="E21" s="12" t="inlineStr">
        <is>
          <t>XC-14</t>
        </is>
      </c>
      <c r="F21" s="32" t="inlineStr">
        <is>
          <t>Open</t>
        </is>
      </c>
      <c r="G21" s="12" t="inlineStr"/>
      <c r="H21" s="12" t="inlineStr"/>
      <c r="I21" s="12" t="inlineStr"/>
      <c r="J21" s="12" t="inlineStr">
        <is>
          <t>DCR-187</t>
        </is>
      </c>
    </row>
    <row r="22" ht="41.8" customHeight="1">
      <c r="A22" s="12" t="inlineStr">
        <is>
          <t>CRQ18</t>
        </is>
      </c>
      <c r="B22" s="12" t="inlineStr">
        <is>
          <t>BRD-0 CORE</t>
        </is>
      </c>
      <c r="C22" s="12" t="inlineStr">
        <is>
          <t>Insurer invoice delivery</t>
        </is>
      </c>
      <c r="D22" s="12" t="inlineStr">
        <is>
          <t>For "Invoice Batch Printing" (p.43): what is the batch file (one PDF per insurer, a ZIP, a manifest), the SFTP endpoint per insurer, and does it replace the e-mail of each service invoice?</t>
        </is>
      </c>
      <c r="E22" s="12" t="inlineStr">
        <is>
          <t>XC-19</t>
        </is>
      </c>
      <c r="F22" s="32" t="inlineStr">
        <is>
          <t>Open</t>
        </is>
      </c>
      <c r="G22" s="12" t="inlineStr"/>
      <c r="H22" s="12" t="inlineStr"/>
      <c r="I22" s="12" t="inlineStr"/>
      <c r="J22" s="12" t="inlineStr">
        <is>
          <t>DCR-184</t>
        </is>
      </c>
    </row>
    <row r="23" ht="54.4" customHeight="1">
      <c r="A23" s="12" t="inlineStr">
        <is>
          <t>CRQ19</t>
        </is>
      </c>
      <c r="B23" s="12" t="inlineStr">
        <is>
          <t>BRD-0 CORE</t>
        </is>
      </c>
      <c r="C23" s="12" t="inlineStr">
        <is>
          <t>Client migration and feeds</t>
        </is>
      </c>
      <c r="D23" s="12" t="inlineStr">
        <is>
          <t>"One-time migration from Broker and source, 2020 to present" and the daily midday and EOD client batches (p.43): which source system, and for how long do the daily batches run? How does this fit the selective migration of the Data Migration BRD?</t>
        </is>
      </c>
      <c r="E23" s="12" t="inlineStr">
        <is>
          <t>XC-20, CF-11</t>
        </is>
      </c>
      <c r="F23" s="32" t="inlineStr">
        <is>
          <t>Open</t>
        </is>
      </c>
      <c r="G23" s="12" t="inlineStr"/>
      <c r="H23" s="12" t="inlineStr">
        <is>
          <t>DMQ05</t>
        </is>
      </c>
      <c r="I23" s="12" t="inlineStr"/>
      <c r="J23" s="12" t="inlineStr">
        <is>
          <t>DCR-173</t>
        </is>
      </c>
    </row>
    <row r="24" ht="16.6" customHeight="1">
      <c r="A24" s="12" t="inlineStr">
        <is>
          <t>CRQ20</t>
        </is>
      </c>
      <c r="B24" s="12" t="inlineStr">
        <is>
          <t>BRD-0 CORE</t>
        </is>
      </c>
      <c r="C24" s="12" t="inlineStr">
        <is>
          <t>ALeA</t>
        </is>
      </c>
      <c r="D24" s="12" t="inlineStr">
        <is>
          <t>What is ALeA, and what is "e-mail address encoding" (p.43)?</t>
        </is>
      </c>
      <c r="E24" s="12" t="inlineStr">
        <is>
          <t>XC-21</t>
        </is>
      </c>
      <c r="F24" s="32" t="inlineStr">
        <is>
          <t>Open</t>
        </is>
      </c>
      <c r="G24" s="12" t="inlineStr"/>
      <c r="H24" s="12" t="inlineStr"/>
      <c r="I24" s="12" t="inlineStr"/>
      <c r="J24" s="12" t="inlineStr">
        <is>
          <t>DCR-185</t>
        </is>
      </c>
    </row>
    <row r="25" ht="41.8" customHeight="1">
      <c r="A25" s="12" t="inlineStr">
        <is>
          <t>CRQ21</t>
        </is>
      </c>
      <c r="B25" s="12" t="inlineStr">
        <is>
          <t>BRD-0 CORE</t>
        </is>
      </c>
      <c r="C25" s="12" t="inlineStr">
        <is>
          <t>Response time and sizing</t>
        </is>
      </c>
      <c r="D25" s="12" t="inlineStr">
        <is>
          <t>Response under 5 seconds for every role (p.42) differs from nine BRDs; 429 concurrent users is the sum of the BRD rows. Which values govern the performance tests?</t>
        </is>
      </c>
      <c r="E25" s="12" t="inlineStr">
        <is>
          <t>CF-03, CF-04</t>
        </is>
      </c>
      <c r="F25" s="32" t="inlineStr">
        <is>
          <t>Open</t>
        </is>
      </c>
      <c r="G25" s="12" t="inlineStr"/>
      <c r="H25" s="12" t="inlineStr">
        <is>
          <t>XQ08</t>
        </is>
      </c>
      <c r="I25" s="12" t="inlineStr"/>
      <c r="J25" s="12" t="inlineStr">
        <is>
          <t>DCR-165, DCR-166</t>
        </is>
      </c>
    </row>
    <row r="26" ht="54.4" customHeight="1">
      <c r="A26" s="12" t="inlineStr">
        <is>
          <t>CRQ22</t>
        </is>
      </c>
      <c r="B26" s="12" t="inlineStr">
        <is>
          <t>BRD-0 CORE</t>
        </is>
      </c>
      <c r="C26" s="12" t="inlineStr">
        <is>
          <t>Retention and backup</t>
        </is>
      </c>
      <c r="D26" s="12" t="inlineStr">
        <is>
          <t>Do the umbrella values (5 / 15 years, backup every 4 hours kept 5 years) replace the BRD-specific ones (BRD-7 10 years online; BRD-5, 10, 12 five years archive; BRD-9 backup every 15 minutes; BRD-2 and BRD-8 backup kept 7 years)?</t>
        </is>
      </c>
      <c r="E26" s="12" t="inlineStr">
        <is>
          <t>CF-05</t>
        </is>
      </c>
      <c r="F26" s="32" t="inlineStr">
        <is>
          <t>Open</t>
        </is>
      </c>
      <c r="G26" s="12" t="inlineStr"/>
      <c r="H26" s="12" t="inlineStr">
        <is>
          <t>XQ08</t>
        </is>
      </c>
      <c r="I26" s="12" t="inlineStr"/>
      <c r="J26" s="12" t="inlineStr">
        <is>
          <t>DCR-167, DCR-209</t>
        </is>
      </c>
    </row>
    <row r="27" ht="41.8" customHeight="1">
      <c r="A27" s="12" t="inlineStr">
        <is>
          <t>CRQ23</t>
        </is>
      </c>
      <c r="B27" s="12" t="inlineStr">
        <is>
          <t>BRD-0 CORE</t>
        </is>
      </c>
      <c r="C27" s="12" t="inlineStr">
        <is>
          <t>Traceability workbook</t>
        </is>
      </c>
      <c r="D27" s="12" t="inlineStr">
        <is>
          <t>Please send "E2E BDOI Mapping.xlsx" (p.30) and confirm that the final IDs of each BRD (BRPM, BRRN, BRCLXN, BRCLM, BRCSF) govern where the umbrella cites earlier ones.</t>
        </is>
      </c>
      <c r="E27" s="12" t="inlineStr">
        <is>
          <t>CF-08, §10</t>
        </is>
      </c>
      <c r="F27" s="32" t="inlineStr">
        <is>
          <t>Open</t>
        </is>
      </c>
      <c r="G27" s="12" t="inlineStr"/>
      <c r="H27" s="12" t="inlineStr"/>
      <c r="I27" s="12" t="inlineStr"/>
      <c r="J27" s="12" t="inlineStr">
        <is>
          <t>DCR-170</t>
        </is>
      </c>
    </row>
    <row r="28" ht="41.8" customHeight="1">
      <c r="A28" s="12" t="inlineStr">
        <is>
          <t>CRQ24</t>
        </is>
      </c>
      <c r="B28" s="12" t="inlineStr">
        <is>
          <t>BRD-0 CORE</t>
        </is>
      </c>
      <c r="C28" s="12" t="inlineStr">
        <is>
          <t>User counts</t>
        </is>
      </c>
      <c r="D28" s="12" t="inlineStr">
        <is>
          <t>Employee Benefits 13 / 13 (umbrella) or 20 internal users (BRD-8)? Claims 67 / 26 or 47 / 25 (BRD-7)? Product Maintenance 13 / 13 or TSU 13 plus MBS 5?</t>
        </is>
      </c>
      <c r="E28" s="12" t="inlineStr">
        <is>
          <t>CF-04</t>
        </is>
      </c>
      <c r="F28" s="32" t="inlineStr">
        <is>
          <t>Open</t>
        </is>
      </c>
      <c r="G28" s="12" t="inlineStr"/>
      <c r="H28" s="12" t="inlineStr">
        <is>
          <t>XQ08</t>
        </is>
      </c>
      <c r="I28" s="12" t="inlineStr"/>
      <c r="J28" s="12" t="inlineStr">
        <is>
          <t>DCR-166</t>
        </is>
      </c>
    </row>
    <row r="29" ht="54.4" customHeight="1">
      <c r="A29" s="12" t="inlineStr">
        <is>
          <t>CRQ25</t>
        </is>
      </c>
      <c r="B29" s="12" t="inlineStr">
        <is>
          <t>BRD-0 CORE</t>
        </is>
      </c>
      <c r="C29" s="12" t="inlineStr">
        <is>
          <t>Approval of the umbrella</t>
        </is>
      </c>
      <c r="D29" s="12" t="inlineStr">
        <is>
          <t>The Product Owner for FRBS and ACSL is marked "On Mandatory Leave" without a signature; the Analytics and Risk Management head marks "sign-off not applicable"; four approvals are by e-mail only (pp.46-48). Is the document approved?</t>
        </is>
      </c>
      <c r="E29" s="12" t="inlineStr">
        <is>
          <t>§14</t>
        </is>
      </c>
      <c r="F29" s="32" t="inlineStr">
        <is>
          <t>Open</t>
        </is>
      </c>
      <c r="G29" s="12" t="inlineStr"/>
      <c r="H29" s="12" t="inlineStr"/>
      <c r="I29" s="12" t="inlineStr"/>
      <c r="J29" s="12" t="inlineStr">
        <is>
          <t>DCR-186</t>
        </is>
      </c>
    </row>
    <row r="30" ht="67" customHeight="1">
      <c r="A30" s="12" t="inlineStr">
        <is>
          <t>Q01</t>
        </is>
      </c>
      <c r="B30" s="12" t="inlineStr">
        <is>
          <t>BRD-1 NB</t>
        </is>
      </c>
      <c r="C30" s="12" t="inlineStr">
        <is>
          <t>Product master</t>
        </is>
      </c>
      <c r="D30" s="12" t="inlineStr">
        <is>
          <t>Please share the product matrix files (MTR08..MTR38, PAR01..PAR25, other risk codes) referenced in Appendix B; the SharePoint link is internal to BDO.</t>
        </is>
      </c>
      <c r="E30" s="12" t="inlineStr">
        <is>
          <t>BRNB.001-003, 093</t>
        </is>
      </c>
      <c r="F30" s="32" t="inlineStr">
        <is>
          <t>Partially answered</t>
        </is>
      </c>
      <c r="G30" s="12" t="inlineStr">
        <is>
          <t>The products matrix is maintained in BIBS by MBS / TSU with the hierarchy LOB, subline / type / subtype, coverage / peril. The MTR / PAR matrix files are still not provided. (BRD-3 p.12, PMADD01-02)</t>
        </is>
      </c>
      <c r="H30" s="12" t="inlineStr"/>
      <c r="I30" s="12" t="inlineStr"/>
      <c r="J30" s="12" t="inlineStr"/>
    </row>
    <row r="31" ht="41.8" customHeight="1">
      <c r="A31" s="12" t="inlineStr">
        <is>
          <t>Q02</t>
        </is>
      </c>
      <c r="B31" s="12" t="inlineStr">
        <is>
          <t>BRD-1 NB</t>
        </is>
      </c>
      <c r="C31" s="12" t="inlineStr">
        <is>
          <t>Product master</t>
        </is>
      </c>
      <c r="D31" s="12" t="inlineStr">
        <is>
          <t>Minimum mandatory fields per product line / cover type (Annex II: Property, Motor, Engineering, Liability, Crime, Floater, Marine, Hull, Aviation, PA, EEI, Misc.).</t>
        </is>
      </c>
      <c r="E31" s="12" t="inlineStr">
        <is>
          <t>BRNB.002, 003, 093</t>
        </is>
      </c>
      <c r="F31" s="32" t="inlineStr">
        <is>
          <t>Open</t>
        </is>
      </c>
      <c r="G31" s="12" t="inlineStr"/>
      <c r="H31" s="12" t="inlineStr"/>
      <c r="I31" s="12" t="inlineStr"/>
      <c r="J31" s="12" t="inlineStr"/>
    </row>
    <row r="32" ht="41.8" customHeight="1">
      <c r="A32" s="12" t="inlineStr">
        <is>
          <t>Q03</t>
        </is>
      </c>
      <c r="B32" s="12" t="inlineStr">
        <is>
          <t>BRD-1 NB</t>
        </is>
      </c>
      <c r="C32" s="12" t="inlineStr">
        <is>
          <t>Templates</t>
        </is>
      </c>
      <c r="D32" s="12" t="inlineStr">
        <is>
          <t>Sample layouts for IDF, FFYMI quotation, Quotation Slip, Proposal Slip, Comparative Table, Placement Slip, Hold Cover request, Insurance Advice, Service Invoice.</t>
        </is>
      </c>
      <c r="E32" s="12" t="inlineStr">
        <is>
          <t>BRNB.004, 008, 017, 069, 070, 100</t>
        </is>
      </c>
      <c r="F32" s="32" t="inlineStr">
        <is>
          <t>Open</t>
        </is>
      </c>
      <c r="G32" s="12" t="inlineStr"/>
      <c r="H32" s="12" t="inlineStr"/>
      <c r="I32" s="12" t="inlineStr">
        <is>
          <t>RQ26, EBQ08</t>
        </is>
      </c>
      <c r="J32" s="12" t="inlineStr"/>
    </row>
    <row r="33" ht="41.8" customHeight="1">
      <c r="A33" s="12" t="inlineStr">
        <is>
          <t>Q04</t>
        </is>
      </c>
      <c r="B33" s="12" t="inlineStr">
        <is>
          <t>BRD-1 NB</t>
        </is>
      </c>
      <c r="C33" s="12" t="inlineStr">
        <is>
          <t>TSU routing</t>
        </is>
      </c>
      <c r="D33" s="12" t="inlineStr">
        <is>
          <t>Exact TSU involvement criteria: package vs non-package list, fleet threshold (no. of units), multi-location threshold, TSI threshold, endorsement types.</t>
        </is>
      </c>
      <c r="E33" s="12" t="inlineStr">
        <is>
          <t>BRNB.098</t>
        </is>
      </c>
      <c r="F33" s="32" t="inlineStr">
        <is>
          <t>Open</t>
        </is>
      </c>
      <c r="G33" s="12" t="inlineStr"/>
      <c r="H33" s="12" t="inlineStr"/>
      <c r="I33" s="12" t="inlineStr"/>
      <c r="J33" s="12" t="inlineStr">
        <is>
          <t>DCR-131</t>
        </is>
      </c>
    </row>
    <row r="34" ht="54.4" customHeight="1">
      <c r="A34" s="12" t="inlineStr">
        <is>
          <t>Q05</t>
        </is>
      </c>
      <c r="B34" s="12" t="inlineStr">
        <is>
          <t>BRD-1 NB</t>
        </is>
      </c>
      <c r="C34" s="12" t="inlineStr">
        <is>
          <t>Approvals</t>
        </is>
      </c>
      <c r="D34" s="12" t="inlineStr">
        <is>
          <t>Approval chain and limits for PRF (Marketing TL / TH / UH) and QS (TSU) - by amount, product or segment?</t>
        </is>
      </c>
      <c r="E34" s="12" t="inlineStr">
        <is>
          <t>BRNB.005, 014</t>
        </is>
      </c>
      <c r="F34" s="32" t="inlineStr">
        <is>
          <t>Partially answered</t>
        </is>
      </c>
      <c r="G34" s="12" t="inlineStr">
        <is>
          <t>Package requests: approved by the Marketing TL, TH or UH; TSU TL recommends, TH approves; ManCom sign-off. No amount limits. (BRD-3 BRPM.008 / 009 / 012 / 015, PMADD06)</t>
        </is>
      </c>
      <c r="H34" s="12" t="inlineStr"/>
      <c r="I34" s="12" t="inlineStr">
        <is>
          <t>PQ08</t>
        </is>
      </c>
      <c r="J34" s="12" t="inlineStr"/>
    </row>
    <row r="35" ht="41.8" customHeight="1">
      <c r="A35" s="12" t="inlineStr">
        <is>
          <t>Q06</t>
        </is>
      </c>
      <c r="B35" s="12" t="inlineStr">
        <is>
          <t>BRD-1 NB</t>
        </is>
      </c>
      <c r="C35" s="12" t="inlineStr">
        <is>
          <t>Insurer channel</t>
        </is>
      </c>
      <c r="D35" s="12" t="inlineStr">
        <is>
          <t>How are insurers reached per insurer: e-mail only, SFTP, or insurer API? List of panel insurers and branch codes (LGT depends on insurer branch).</t>
        </is>
      </c>
      <c r="E35" s="12" t="inlineStr">
        <is>
          <t>BRNB.008, 071</t>
        </is>
      </c>
      <c r="F35" s="32" t="inlineStr">
        <is>
          <t>Partially answered</t>
        </is>
      </c>
      <c r="G35" s="12" t="inlineStr">
        <is>
          <t>For EB, insurers use a secure portal or API. Other lines: still e-mail. (BRD-8 BRID-005, 005.01-005.02, 009)</t>
        </is>
      </c>
      <c r="H35" s="12" t="inlineStr"/>
      <c r="I35" s="12" t="inlineStr">
        <is>
          <t>OQ29, Q31</t>
        </is>
      </c>
      <c r="J35" s="12" t="inlineStr">
        <is>
          <t>DCR-096, DCR-211</t>
        </is>
      </c>
    </row>
    <row r="36" ht="54.4" customHeight="1">
      <c r="A36" s="12" t="inlineStr">
        <is>
          <t>Q07</t>
        </is>
      </c>
      <c r="B36" s="12" t="inlineStr">
        <is>
          <t>BRD-1 NB</t>
        </is>
      </c>
      <c r="C36" s="12" t="inlineStr">
        <is>
          <t>Encryption</t>
        </is>
      </c>
      <c r="D36" s="12" t="inlineStr">
        <is>
          <t>Password convention for outbound documents (standard vs generated syntax, e.g. surname + birth date); which documents to clients vs insurers.</t>
        </is>
      </c>
      <c r="E36" s="12" t="inlineStr">
        <is>
          <t>BRNB.013, 035, 077</t>
        </is>
      </c>
      <c r="F36" s="32" t="inlineStr">
        <is>
          <t>Partially answered</t>
        </is>
      </c>
      <c r="G36" s="12" t="inlineStr">
        <is>
          <t>Standard assigned password or system-generated with a defined syntax, sent separately. The convention itself is still missing. (BRD-8 BRID-007)</t>
        </is>
      </c>
      <c r="H36" s="12" t="inlineStr"/>
      <c r="I36" s="12" t="inlineStr">
        <is>
          <t>EBQ09, PQ21, CSQ06, RQ16</t>
        </is>
      </c>
      <c r="J36" s="12" t="inlineStr">
        <is>
          <t>DCR-072, DCR-153</t>
        </is>
      </c>
    </row>
    <row r="37" ht="79.59999999999999" customHeight="1">
      <c r="A37" s="12" t="inlineStr">
        <is>
          <t>Q08</t>
        </is>
      </c>
      <c r="B37" s="12" t="inlineStr">
        <is>
          <t>BRD-1 NB</t>
        </is>
      </c>
      <c r="C37" s="12" t="inlineStr">
        <is>
          <t>Integration</t>
        </is>
      </c>
      <c r="D37" s="12" t="inlineStr">
        <is>
          <t>Which 'BDOI systems' must receive NB data (core/accounting, CRM, GRF/ARF, data warehouse) and preferred interface (file vs API).</t>
        </is>
      </c>
      <c r="E37" s="12" t="inlineStr">
        <is>
          <t>BRNB.015, 096</t>
        </is>
      </c>
      <c r="F37" s="32" t="inlineStr">
        <is>
          <t>Partially answered</t>
        </is>
      </c>
      <c r="G37" s="12" t="inlineStr">
        <is>
          <t>QPS and EBIX receive client contact updates during coexistence (BRD-9); BRD-13 makes legacy read-only after cutover with no feed required (conflict DCR-202). Accounting is internal to BIBS. Other targets open. (BRD-9 p.3 footnote 3; BRD-5 FRBS 2.5.0; BRD-13 p.5)</t>
        </is>
      </c>
      <c r="H37" s="12" t="inlineStr"/>
      <c r="I37" s="12" t="inlineStr">
        <is>
          <t>PQ16</t>
        </is>
      </c>
      <c r="J37" s="12" t="inlineStr">
        <is>
          <t>DCR-104, DCR-202</t>
        </is>
      </c>
    </row>
    <row r="38" ht="29.2" customHeight="1">
      <c r="A38" s="12" t="inlineStr">
        <is>
          <t>Q09</t>
        </is>
      </c>
      <c r="B38" s="12" t="inlineStr">
        <is>
          <t>BRD-1 NB</t>
        </is>
      </c>
      <c r="C38" s="12" t="inlineStr">
        <is>
          <t>Renewals</t>
        </is>
      </c>
      <c r="D38" s="12" t="inlineStr">
        <is>
          <t>Late Renewal Requests Report is renewal-related - confirm it stays in NB scope or moves to the Renewal BRD.</t>
        </is>
      </c>
      <c r="E38" s="12" t="inlineStr">
        <is>
          <t>BRNB.018</t>
        </is>
      </c>
      <c r="F38" s="32" t="inlineStr">
        <is>
          <t>Open</t>
        </is>
      </c>
      <c r="G38" s="12" t="inlineStr"/>
      <c r="H38" s="12" t="inlineStr">
        <is>
          <t>XQ09</t>
        </is>
      </c>
      <c r="I38" s="12" t="inlineStr"/>
      <c r="J38" s="12" t="inlineStr">
        <is>
          <t>DCR-009</t>
        </is>
      </c>
    </row>
    <row r="39" ht="54.4" customHeight="1">
      <c r="A39" s="12" t="inlineStr">
        <is>
          <t>Q10</t>
        </is>
      </c>
      <c r="B39" s="12" t="inlineStr">
        <is>
          <t>BRD-1 NB</t>
        </is>
      </c>
      <c r="C39" s="12" t="inlineStr">
        <is>
          <t>Workflow</t>
        </is>
      </c>
      <c r="D39" s="12" t="inlineStr">
        <is>
          <t>Confirm the master list of stages and statuses and allowed transitions per transaction type (NB individual, NB bulk, non-package, direct booking, endorsement).</t>
        </is>
      </c>
      <c r="E39" s="12" t="inlineStr">
        <is>
          <t>BRNB.022, 115</t>
        </is>
      </c>
      <c r="F39" s="32" t="inlineStr">
        <is>
          <t>Partially answered</t>
        </is>
      </c>
      <c r="G39" s="12" t="inlineStr">
        <is>
          <t>Renewal stages and statuses, and package negotiation outcomes. Counter mapping still to confirm. (BRD-6 personas, tabs, counters, BRRN.040; BRD-3 PMADD04)</t>
        </is>
      </c>
      <c r="H39" s="12" t="inlineStr"/>
      <c r="I39" s="12" t="inlineStr">
        <is>
          <t>RQ10</t>
        </is>
      </c>
      <c r="J39" s="12" t="inlineStr">
        <is>
          <t>DCR-070</t>
        </is>
      </c>
    </row>
    <row r="40" ht="54.4" customHeight="1">
      <c r="A40" s="12" t="inlineStr">
        <is>
          <t>Q11</t>
        </is>
      </c>
      <c r="B40" s="12" t="inlineStr">
        <is>
          <t>BRD-1 NB</t>
        </is>
      </c>
      <c r="C40" s="12" t="inlineStr">
        <is>
          <t>HLS</t>
        </is>
      </c>
      <c r="D40" s="12" t="inlineStr">
        <is>
          <t>HLS interface specification (format, fields, frequency, transport, source authentication) and other source systems for bulk (e.g. auto loans for FFYMI).</t>
        </is>
      </c>
      <c r="E40" s="12" t="inlineStr">
        <is>
          <t>BRNB.023, 028</t>
        </is>
      </c>
      <c r="F40" s="32" t="inlineStr">
        <is>
          <t>Partially answered</t>
        </is>
      </c>
      <c r="G40" s="12" t="inlineStr">
        <is>
          <t>Sources named (LFS, HLS, CIU, SPI, LAMD, Loan Booking Report, IA masterlist), all Excel. Layouts and transport open. (BRD-12 p.4-5; Report List #138, #151)</t>
        </is>
      </c>
      <c r="H40" s="12" t="inlineStr"/>
      <c r="I40" s="12" t="inlineStr">
        <is>
          <t>SP-SQ01</t>
        </is>
      </c>
      <c r="J40" s="12" t="inlineStr">
        <is>
          <t>DCR-216</t>
        </is>
      </c>
    </row>
    <row r="41" ht="29.2" customHeight="1">
      <c r="A41" s="12" t="inlineStr">
        <is>
          <t>Q12</t>
        </is>
      </c>
      <c r="B41" s="12" t="inlineStr">
        <is>
          <t>BRD-1 NB</t>
        </is>
      </c>
      <c r="C41" s="12" t="inlineStr">
        <is>
          <t>E-mail intake</t>
        </is>
      </c>
      <c r="D41" s="12" t="inlineStr">
        <is>
          <t>Should the system read a shared mailbox for quotation requests automatically, or is manual capture with the e-mail attached sufficient?</t>
        </is>
      </c>
      <c r="E41" s="12" t="inlineStr">
        <is>
          <t>BRNB.041</t>
        </is>
      </c>
      <c r="F41" s="32" t="inlineStr">
        <is>
          <t>Open</t>
        </is>
      </c>
      <c r="G41" s="12" t="inlineStr"/>
      <c r="H41" s="12" t="inlineStr"/>
      <c r="I41" s="12" t="inlineStr"/>
      <c r="J41" s="12" t="inlineStr"/>
    </row>
    <row r="42" ht="41.8" customHeight="1">
      <c r="A42" s="12" t="inlineStr">
        <is>
          <t>Q13</t>
        </is>
      </c>
      <c r="B42" s="12" t="inlineStr">
        <is>
          <t>BRD-1 NB</t>
        </is>
      </c>
      <c r="C42" s="12" t="inlineStr">
        <is>
          <t>Client code</t>
        </is>
      </c>
      <c r="D42" s="12" t="inlineStr">
        <is>
          <t>BRNB.029 requires a client code for every quotation; BRNB.063 allows quotation without client code. Confirm: auto-create prospect code at quotation?</t>
        </is>
      </c>
      <c r="E42" s="12" t="inlineStr">
        <is>
          <t>BRNB.029, 063</t>
        </is>
      </c>
      <c r="F42" s="32" t="inlineStr">
        <is>
          <t>Open</t>
        </is>
      </c>
      <c r="G42" s="12" t="inlineStr"/>
      <c r="H42" s="12" t="inlineStr"/>
      <c r="I42" s="12" t="inlineStr"/>
      <c r="J42" s="12" t="inlineStr">
        <is>
          <t>DCR-001</t>
        </is>
      </c>
    </row>
    <row r="43" ht="41.8" customHeight="1">
      <c r="A43" s="12" t="inlineStr">
        <is>
          <t>Q14</t>
        </is>
      </c>
      <c r="B43" s="12" t="inlineStr">
        <is>
          <t>BRD-1 NB</t>
        </is>
      </c>
      <c r="C43" s="12" t="inlineStr">
        <is>
          <t>Sanitation</t>
        </is>
      </c>
      <c r="D43" s="12" t="inlineStr">
        <is>
          <t>Defined sanitisation criteria for bulk lists.</t>
        </is>
      </c>
      <c r="E43" s="12" t="inlineStr">
        <is>
          <t>BRNB.064</t>
        </is>
      </c>
      <c r="F43" s="32" t="inlineStr">
        <is>
          <t>Partially answered</t>
        </is>
      </c>
      <c r="G43" s="12" t="inlineStr">
        <is>
          <t>Renewal sanitation is rule-based (criteria not listed); submitted-policy criteria listed. (BRD-6 BRRN.020; BRD-12, Report List #151)</t>
        </is>
      </c>
      <c r="H43" s="12" t="inlineStr"/>
      <c r="I43" s="12" t="inlineStr">
        <is>
          <t>RQ01</t>
        </is>
      </c>
      <c r="J43" s="12" t="inlineStr"/>
    </row>
    <row r="44" ht="29.2" customHeight="1">
      <c r="A44" s="12" t="inlineStr">
        <is>
          <t>Q15</t>
        </is>
      </c>
      <c r="B44" s="12" t="inlineStr">
        <is>
          <t>BRD-1 NB</t>
        </is>
      </c>
      <c r="C44" s="12" t="inlineStr">
        <is>
          <t>Reference no.</t>
        </is>
      </c>
      <c r="D44" s="12" t="inlineStr">
        <is>
          <t>Format of the single Account Reference Number (prefix, segment, year, sequence) and whether PRF marketing reference is the same number.</t>
        </is>
      </c>
      <c r="E44" s="12" t="inlineStr">
        <is>
          <t>BRNB.006, 102</t>
        </is>
      </c>
      <c r="F44" s="32" t="inlineStr">
        <is>
          <t>Partially answered</t>
        </is>
      </c>
      <c r="G44" s="12" t="inlineStr">
        <is>
          <t>A mandatory unique renewal reference is the matching key; no format given. (BRD-6 BRRN.022)</t>
        </is>
      </c>
      <c r="H44" s="12" t="inlineStr"/>
      <c r="I44" s="12" t="inlineStr">
        <is>
          <t>RQ03, SP-SQ20</t>
        </is>
      </c>
      <c r="J44" s="12" t="inlineStr">
        <is>
          <t>DCR-156</t>
        </is>
      </c>
    </row>
    <row r="45" ht="29.2" customHeight="1">
      <c r="A45" s="12" t="inlineStr">
        <is>
          <t>Q16</t>
        </is>
      </c>
      <c r="B45" s="12" t="inlineStr">
        <is>
          <t>BRD-1 NB</t>
        </is>
      </c>
      <c r="C45" s="12" t="inlineStr">
        <is>
          <t>Client / KYC</t>
        </is>
      </c>
      <c r="D45" s="12" t="inlineStr">
        <is>
          <t>BDO 'bank standard' client data and KYC fields; is there a BDO CIF to integrate with (source of truth for bank clients)?</t>
        </is>
      </c>
      <c r="E45" s="12" t="inlineStr">
        <is>
          <t>BRNB.030, 065, 090, 092</t>
        </is>
      </c>
      <c r="F45" s="32" t="inlineStr">
        <is>
          <t>Open</t>
        </is>
      </c>
      <c r="G45" s="12" t="inlineStr"/>
      <c r="H45" s="12" t="inlineStr"/>
      <c r="I45" s="12" t="inlineStr">
        <is>
          <t>RQ22</t>
        </is>
      </c>
      <c r="J45" s="12" t="inlineStr"/>
    </row>
    <row r="46" ht="29.2" customHeight="1">
      <c r="A46" s="12" t="inlineStr">
        <is>
          <t>Q17</t>
        </is>
      </c>
      <c r="B46" s="12" t="inlineStr">
        <is>
          <t>BRD-1 NB</t>
        </is>
      </c>
      <c r="C46" s="12" t="inlineStr">
        <is>
          <t>Dedupe</t>
        </is>
      </c>
      <c r="D46" s="12" t="inlineStr">
        <is>
          <t>Duplicate-client keys and match precedence (name + DOB, ID number, e-mail, mobile, TIN).</t>
        </is>
      </c>
      <c r="E46" s="12" t="inlineStr">
        <is>
          <t>BRNB.032</t>
        </is>
      </c>
      <c r="F46" s="32" t="inlineStr">
        <is>
          <t>Open</t>
        </is>
      </c>
      <c r="G46" s="12" t="inlineStr"/>
      <c r="H46" s="12" t="inlineStr"/>
      <c r="I46" s="12" t="inlineStr"/>
      <c r="J46" s="12" t="inlineStr"/>
    </row>
    <row r="47" ht="41.8" customHeight="1">
      <c r="A47" s="12" t="inlineStr">
        <is>
          <t>Q18</t>
        </is>
      </c>
      <c r="B47" s="12" t="inlineStr">
        <is>
          <t>BRD-1 NB</t>
        </is>
      </c>
      <c r="C47" s="12" t="inlineStr">
        <is>
          <t>Tags</t>
        </is>
      </c>
      <c r="D47" s="12" t="inlineStr">
        <is>
          <t>List of client/account tags and special-instruction types, and which processes must enforce them (block vs warn).</t>
        </is>
      </c>
      <c r="E47" s="12" t="inlineStr">
        <is>
          <t>BRNB.091</t>
        </is>
      </c>
      <c r="F47" s="32" t="inlineStr">
        <is>
          <t>Partially answered</t>
        </is>
      </c>
      <c r="G47" s="12" t="inlineStr">
        <is>
          <t>PEP and high-risk tags are set by rules and trigger reviews. Block vs warn still open (SANC-SQ07). (BRD-10 SNSRP-302 / 303)</t>
        </is>
      </c>
      <c r="H47" s="12" t="inlineStr"/>
      <c r="I47" s="12" t="inlineStr">
        <is>
          <t>SANC-SQ07</t>
        </is>
      </c>
      <c r="J47" s="12" t="inlineStr">
        <is>
          <t>DCR-112</t>
        </is>
      </c>
    </row>
    <row r="48" ht="29.2" customHeight="1">
      <c r="A48" s="12" t="inlineStr">
        <is>
          <t>Q19</t>
        </is>
      </c>
      <c r="B48" s="12" t="inlineStr">
        <is>
          <t>BRD-1 NB</t>
        </is>
      </c>
      <c r="C48" s="12" t="inlineStr">
        <is>
          <t>CRM</t>
        </is>
      </c>
      <c r="D48" s="12" t="inlineStr">
        <is>
          <t>Lead management scope: do leads come from bank channels (referrals) and is lead-to-prospect conversion required in NB phase?</t>
        </is>
      </c>
      <c r="E48" s="12" t="inlineStr">
        <is>
          <t>BRNB.099</t>
        </is>
      </c>
      <c r="F48" s="32" t="inlineStr">
        <is>
          <t>Open</t>
        </is>
      </c>
      <c r="G48" s="12" t="inlineStr"/>
      <c r="H48" s="12" t="inlineStr"/>
      <c r="I48" s="12" t="inlineStr"/>
      <c r="J48" s="12" t="inlineStr"/>
    </row>
    <row r="49" ht="29.2" customHeight="1">
      <c r="A49" s="12" t="inlineStr">
        <is>
          <t>Q20</t>
        </is>
      </c>
      <c r="B49" s="12" t="inlineStr">
        <is>
          <t>BRD-1 NB</t>
        </is>
      </c>
      <c r="C49" s="12" t="inlineStr">
        <is>
          <t>Prospect</t>
        </is>
      </c>
      <c r="D49" s="12" t="inlineStr">
        <is>
          <t>Prospect vs confirmed client: which event confirms (KYC complete, first booking)?</t>
        </is>
      </c>
      <c r="E49" s="12" t="inlineStr">
        <is>
          <t>BRNB.101</t>
        </is>
      </c>
      <c r="F49" s="32" t="inlineStr">
        <is>
          <t>Open</t>
        </is>
      </c>
      <c r="G49" s="12" t="inlineStr"/>
      <c r="H49" s="12" t="inlineStr"/>
      <c r="I49" s="12" t="inlineStr"/>
      <c r="J49" s="12" t="inlineStr">
        <is>
          <t>DCR-001</t>
        </is>
      </c>
    </row>
    <row r="50" ht="54.4" customHeight="1">
      <c r="A50" s="12" t="inlineStr">
        <is>
          <t>Q21</t>
        </is>
      </c>
      <c r="B50" s="12" t="inlineStr">
        <is>
          <t>BRD-1 NB</t>
        </is>
      </c>
      <c r="C50" s="12" t="inlineStr">
        <is>
          <t>KYC review</t>
        </is>
      </c>
      <c r="D50" s="12" t="inlineStr">
        <is>
          <t>KYC review frequency by risk rating for non-bank clients; 'shared path' - is an in-system report acceptable?</t>
        </is>
      </c>
      <c r="E50" s="12" t="inlineStr">
        <is>
          <t>BRNB.110</t>
        </is>
      </c>
      <c r="F50" s="32" t="inlineStr">
        <is>
          <t>Partially answered</t>
        </is>
      </c>
      <c r="G50" s="12" t="inlineStr">
        <is>
          <t>KYC due is visibility only in renewal; high-risk / PEP clients with an active policy get a review case. Frequency per rating not given. (BRD-6 BRRN.028; BRD-10 SNSRP-102 / 303)</t>
        </is>
      </c>
      <c r="H50" s="12" t="inlineStr"/>
      <c r="I50" s="12" t="inlineStr">
        <is>
          <t>SANC-SQ03</t>
        </is>
      </c>
      <c r="J50" s="12" t="inlineStr">
        <is>
          <t>DCR-112</t>
        </is>
      </c>
    </row>
    <row r="51" ht="29.2" customHeight="1">
      <c r="A51" s="12" t="inlineStr">
        <is>
          <t>Q22</t>
        </is>
      </c>
      <c r="B51" s="12" t="inlineStr">
        <is>
          <t>BRD-1 NB</t>
        </is>
      </c>
      <c r="C51" s="12" t="inlineStr">
        <is>
          <t>Duplicates</t>
        </is>
      </c>
      <c r="D51" s="12" t="inlineStr">
        <is>
          <t>Fire duplicate rule 'same client ID + location + items' - exact or normalised address match? Motor: CTPL vs MTR exception confirmed.</t>
        </is>
      </c>
      <c r="E51" s="12" t="inlineStr">
        <is>
          <t>BRNB.051, 066</t>
        </is>
      </c>
      <c r="F51" s="32" t="inlineStr">
        <is>
          <t>Open</t>
        </is>
      </c>
      <c r="G51" s="12" t="inlineStr"/>
      <c r="H51" s="12" t="inlineStr"/>
      <c r="I51" s="12" t="inlineStr"/>
      <c r="J51" s="12" t="inlineStr"/>
    </row>
    <row r="52" ht="54.4" customHeight="1">
      <c r="A52" s="12" t="inlineStr">
        <is>
          <t>Q23</t>
        </is>
      </c>
      <c r="B52" s="12" t="inlineStr">
        <is>
          <t>BRD-1 NB</t>
        </is>
      </c>
      <c r="C52" s="12" t="inlineStr">
        <is>
          <t>Files</t>
        </is>
      </c>
      <c r="D52" s="12" t="inlineStr">
        <is>
          <t>Maximum file size and full list of allowed file types; file-naming syntax.</t>
        </is>
      </c>
      <c r="E52" s="12" t="inlineStr">
        <is>
          <t>BRNB.026</t>
        </is>
      </c>
      <c r="F52" s="32" t="inlineStr">
        <is>
          <t>Partially answered</t>
        </is>
      </c>
      <c r="G52" s="12" t="inlineStr">
        <is>
          <t>File types listed for EB and CSF; naming syntax for screening documents only. Maximum size open. (BRD-8 BRID-002, 005.01, 014; BRD-9 BRCSF-007; BRD-10 SNSRP-601)</t>
        </is>
      </c>
      <c r="H52" s="12" t="inlineStr"/>
      <c r="I52" s="12" t="inlineStr">
        <is>
          <t>CSQ08</t>
        </is>
      </c>
      <c r="J52" s="12" t="inlineStr">
        <is>
          <t>DCR-154</t>
        </is>
      </c>
    </row>
    <row r="53" ht="41.8" customHeight="1">
      <c r="A53" s="12" t="inlineStr">
        <is>
          <t>Q24</t>
        </is>
      </c>
      <c r="B53" s="12" t="inlineStr">
        <is>
          <t>BRD-1 NB</t>
        </is>
      </c>
      <c r="C53" s="12" t="inlineStr">
        <is>
          <t>Extraction</t>
        </is>
      </c>
      <c r="D53" s="12" t="inlineStr">
        <is>
          <t>Which documents need auto-extraction (e-policy per insurer?) and which fields; are insurer e-policy layouts stable?</t>
        </is>
      </c>
      <c r="E53" s="12" t="inlineStr">
        <is>
          <t>BRNB.074, 104, 105</t>
        </is>
      </c>
      <c r="F53" s="32" t="inlineStr">
        <is>
          <t>Partially answered</t>
        </is>
      </c>
      <c r="G53" s="12" t="inlineStr">
        <is>
          <t>Submitted policy documents are extracted and confirmed by a user; scanned input implies OCR. (BRD-12 BRIDSP-02)</t>
        </is>
      </c>
      <c r="H53" s="12" t="inlineStr"/>
      <c r="I53" s="12" t="inlineStr">
        <is>
          <t>SP-SQ03</t>
        </is>
      </c>
      <c r="J53" s="12" t="inlineStr"/>
    </row>
    <row r="54" ht="29.2" customHeight="1">
      <c r="A54" s="12" t="inlineStr">
        <is>
          <t>Q25</t>
        </is>
      </c>
      <c r="B54" s="12" t="inlineStr">
        <is>
          <t>BRD-1 NB</t>
        </is>
      </c>
      <c r="C54" s="12" t="inlineStr">
        <is>
          <t>Reactivation</t>
        </is>
      </c>
      <c r="D54" s="12" t="inlineStr">
        <is>
          <t>Reactivate cancelled placement (BRD 2.1.16) has no BRNB ID - confirm in scope.</t>
        </is>
      </c>
      <c r="E54" s="12" t="inlineStr">
        <is>
          <t>BRD 2.1.16</t>
        </is>
      </c>
      <c r="F54" s="32" t="inlineStr">
        <is>
          <t>Open</t>
        </is>
      </c>
      <c r="G54" s="12" t="inlineStr"/>
      <c r="H54" s="12" t="inlineStr"/>
      <c r="I54" s="12" t="inlineStr"/>
      <c r="J54" s="12" t="inlineStr">
        <is>
          <t>DCR-002</t>
        </is>
      </c>
    </row>
    <row r="55" ht="29.2" customHeight="1">
      <c r="A55" s="12" t="inlineStr">
        <is>
          <t>Q26</t>
        </is>
      </c>
      <c r="B55" s="12" t="inlineStr">
        <is>
          <t>BRD-1 NB</t>
        </is>
      </c>
      <c r="C55" s="12" t="inlineStr">
        <is>
          <t>Placement</t>
        </is>
      </c>
      <c r="D55" s="12" t="inlineStr">
        <is>
          <t>Prerequisites before placement per segment (payment received, client confirmation, docs complete, TSU clearance).</t>
        </is>
      </c>
      <c r="E55" s="12" t="inlineStr">
        <is>
          <t>BRNB.069</t>
        </is>
      </c>
      <c r="F55" s="32" t="inlineStr">
        <is>
          <t>Open</t>
        </is>
      </c>
      <c r="G55" s="12" t="inlineStr"/>
      <c r="H55" s="12" t="inlineStr"/>
      <c r="I55" s="12" t="inlineStr"/>
      <c r="J55" s="12" t="inlineStr"/>
    </row>
    <row r="56" ht="54.4" customHeight="1">
      <c r="A56" s="12" t="inlineStr">
        <is>
          <t>Q27</t>
        </is>
      </c>
      <c r="B56" s="12" t="inlineStr">
        <is>
          <t>BRD-1 NB</t>
        </is>
      </c>
      <c r="C56" s="12" t="inlineStr">
        <is>
          <t>Hold cover</t>
        </is>
      </c>
      <c r="D56" s="12" t="inlineStr">
        <is>
          <t>Which accounts need an automatic 30-day hold cover request, and what happens at expiry without confirmation?</t>
        </is>
      </c>
      <c r="E56" s="12" t="inlineStr">
        <is>
          <t>BRNB.072, 103</t>
        </is>
      </c>
      <c r="F56" s="32" t="inlineStr">
        <is>
          <t>Partially answered</t>
        </is>
      </c>
      <c r="G56" s="12" t="inlineStr">
        <is>
          <t>Hold covers apply to renewals; 30-day hold cover for submitted renewals, accepted within 3-5 days. Expiry handling open. (BRD-6 1.009.3.1.33-34; BRD-12 p.5, BRIDSP-24 / 32)</t>
        </is>
      </c>
      <c r="H56" s="12" t="inlineStr"/>
      <c r="I56" s="12" t="inlineStr">
        <is>
          <t>SP-SQ12</t>
        </is>
      </c>
      <c r="J56" s="12" t="inlineStr">
        <is>
          <t>DCR-155</t>
        </is>
      </c>
    </row>
    <row r="57" ht="41.8" customHeight="1">
      <c r="A57" s="12" t="inlineStr">
        <is>
          <t>Q28</t>
        </is>
      </c>
      <c r="B57" s="12" t="inlineStr">
        <is>
          <t>BRD-1 NB</t>
        </is>
      </c>
      <c r="C57" s="12" t="inlineStr">
        <is>
          <t>CLPC</t>
        </is>
      </c>
      <c r="D57" s="12" t="inlineStr">
        <is>
          <t>CLPC billing file and payment report layouts, transport and schedule; payment report for other segments (bank debit, OTC, online).</t>
        </is>
      </c>
      <c r="E57" s="12" t="inlineStr">
        <is>
          <t>BRNB.067, 068</t>
        </is>
      </c>
      <c r="F57" s="32" t="inlineStr">
        <is>
          <t>Partially answered</t>
        </is>
      </c>
      <c r="G57" s="12" t="inlineStr">
        <is>
          <t>Three CLPC billing variants with sample files. Transport and schedule open. (Report List #65-67)</t>
        </is>
      </c>
      <c r="H57" s="12" t="inlineStr"/>
      <c r="I57" s="12" t="inlineStr"/>
      <c r="J57" s="12" t="inlineStr"/>
    </row>
    <row r="58" ht="29.2" customHeight="1">
      <c r="A58" s="12" t="inlineStr">
        <is>
          <t>Q29</t>
        </is>
      </c>
      <c r="B58" s="12" t="inlineStr">
        <is>
          <t>BRD-1 NB</t>
        </is>
      </c>
      <c r="C58" s="12" t="inlineStr">
        <is>
          <t>Direct payment</t>
        </is>
      </c>
      <c r="D58" s="12" t="inlineStr">
        <is>
          <t>Direct-payment criteria and accounting: does BDOI book only commission receivable from insurer for these?</t>
        </is>
      </c>
      <c r="E58" s="12" t="inlineStr">
        <is>
          <t>BRNB.114</t>
        </is>
      </c>
      <c r="F58" s="32" t="inlineStr">
        <is>
          <t>Open</t>
        </is>
      </c>
      <c r="G58" s="12" t="inlineStr"/>
      <c r="H58" s="12" t="inlineStr">
        <is>
          <t>OQ38</t>
        </is>
      </c>
      <c r="I58" s="12" t="inlineStr"/>
      <c r="J58" s="12" t="inlineStr"/>
    </row>
    <row r="59" ht="29.2" customHeight="1">
      <c r="A59" s="12" t="inlineStr">
        <is>
          <t>Q30</t>
        </is>
      </c>
      <c r="B59" s="12" t="inlineStr">
        <is>
          <t>BRD-1 NB</t>
        </is>
      </c>
      <c r="C59" s="12" t="inlineStr">
        <is>
          <t>Insurance Advice</t>
        </is>
      </c>
      <c r="D59" s="12" t="inlineStr">
        <is>
          <t>IA trigger point and recipient (mortgagee bank unit) for mortgaged accounts.</t>
        </is>
      </c>
      <c r="E59" s="12" t="inlineStr">
        <is>
          <t>BRNB.070, 095</t>
        </is>
      </c>
      <c r="F59" s="32" t="inlineStr">
        <is>
          <t>Open</t>
        </is>
      </c>
      <c r="G59" s="12" t="inlineStr"/>
      <c r="H59" s="12" t="inlineStr"/>
      <c r="I59" s="12" t="inlineStr"/>
      <c r="J59" s="12" t="inlineStr"/>
    </row>
    <row r="60" ht="41.8" customHeight="1">
      <c r="A60" s="12" t="inlineStr">
        <is>
          <t>Q31</t>
        </is>
      </c>
      <c r="B60" s="12" t="inlineStr">
        <is>
          <t>BRD-1 NB</t>
        </is>
      </c>
      <c r="C60" s="12" t="inlineStr">
        <is>
          <t>E-policy receipt</t>
        </is>
      </c>
      <c r="D60" s="12" t="inlineStr">
        <is>
          <t>How are e-policies received (insurer e-mail to shared mailbox, SFTP, portal download)?</t>
        </is>
      </c>
      <c r="E60" s="12" t="inlineStr">
        <is>
          <t>BRNB.073</t>
        </is>
      </c>
      <c r="F60" s="32" t="inlineStr">
        <is>
          <t>Partially answered</t>
        </is>
      </c>
      <c r="G60" s="12" t="inlineStr">
        <is>
          <t>EB insurers upload policy forms and billing through the portal. Other lines open. (BRD-8 BRID-005.01)</t>
        </is>
      </c>
      <c r="H60" s="12" t="inlineStr">
        <is>
          <t>Q06</t>
        </is>
      </c>
      <c r="I60" s="12" t="inlineStr"/>
      <c r="J60" s="12" t="inlineStr">
        <is>
          <t>DCR-211</t>
        </is>
      </c>
    </row>
    <row r="61" ht="41.8" customHeight="1">
      <c r="A61" s="12" t="inlineStr">
        <is>
          <t>Q32</t>
        </is>
      </c>
      <c r="B61" s="12" t="inlineStr">
        <is>
          <t>BRD-1 NB</t>
        </is>
      </c>
      <c r="C61" s="12" t="inlineStr">
        <is>
          <t>Accounting</t>
        </is>
      </c>
      <c r="D61" s="12" t="inlineStr">
        <is>
          <t>Booking accounting entries (premium receivable/payable to insurer, commission income, VAT, EWT) and service invoice rules - is commission invoiced per booking or monthly per insurer?</t>
        </is>
      </c>
      <c r="E61" s="12" t="inlineStr">
        <is>
          <t>BRNB.027, 100</t>
        </is>
      </c>
      <c r="F61" s="32" t="inlineStr">
        <is>
          <t>Partially answered</t>
        </is>
      </c>
      <c r="G61" s="12" t="inlineStr">
        <is>
          <t>Related transactions must link to a single invoice number. No entries given. (BRD-5 ACSL 2.16.0, DIS 3.27.2)</t>
        </is>
      </c>
      <c r="H61" s="12" t="inlineStr"/>
      <c r="I61" s="12" t="inlineStr"/>
      <c r="J61" s="12" t="inlineStr">
        <is>
          <t>DCR-003, DCR-058</t>
        </is>
      </c>
    </row>
    <row r="62" ht="54.4" customHeight="1">
      <c r="A62" s="12" t="inlineStr">
        <is>
          <t>Q33</t>
        </is>
      </c>
      <c r="B62" s="12" t="inlineStr">
        <is>
          <t>BRD-1 NB</t>
        </is>
      </c>
      <c r="C62" s="12" t="inlineStr">
        <is>
          <t>Incentives</t>
        </is>
      </c>
      <c r="D62" s="12" t="inlineStr">
        <is>
          <t>Incentive qualification rules and whether incentive computation/payout is in scope.</t>
        </is>
      </c>
      <c r="E62" s="12" t="inlineStr">
        <is>
          <t>BRNB.107</t>
        </is>
      </c>
      <c r="F62" s="32" t="inlineStr">
        <is>
          <t>Partially answered</t>
        </is>
      </c>
      <c r="G62" s="12" t="inlineStr">
        <is>
          <t>Incentive criteria kept on the products matrix; CPC2 = package Fire / Motor incentive computed per remittance. Rates not given. (BRD-3 PMADD07 / 08; BRD-5 DIS 3.29.2)</t>
        </is>
      </c>
      <c r="H62" s="12" t="inlineStr">
        <is>
          <t>OQ39</t>
        </is>
      </c>
      <c r="I62" s="12" t="inlineStr"/>
      <c r="J62" s="12" t="inlineStr">
        <is>
          <t>DCR-037</t>
        </is>
      </c>
    </row>
    <row r="63" ht="29.2" customHeight="1">
      <c r="A63" s="12" t="inlineStr">
        <is>
          <t>Q34</t>
        </is>
      </c>
      <c r="B63" s="12" t="inlineStr">
        <is>
          <t>BRD-1 NB</t>
        </is>
      </c>
      <c r="C63" s="12" t="inlineStr">
        <is>
          <t>Cost center</t>
        </is>
      </c>
      <c r="D63" s="12" t="inlineStr">
        <is>
          <t>Cost center master data source and default rule (by AO, branch, segment).</t>
        </is>
      </c>
      <c r="E63" s="12" t="inlineStr">
        <is>
          <t>BRNB.108</t>
        </is>
      </c>
      <c r="F63" s="32" t="inlineStr">
        <is>
          <t>Open</t>
        </is>
      </c>
      <c r="G63" s="12" t="inlineStr"/>
      <c r="H63" s="12" t="inlineStr"/>
      <c r="I63" s="12" t="inlineStr"/>
      <c r="J63" s="12" t="inlineStr"/>
    </row>
    <row r="64" ht="41.8" customHeight="1">
      <c r="A64" s="12" t="inlineStr">
        <is>
          <t>Q35</t>
        </is>
      </c>
      <c r="B64" s="12" t="inlineStr">
        <is>
          <t>BRD-1 NB</t>
        </is>
      </c>
      <c r="C64" s="12" t="inlineStr">
        <is>
          <t>Multi-year</t>
        </is>
      </c>
      <c r="D64" s="12" t="inlineStr">
        <is>
          <t>Multi-year: premium paid upfront or yearly? Commission recognition per year or upfront? 81% vs 90% OD/Theft basis.</t>
        </is>
      </c>
      <c r="E64" s="12" t="inlineStr">
        <is>
          <t>BRNB.112</t>
        </is>
      </c>
      <c r="F64" s="32" t="inlineStr">
        <is>
          <t>Partially answered</t>
        </is>
      </c>
      <c r="G64" s="12" t="inlineStr">
        <is>
          <t>Multi-year policies are billed per billing cycle. Accounting per cycle open. (BRD-4 BRCLXN.058)</t>
        </is>
      </c>
      <c r="H64" s="12" t="inlineStr"/>
      <c r="I64" s="12" t="inlineStr">
        <is>
          <t>CQ15</t>
        </is>
      </c>
      <c r="J64" s="12" t="inlineStr">
        <is>
          <t>DCR-006</t>
        </is>
      </c>
    </row>
    <row r="65" ht="41.8" customHeight="1">
      <c r="A65" s="12" t="inlineStr">
        <is>
          <t>Q36</t>
        </is>
      </c>
      <c r="B65" s="12" t="inlineStr">
        <is>
          <t>BRD-1 NB</t>
        </is>
      </c>
      <c r="C65" s="12" t="inlineStr">
        <is>
          <t>FFY</t>
        </is>
      </c>
      <c r="D65" s="12" t="inlineStr">
        <is>
          <t>Free First-Year: who pays the first-year premium (dealer / bank), FFY period length and renewal hand-off.</t>
        </is>
      </c>
      <c r="E65" s="12" t="inlineStr">
        <is>
          <t>BRNB.113</t>
        </is>
      </c>
      <c r="F65" s="32" t="inlineStr">
        <is>
          <t>Partially answered</t>
        </is>
      </c>
      <c r="G65" s="12" t="inlineStr">
        <is>
          <t>FFY accounts get an FFY RA template; FFY is both a renewal and a non-renewal bucket. Payer not stated. (BRD-12 BRIDSP-13 / 14)</t>
        </is>
      </c>
      <c r="H65" s="12" t="inlineStr"/>
      <c r="I65" s="12" t="inlineStr"/>
      <c r="J65" s="12" t="inlineStr">
        <is>
          <t>DCR-124</t>
        </is>
      </c>
    </row>
    <row r="66" ht="79.59999999999999" customHeight="1">
      <c r="A66" s="12" t="inlineStr">
        <is>
          <t>Q37</t>
        </is>
      </c>
      <c r="B66" s="12" t="inlineStr">
        <is>
          <t>BRD-1 NB</t>
        </is>
      </c>
      <c r="C66" s="12" t="inlineStr">
        <is>
          <t>Data ownership</t>
        </is>
      </c>
      <c r="D66" s="12" t="inlineStr">
        <is>
          <t>Authoritative system per data element (client, vehicle, property, address, policy, invoice).</t>
        </is>
      </c>
      <c r="E66" s="12" t="inlineStr">
        <is>
          <t>BRNB.092</t>
        </is>
      </c>
      <c r="F66" s="32" t="inlineStr">
        <is>
          <t>Partially answered</t>
        </is>
      </c>
      <c r="G66" s="12" t="inlineStr">
        <is>
          <t>Policy number flows from the policy system to Claims; QPS / EBIX are systems of record for contacts during coexistence; from cutover the new Core holds the trusted client master and reference data (BRD-13 draft). (BRD-7 BRCLM.007 / 039; BRD-9 p.3, BRCSF-002; BRD-13 p.5)</t>
        </is>
      </c>
      <c r="H66" s="12" t="inlineStr"/>
      <c r="I66" s="12" t="inlineStr">
        <is>
          <t>CSQ01</t>
        </is>
      </c>
      <c r="J66" s="12" t="inlineStr">
        <is>
          <t>DCR-104</t>
        </is>
      </c>
    </row>
    <row r="67" ht="29.2" customHeight="1">
      <c r="A67" s="12" t="inlineStr">
        <is>
          <t>Q38</t>
        </is>
      </c>
      <c r="B67" s="12" t="inlineStr">
        <is>
          <t>BRD-1 NB</t>
        </is>
      </c>
      <c r="C67" s="12" t="inlineStr">
        <is>
          <t>GRF/ARF</t>
        </is>
      </c>
      <c r="D67" s="12" t="inlineStr">
        <is>
          <t>Describe the existing GRF and ARF request forms to replicate their behaviour.</t>
        </is>
      </c>
      <c r="E67" s="12" t="inlineStr">
        <is>
          <t>BRNB.096</t>
        </is>
      </c>
      <c r="F67" s="32" t="inlineStr">
        <is>
          <t>Open</t>
        </is>
      </c>
      <c r="G67" s="12" t="inlineStr"/>
      <c r="H67" s="12" t="inlineStr"/>
      <c r="I67" s="12" t="inlineStr"/>
      <c r="J67" s="12" t="inlineStr"/>
    </row>
    <row r="68" ht="92.2" customHeight="1">
      <c r="A68" s="12" t="inlineStr">
        <is>
          <t>Q39</t>
        </is>
      </c>
      <c r="B68" s="12" t="inlineStr">
        <is>
          <t>BRD-1 NB</t>
        </is>
      </c>
      <c r="C68" s="12" t="inlineStr">
        <is>
          <t>Retention</t>
        </is>
      </c>
      <c r="D68" s="12" t="inlineStr">
        <is>
          <t>Retention periods per record type and status (not proceeded, abandoned, voided) and purge vs archive.</t>
        </is>
      </c>
      <c r="E68" s="12" t="inlineStr">
        <is>
          <t>BRNB.106</t>
        </is>
      </c>
      <c r="F68" s="32" t="inlineStr">
        <is>
          <t>Partially answered</t>
        </is>
      </c>
      <c r="G68" s="12" t="inlineStr">
        <is>
          <t>Umbrella: 5 years online / 15 years offline for application, database, audit logs and historical data. Claims 10 / 15; EB 5 / 15; CSF 5 / 15; screening 5 / 5. Exceptions per record type and purge vs archive open (CRQ22). (BRD-7 p.41; BRD-8 p.54; BRD-9 p.14; BRD-10 p.25; BRD-00 p.45)</t>
        </is>
      </c>
      <c r="H68" s="12" t="inlineStr">
        <is>
          <t>XQ08</t>
        </is>
      </c>
      <c r="I68" s="12" t="inlineStr"/>
      <c r="J68" s="12" t="inlineStr">
        <is>
          <t>DCR-007, DCR-080, DCR-136, DCR-167</t>
        </is>
      </c>
    </row>
    <row r="69" ht="67" customHeight="1">
      <c r="A69" s="12" t="inlineStr">
        <is>
          <t>Q40</t>
        </is>
      </c>
      <c r="B69" s="12" t="inlineStr">
        <is>
          <t>BRD-1 NB</t>
        </is>
      </c>
      <c r="C69" s="12" t="inlineStr">
        <is>
          <t>Dynamic reports</t>
        </is>
      </c>
      <c r="D69" s="12" t="inlineStr">
        <is>
          <t>Expected scope of 'dynamic reports' (ad-hoc column/filter builder vs saved report variants).</t>
        </is>
      </c>
      <c r="E69" s="12" t="inlineStr">
        <is>
          <t>BRNB.057</t>
        </is>
      </c>
      <c r="F69" s="32" t="inlineStr">
        <is>
          <t>Partially answered</t>
        </is>
      </c>
      <c r="G69" s="12" t="inlineStr">
        <is>
          <t>User-defined filters and exports; the umbrella adds customised reports with fields, charts and summaries, scheduled or on demand (CRQ11). (BRD-8 BRID-022 AC9; Report List #74; BRD-00 BR-053, BR-054)</t>
        </is>
      </c>
      <c r="H69" s="12" t="inlineStr"/>
      <c r="I69" s="12" t="inlineStr">
        <is>
          <t>CRQ11</t>
        </is>
      </c>
      <c r="J69" s="12" t="inlineStr">
        <is>
          <t>DCR-177</t>
        </is>
      </c>
    </row>
    <row r="70" ht="29.2" customHeight="1">
      <c r="A70" s="12" t="inlineStr">
        <is>
          <t>Q41</t>
        </is>
      </c>
      <c r="B70" s="12" t="inlineStr">
        <is>
          <t>BRD-1 NB</t>
        </is>
      </c>
      <c r="C70" s="12" t="inlineStr">
        <is>
          <t>Production stats</t>
        </is>
      </c>
      <c r="D70" s="12" t="inlineStr">
        <is>
          <t>Region / department / team hierarchy and target values per stage for production statistics.</t>
        </is>
      </c>
      <c r="E70" s="12" t="inlineStr">
        <is>
          <t>BRNB.075</t>
        </is>
      </c>
      <c r="F70" s="32" t="inlineStr">
        <is>
          <t>Open</t>
        </is>
      </c>
      <c r="G70" s="12" t="inlineStr"/>
      <c r="H70" s="12" t="inlineStr"/>
      <c r="I70" s="12" t="inlineStr"/>
      <c r="J70" s="12" t="inlineStr"/>
    </row>
    <row r="71" ht="67" customHeight="1">
      <c r="A71" s="12" t="inlineStr">
        <is>
          <t>Q42</t>
        </is>
      </c>
      <c r="B71" s="12" t="inlineStr">
        <is>
          <t>BRD-1 NB</t>
        </is>
      </c>
      <c r="C71" s="12" t="inlineStr">
        <is>
          <t>Login</t>
        </is>
      </c>
      <c r="D71" s="12" t="inlineStr">
        <is>
          <t>Authentication: BDO Active Directory / SSO? Clarify '30-min warning prior to system-triggered logout' (absolute session length?).</t>
        </is>
      </c>
      <c r="E71" s="12" t="inlineStr">
        <is>
          <t>BRNB.040</t>
        </is>
      </c>
      <c r="F71" s="32" t="inlineStr">
        <is>
          <t>Answered</t>
        </is>
      </c>
      <c r="G71" s="12" t="inlineStr">
        <is>
          <t>Directory sign-in (Windows ID through EUA, LDAP / AD or SSO) is required; inactivity log-out at 30 minutes with a warning at 15 minutes. The EUA interface remains open (UQ04). (BRD-11 p.13-14, p.17)</t>
        </is>
      </c>
      <c r="H71" s="12" t="inlineStr"/>
      <c r="I71" s="12" t="inlineStr">
        <is>
          <t>UQ04</t>
        </is>
      </c>
      <c r="J71" s="12" t="inlineStr">
        <is>
          <t>DCR-008, DCR-140, DCR-143, DCR-230</t>
        </is>
      </c>
    </row>
    <row r="72" ht="41.8" customHeight="1">
      <c r="A72" s="12" t="inlineStr">
        <is>
          <t>Q43</t>
        </is>
      </c>
      <c r="B72" s="12" t="inlineStr">
        <is>
          <t>BRD-1 NB</t>
        </is>
      </c>
      <c r="C72" s="12" t="inlineStr">
        <is>
          <t>Taxes</t>
        </is>
      </c>
      <c r="D72" s="12" t="inlineStr">
        <is>
          <t>Appendix A shows PTX 12% of net premium for Fire; please confirm premium tax / VAT basis per line and whether BDOI computes taxes or copies insurer figures.</t>
        </is>
      </c>
      <c r="E72" s="12" t="inlineStr">
        <is>
          <t>Appendix A</t>
        </is>
      </c>
      <c r="F72" s="32" t="inlineStr">
        <is>
          <t>Open</t>
        </is>
      </c>
      <c r="G72" s="12" t="inlineStr"/>
      <c r="H72" s="12" t="inlineStr"/>
      <c r="I72" s="12" t="inlineStr"/>
      <c r="J72" s="12" t="inlineStr">
        <is>
          <t>DCR-005</t>
        </is>
      </c>
    </row>
    <row r="73" ht="67" customHeight="1">
      <c r="A73" s="12" t="inlineStr">
        <is>
          <t>Q44</t>
        </is>
      </c>
      <c r="B73" s="12" t="inlineStr">
        <is>
          <t>BRD-1 NB</t>
        </is>
      </c>
      <c r="C73" s="12" t="inlineStr">
        <is>
          <t>Scope boundary</t>
        </is>
      </c>
      <c r="D73" s="12" t="inlineStr">
        <is>
          <t>Broker model: confirm insurer-only platform functions (reinsurance, technical reserves, IBNR, claims reserving) are not required for BDOI.</t>
        </is>
      </c>
      <c r="E73" s="12" t="inlineStr">
        <is>
          <t>Platform</t>
        </is>
      </c>
      <c r="F73" s="32" t="inlineStr">
        <is>
          <t>Answered</t>
        </is>
      </c>
      <c r="G73" s="12" t="inlineStr">
        <is>
          <t>Claims: insurer reserve and settlement are information only. Reinsurance is a BDOI business line whose BRD is phase 2; in phase 1 the insurer-side modules stay hidden. (BRD-7 BRCLM.023 / 024; BRD-00 goal 1, capability 15)</t>
        </is>
      </c>
      <c r="H73" s="12" t="inlineStr"/>
      <c r="I73" s="12" t="inlineStr"/>
      <c r="J73" s="12" t="inlineStr"/>
    </row>
    <row r="74" ht="54.4" customHeight="1">
      <c r="A74" s="12" t="inlineStr">
        <is>
          <t>OQ01</t>
        </is>
      </c>
      <c r="B74" s="12" t="inlineStr">
        <is>
          <t>BRD-2 OPS</t>
        </is>
      </c>
      <c r="C74" s="12" t="inlineStr">
        <is>
          <t>Integration</t>
        </is>
      </c>
      <c r="D74" s="12" t="inlineStr">
        <is>
          <t>For each system in BRQID.004 (Collection, Accounting, Disbursement, Marketing, Claims): is it an existing BDO/BDOI system or a BrokerVerse module of a later BRD? Direction, data, interface (API / file / DB), frequency, and who owns the specification.</t>
        </is>
      </c>
      <c r="E74" s="12" t="inlineStr">
        <is>
          <t>BRQID.004-005, CSHID.009/026, RMTID.030, CMRID.001/009</t>
        </is>
      </c>
      <c r="F74" s="32" t="inlineStr">
        <is>
          <t>Partially answered</t>
        </is>
      </c>
      <c r="G74" s="12" t="inlineStr">
        <is>
          <t>Collection, Accounting, Disbursement and Claims are BIBS modules. Marketing (ISYS) open. (BRD-4 p.37-39; BRD-5 FRBS 2.5.0, DIS 3.25.0; BRD-7 p.23; BRD-8 BRID-021)</t>
        </is>
      </c>
      <c r="H74" s="12" t="inlineStr"/>
      <c r="I74" s="12" t="inlineStr"/>
      <c r="J74" s="12" t="inlineStr">
        <is>
          <t>DCR-022, DCR-212</t>
        </is>
      </c>
    </row>
    <row r="75" ht="67" customHeight="1">
      <c r="A75" s="12" t="inlineStr">
        <is>
          <t>OQ02</t>
        </is>
      </c>
      <c r="B75" s="12" t="inlineStr">
        <is>
          <t>BRD-2 OPS</t>
        </is>
      </c>
      <c r="C75" s="12" t="inlineStr">
        <is>
          <t>Disbursement</t>
        </is>
      </c>
      <c r="D75" s="12" t="inlineStr">
        <is>
          <t>What is 'Disbursement' (system or unit)? Payload of 'push to Disbursement' (remittance batch, payment request, 2307 report), and how DV numbers / payment status return (needed for Fully / Partially Remitted). May the BrokerVerse payables module (payment vouchers) act as Disbursement?</t>
        </is>
      </c>
      <c r="E75" s="12" t="inlineStr">
        <is>
          <t>RMTID.002/011/019/034, CSHID.026/027, DBMID.001</t>
        </is>
      </c>
      <c r="F75" s="32" t="inlineStr">
        <is>
          <t>Answered</t>
        </is>
      </c>
      <c r="G75" s="12" t="inlineStr">
        <is>
          <t>Disbursement is a Comptrollership unit working in BIBS; it creates DVs from system-triggered requests and returns instrument statuses. (BRD-5 DIS 2.7.5-2.7.12, 2.20.0, 3.25.0)</t>
        </is>
      </c>
      <c r="H75" s="12" t="inlineStr"/>
      <c r="I75" s="12" t="inlineStr"/>
      <c r="J75" s="12" t="inlineStr">
        <is>
          <t>DCR-022</t>
        </is>
      </c>
    </row>
    <row r="76" ht="67" customHeight="1">
      <c r="A76" s="12" t="inlineStr">
        <is>
          <t>OQ03</t>
        </is>
      </c>
      <c r="B76" s="12" t="inlineStr">
        <is>
          <t>BRD-2 OPS</t>
        </is>
      </c>
      <c r="C76" s="12" t="inlineStr">
        <is>
          <t>Payment files</t>
        </is>
      </c>
      <c r="D76" s="12" t="inlineStr">
        <is>
          <t>Sample files and record layouts (encoding, header / trailer, control totals) for Bills Payment FS01 (IT-DCO), Trade (CIB), CLPC Excel, PDC Excel ('PDC from PMS' - what is PMS?), Direct Credit FS01/04. Who uploads: Operations users, or IT batch (FS04) as stated for Trade / Direct Credit / CLPC?</t>
        </is>
      </c>
      <c r="E76" s="12" t="inlineStr">
        <is>
          <t>CSHID.008</t>
        </is>
      </c>
      <c r="F76" s="32" t="inlineStr">
        <is>
          <t>Open</t>
        </is>
      </c>
      <c r="G76" s="12" t="inlineStr"/>
      <c r="H76" s="12" t="inlineStr"/>
      <c r="I76" s="12" t="inlineStr"/>
      <c r="J76" s="12" t="inlineStr">
        <is>
          <t>DCR-020, DCR-234</t>
        </is>
      </c>
    </row>
    <row r="77" ht="41.8" customHeight="1">
      <c r="A77" s="12" t="inlineStr">
        <is>
          <t>OQ04</t>
        </is>
      </c>
      <c r="B77" s="12" t="inlineStr">
        <is>
          <t>BRD-2 OPS</t>
        </is>
      </c>
      <c r="C77" s="12" t="inlineStr">
        <is>
          <t>File integrity</t>
        </is>
      </c>
      <c r="D77" s="12" t="inlineStr">
        <is>
          <t>'Files are encrypted and cannot be edited': are source files PGP-encrypted by the sender, or is the requirement that BrokerVerse stores them read-only with a checksum?</t>
        </is>
      </c>
      <c r="E77" s="12" t="inlineStr">
        <is>
          <t>CSHID.008</t>
        </is>
      </c>
      <c r="F77" s="32" t="inlineStr">
        <is>
          <t>Open</t>
        </is>
      </c>
      <c r="G77" s="12" t="inlineStr"/>
      <c r="H77" s="12" t="inlineStr"/>
      <c r="I77" s="12" t="inlineStr"/>
      <c r="J77" s="12" t="inlineStr">
        <is>
          <t>DCR-020</t>
        </is>
      </c>
    </row>
    <row r="78" ht="41.8" customHeight="1">
      <c r="A78" s="12" t="inlineStr">
        <is>
          <t>OQ05</t>
        </is>
      </c>
      <c r="B78" s="12" t="inlineStr">
        <is>
          <t>BRD-2 OPS</t>
        </is>
      </c>
      <c r="C78" s="12" t="inlineStr">
        <is>
          <t>Receipt series</t>
        </is>
      </c>
      <c r="D78" s="12" t="inlineStr">
        <is>
          <t>AR / OR numbering: BIR ATP series per branch? Format and length; pre-printed vs system-generated receipts (CAS registration); low-series warning threshold; are AR numbers BIR-controlled like ORs?</t>
        </is>
      </c>
      <c r="E78" s="12" t="inlineStr">
        <is>
          <t>CSHID.001/002/006/015/019</t>
        </is>
      </c>
      <c r="F78" s="32" t="inlineStr">
        <is>
          <t>Open</t>
        </is>
      </c>
      <c r="G78" s="12" t="inlineStr"/>
      <c r="H78" s="12" t="inlineStr"/>
      <c r="I78" s="12" t="inlineStr"/>
      <c r="J78" s="12" t="inlineStr"/>
    </row>
    <row r="79" ht="41.8" customHeight="1">
      <c r="A79" s="12" t="inlineStr">
        <is>
          <t>OQ06</t>
        </is>
      </c>
      <c r="B79" s="12" t="inlineStr">
        <is>
          <t>BRD-2 OPS</t>
        </is>
      </c>
      <c r="C79" s="12" t="inlineStr">
        <is>
          <t>Cancel / reinstate</t>
        </is>
      </c>
      <c r="D79" s="12" t="inlineStr">
        <is>
          <t>Do AR / OR cancellation and reinstatement need checker approval (TL / TH)? Definition of full vs partial reinstatement; accounting per reason.</t>
        </is>
      </c>
      <c r="E79" s="12" t="inlineStr">
        <is>
          <t>CSHID.001-005</t>
        </is>
      </c>
      <c r="F79" s="32" t="inlineStr">
        <is>
          <t>Open</t>
        </is>
      </c>
      <c r="G79" s="12" t="inlineStr"/>
      <c r="H79" s="12" t="inlineStr"/>
      <c r="I79" s="12" t="inlineStr"/>
      <c r="J79" s="12" t="inlineStr"/>
    </row>
    <row r="80" ht="67" customHeight="1">
      <c r="A80" s="12" t="inlineStr">
        <is>
          <t>OQ07</t>
        </is>
      </c>
      <c r="B80" s="12" t="inlineStr">
        <is>
          <t>BRD-2 OPS</t>
        </is>
      </c>
      <c r="C80" s="12" t="inlineStr">
        <is>
          <t>Chart of accounts and entries</t>
        </is>
      </c>
      <c r="D80" s="12" t="inlineStr">
        <is>
          <t>Comptrollership default entries and GL accounts for: AR premium (trust cash), payment application by PR component, unapplied / AP unapplied payments, AP overages, PR2307, DTIP, commission (realized on collection?), VAT on commission, WTAX, AR Insurance / AR Insurer, incentives, write-off, cancellation (flat / retain DST / partial), DP PR reversal.</t>
        </is>
      </c>
      <c r="E80" s="12" t="inlineStr">
        <is>
          <t>CSHID.012-016, ADJID.011-013, MKTID.012</t>
        </is>
      </c>
      <c r="F80" s="32" t="inlineStr">
        <is>
          <t>Partially answered</t>
        </is>
      </c>
      <c r="G80" s="12" t="inlineStr">
        <is>
          <t>Account names given through the reports; no chart and no entries. (BRD-5 FRBS 2.3.x, reports; BRD-4 draft 061 / 063)</t>
        </is>
      </c>
      <c r="H80" s="12" t="inlineStr"/>
      <c r="I80" s="12" t="inlineStr">
        <is>
          <t>AQ01, AQ02, DMQ18</t>
        </is>
      </c>
      <c r="J80" s="12" t="inlineStr"/>
    </row>
    <row r="81" ht="54.4" customHeight="1">
      <c r="A81" s="12" t="inlineStr">
        <is>
          <t>OQ08</t>
        </is>
      </c>
      <c r="B81" s="12" t="inlineStr">
        <is>
          <t>BRD-2 OPS</t>
        </is>
      </c>
      <c r="C81" s="12" t="inlineStr">
        <is>
          <t>Exchange rate</t>
        </is>
      </c>
      <c r="D81" s="12" t="inlineStr">
        <is>
          <t>'Comptrollership exchange rate table' with 2 decimals: which rate (buying / selling / booking), daily or monthly, and which date (receipt vs booking)? Treatment of FX difference between booking and collection of dollar accounts.</t>
        </is>
      </c>
      <c r="E81" s="12" t="inlineStr">
        <is>
          <t>CSHID.012-014</t>
        </is>
      </c>
      <c r="F81" s="32" t="inlineStr">
        <is>
          <t>Partially answered</t>
        </is>
      </c>
      <c r="G81" s="12" t="inlineStr">
        <is>
          <t>A monthly revaluation rate is entered in BIBS. Its use for receipts is not stated. (BRD-5 FRBS 2.2.0, 3.5.0, 3.6.0)</t>
        </is>
      </c>
      <c r="H81" s="12" t="inlineStr"/>
      <c r="I81" s="12" t="inlineStr">
        <is>
          <t>AQ03, DMQ35</t>
        </is>
      </c>
      <c r="J81" s="12" t="inlineStr"/>
    </row>
    <row r="82" ht="54.4" customHeight="1">
      <c r="A82" s="12" t="inlineStr">
        <is>
          <t>OQ09</t>
        </is>
      </c>
      <c r="B82" s="12" t="inlineStr">
        <is>
          <t>BRD-2 OPS</t>
        </is>
      </c>
      <c r="C82" s="12" t="inlineStr">
        <is>
          <t>Application hierarchy</t>
        </is>
      </c>
      <c r="D82" s="12" t="inlineStr">
        <is>
          <t>Component hierarchy DST -&gt; VAT -&gt; LGT -&gt; Other -&gt; Basic confirmed; meaning of mode-of-payment hierarchy 'Check, Cash'; order across several invoices of one payer (oldest first?); hierarchy for commission receipts.</t>
        </is>
      </c>
      <c r="E82" s="12" t="inlineStr">
        <is>
          <t>CSHID.022, CSHID.020</t>
        </is>
      </c>
      <c r="F82" s="32" t="inlineStr">
        <is>
          <t>Open</t>
        </is>
      </c>
      <c r="G82" s="12" t="inlineStr"/>
      <c r="H82" s="12" t="inlineStr"/>
      <c r="I82" s="12" t="inlineStr"/>
      <c r="J82" s="12" t="inlineStr"/>
    </row>
    <row r="83" ht="41.8" customHeight="1">
      <c r="A83" s="12" t="inlineStr">
        <is>
          <t>OQ10</t>
        </is>
      </c>
      <c r="B83" s="12" t="inlineStr">
        <is>
          <t>BRD-2 OPS</t>
        </is>
      </c>
      <c r="C83" s="12" t="inlineStr">
        <is>
          <t>2% CWT</t>
        </is>
      </c>
      <c r="D83" s="12" t="inlineStr">
        <is>
          <t>Which clients / invoices are 2% CWT (flag source)? Apply 98% and keep 2% as PR2307 until certificate - confirm. CSHID.026 cash path says 'premium is reversed, remittance processed': which entries?</t>
        </is>
      </c>
      <c r="E83" s="12" t="inlineStr">
        <is>
          <t>CSHID.020/026/016, MKTID.010</t>
        </is>
      </c>
      <c r="F83" s="32" t="inlineStr">
        <is>
          <t>Partially answered</t>
        </is>
      </c>
      <c r="G83" s="12" t="inlineStr">
        <is>
          <t>Net-of-CWT payments keep the tag with Marketing until the BIR 2307 is collected. (BRD-4 p.41, p.59)</t>
        </is>
      </c>
      <c r="H83" s="12" t="inlineStr"/>
      <c r="I83" s="12" t="inlineStr"/>
      <c r="J83" s="12" t="inlineStr">
        <is>
          <t>DCR-028</t>
        </is>
      </c>
    </row>
    <row r="84" ht="67" customHeight="1">
      <c r="A84" s="12" t="inlineStr">
        <is>
          <t>OQ11</t>
        </is>
      </c>
      <c r="B84" s="12" t="inlineStr">
        <is>
          <t>BRD-2 OPS</t>
        </is>
      </c>
      <c r="C84" s="12" t="inlineStr">
        <is>
          <t>Minimal balances</t>
        </is>
      </c>
      <c r="D84" s="12" t="inlineStr">
        <is>
          <t>Reconcile the three rules: CSHID.016 (PR &lt;= 10.00 reversed unless equal to 2% CWT / DST / entire premium, compared to PR2307), summary 5.f (&lt;= 10.00 to AP overages) and ADJID.026 (10.00-100.00 write-off or credit). Boundary at exactly 10.00, GL targets, content of the minimal balance table, approval.</t>
        </is>
      </c>
      <c r="E84" s="12" t="inlineStr">
        <is>
          <t>CSHID.016, ADJID.026</t>
        </is>
      </c>
      <c r="F84" s="32" t="inlineStr">
        <is>
          <t>Open</t>
        </is>
      </c>
      <c r="G84" s="12" t="inlineStr"/>
      <c r="H84" s="12" t="inlineStr"/>
      <c r="I84" s="12" t="inlineStr">
        <is>
          <t>CQ03</t>
        </is>
      </c>
      <c r="J84" s="12" t="inlineStr">
        <is>
          <t>DCR-014</t>
        </is>
      </c>
    </row>
    <row r="85" ht="67" customHeight="1">
      <c r="A85" s="12" t="inlineStr">
        <is>
          <t>OQ12</t>
        </is>
      </c>
      <c r="B85" s="12" t="inlineStr">
        <is>
          <t>BRD-2 OPS</t>
        </is>
      </c>
      <c r="C85" s="12" t="inlineStr">
        <is>
          <t>Pre-booked matching</t>
        </is>
      </c>
      <c r="D85" s="12" t="inlineStr">
        <is>
          <t>Key used to match a payment to a pre-booked account (ARN, invoice no., PN no.?), re-run schedule, retention in the pre-booked table. BRD-1 placement also matches CLPC payments before placement (BRNB.067/068): confirm Cashiering is the single payment intake and the placement gate consumes its result.</t>
        </is>
      </c>
      <c r="E85" s="12" t="inlineStr">
        <is>
          <t>CSHID.020, CSHID.008</t>
        </is>
      </c>
      <c r="F85" s="32" t="inlineStr">
        <is>
          <t>Partially answered</t>
        </is>
      </c>
      <c r="G85" s="12" t="inlineStr">
        <is>
          <t>Handling fee: PN for CLPC, Location Reference for OTC; PN is the LAMD matching key. General pre-booked key open. (BRD-12 BRIDSP-31; BRD-6 BRRN.029 / 039)</t>
        </is>
      </c>
      <c r="H85" s="12" t="inlineStr"/>
      <c r="I85" s="12" t="inlineStr"/>
      <c r="J85" s="12" t="inlineStr">
        <is>
          <t>DCR-027</t>
        </is>
      </c>
    </row>
    <row r="86" ht="41.8" customHeight="1">
      <c r="A86" s="12" t="inlineStr">
        <is>
          <t>OQ13</t>
        </is>
      </c>
      <c r="B86" s="12" t="inlineStr">
        <is>
          <t>BRD-2 OPS</t>
        </is>
      </c>
      <c r="C86" s="12" t="inlineStr">
        <is>
          <t>Check pick-up</t>
        </is>
      </c>
      <c r="D86" s="12" t="inlineStr">
        <is>
          <t>How does the Collection 'for check pick' status reach Operations? Is the AR printed and handed over at pick-up?</t>
        </is>
      </c>
      <c r="E86" s="12" t="inlineStr">
        <is>
          <t>CSHID.009</t>
        </is>
      </c>
      <c r="F86" s="32" t="inlineStr">
        <is>
          <t>Partially answered</t>
        </is>
      </c>
      <c r="G86" s="12" t="inlineStr">
        <is>
          <t>Check pick-up is a Collection Handler task in BIBS. Printing of the AR at pick-up open. (BRD-4 p.40)</t>
        </is>
      </c>
      <c r="H86" s="12" t="inlineStr"/>
      <c r="I86" s="12" t="inlineStr"/>
      <c r="J86" s="12" t="inlineStr"/>
    </row>
    <row r="87" ht="29.2" customHeight="1">
      <c r="A87" s="12" t="inlineStr">
        <is>
          <t>OQ14</t>
        </is>
      </c>
      <c r="B87" s="12" t="inlineStr">
        <is>
          <t>BRD-2 OPS</t>
        </is>
      </c>
      <c r="C87" s="12" t="inlineStr">
        <is>
          <t>AR Insurance</t>
        </is>
      </c>
      <c r="D87" s="12" t="inlineStr">
        <is>
          <t>Definition and identification of non-premium insurer payments (refunds of remitted premium, others) and the AR Insurance accounting.</t>
        </is>
      </c>
      <c r="E87" s="12" t="inlineStr">
        <is>
          <t>CSHID.021, ADJID.012</t>
        </is>
      </c>
      <c r="F87" s="32" t="inlineStr">
        <is>
          <t>Partially answered</t>
        </is>
      </c>
      <c r="G87" s="12" t="inlineStr">
        <is>
          <t>AR insurer's refund and A/P refund from insurer are separate schedules. (BRD-5 Appendix C)</t>
        </is>
      </c>
      <c r="H87" s="12" t="inlineStr"/>
      <c r="I87" s="12" t="inlineStr"/>
      <c r="J87" s="12" t="inlineStr"/>
    </row>
    <row r="88" ht="54.4" customHeight="1">
      <c r="A88" s="12" t="inlineStr">
        <is>
          <t>OQ15</t>
        </is>
      </c>
      <c r="B88" s="12" t="inlineStr">
        <is>
          <t>BRD-2 OPS</t>
        </is>
      </c>
      <c r="C88" s="12" t="inlineStr">
        <is>
          <t>Dispositions</t>
        </is>
      </c>
      <c r="D88" s="12" t="inlineStr">
        <is>
          <t>Full disposition type list, which require approval and by whom, and the refund hand-off to Collection / Disbursement.</t>
        </is>
      </c>
      <c r="E88" s="12" t="inlineStr">
        <is>
          <t>CSHID.024/025, ADJID.013</t>
        </is>
      </c>
      <c r="F88" s="32" t="inlineStr">
        <is>
          <t>Partially answered</t>
        </is>
      </c>
      <c r="G88" s="12" t="inlineStr">
        <is>
          <t>Seven unapplied dispositions plus Handling Fee; refund path through the RRF. Approvals open. (Report List #105; BRD-12 BRIDSP-31; BRD-5 MKT 1.11.0, 2.23.0-2.24.0)</t>
        </is>
      </c>
      <c r="H88" s="12" t="inlineStr"/>
      <c r="I88" s="12" t="inlineStr">
        <is>
          <t>CQ08, CQ10</t>
        </is>
      </c>
      <c r="J88" s="12" t="inlineStr">
        <is>
          <t>DCR-126, DCR-162, DCR-205</t>
        </is>
      </c>
    </row>
    <row r="89" ht="54.4" customHeight="1">
      <c r="A89" s="12" t="inlineStr">
        <is>
          <t>OQ16</t>
        </is>
      </c>
      <c r="B89" s="12" t="inlineStr">
        <is>
          <t>BRD-2 OPS</t>
        </is>
      </c>
      <c r="C89" s="12" t="inlineStr">
        <is>
          <t>BIR 2307 flow</t>
        </is>
      </c>
      <c r="D89" s="12" t="inlineStr">
        <is>
          <t>Certificate statuses, sorting per insurer, when Dr DTIP / Cr PR2307 is posted (on validation or on release to insurer), and whether Marketing tagging stays in BrokerVerse or comes from the Collection system.</t>
        </is>
      </c>
      <c r="E89" s="12" t="inlineStr">
        <is>
          <t>CSHID.026/027, MKTID.010/013, DBMID.001</t>
        </is>
      </c>
      <c r="F89" s="32" t="inlineStr">
        <is>
          <t>Partially answered</t>
        </is>
      </c>
      <c r="G89" s="12" t="inlineStr">
        <is>
          <t>2307 tagging stays in BIBS; client 2307s are remitted to insurers in batches. Posting moment open. (BRD-4 p.41, p.59; BRD-5 Appendix C, DIS 2.11)</t>
        </is>
      </c>
      <c r="H89" s="12" t="inlineStr"/>
      <c r="I89" s="12" t="inlineStr">
        <is>
          <t>AQ16</t>
        </is>
      </c>
      <c r="J89" s="12" t="inlineStr">
        <is>
          <t>DCR-028</t>
        </is>
      </c>
    </row>
    <row r="90" ht="41.8" customHeight="1">
      <c r="A90" s="12" t="inlineStr">
        <is>
          <t>OQ17</t>
        </is>
      </c>
      <c r="B90" s="12" t="inlineStr">
        <is>
          <t>BRD-2 OPS</t>
        </is>
      </c>
      <c r="C90" s="12" t="inlineStr">
        <is>
          <t>Remittance types / schedule</t>
        </is>
      </c>
      <c r="D90" s="12" t="inlineStr">
        <is>
          <t>How an invoice is classified With Incentives / Normal-Dollar / Normal-Peso; extraction schedule ('Batch Run: TDB'); file naming; shared-drive path, or is an in-system repository acceptable?</t>
        </is>
      </c>
      <c r="E90" s="12" t="inlineStr">
        <is>
          <t>RMTID.001/003/007</t>
        </is>
      </c>
      <c r="F90" s="32" t="inlineStr">
        <is>
          <t>Partially answered</t>
        </is>
      </c>
      <c r="G90" s="12" t="inlineStr">
        <is>
          <t>Target is a single master database; Claims still names a shared drive, Collections FS04. (BRD-12 p.6; BRD-7 p.39-40; BRD-4 FRID-041 / 042)</t>
        </is>
      </c>
      <c r="H90" s="12" t="inlineStr"/>
      <c r="I90" s="12" t="inlineStr">
        <is>
          <t>SANC-SQ16</t>
        </is>
      </c>
      <c r="J90" s="12" t="inlineStr">
        <is>
          <t>DCR-019, DCR-084, DCR-152</t>
        </is>
      </c>
    </row>
    <row r="91" ht="29.2" customHeight="1">
      <c r="A91" s="12" t="inlineStr">
        <is>
          <t>OQ18</t>
        </is>
      </c>
      <c r="B91" s="12" t="inlineStr">
        <is>
          <t>BRD-2 OPS</t>
        </is>
      </c>
      <c r="C91" s="12" t="inlineStr">
        <is>
          <t>EOD trigger</t>
        </is>
      </c>
      <c r="D91" s="12" t="inlineStr">
        <is>
          <t>Meaning of 'trigger extraction at end of day if payment application is searched' (RMTID.005, summary 1.e).</t>
        </is>
      </c>
      <c r="E91" s="12" t="inlineStr">
        <is>
          <t>RMTID.005</t>
        </is>
      </c>
      <c r="F91" s="32" t="inlineStr">
        <is>
          <t>Open</t>
        </is>
      </c>
      <c r="G91" s="12" t="inlineStr"/>
      <c r="H91" s="12" t="inlineStr"/>
      <c r="I91" s="12" t="inlineStr"/>
      <c r="J91" s="12" t="inlineStr"/>
    </row>
    <row r="92" ht="29.2" customHeight="1">
      <c r="A92" s="12" t="inlineStr">
        <is>
          <t>OQ19</t>
        </is>
      </c>
      <c r="B92" s="12" t="inlineStr">
        <is>
          <t>BRD-2 OPS</t>
        </is>
      </c>
      <c r="C92" s="12" t="inlineStr">
        <is>
          <t>Paid AR &gt; DTIP</t>
        </is>
      </c>
      <c r="D92" s="12" t="inlineStr">
        <is>
          <t>Expected result says remit only the DTIP balance; acceptance criteria say flag and exclude. Which one?</t>
        </is>
      </c>
      <c r="E92" s="12" t="inlineStr">
        <is>
          <t>RMTID.014/015</t>
        </is>
      </c>
      <c r="F92" s="32" t="inlineStr">
        <is>
          <t>Open</t>
        </is>
      </c>
      <c r="G92" s="12" t="inlineStr"/>
      <c r="H92" s="12" t="inlineStr"/>
      <c r="I92" s="12" t="inlineStr"/>
      <c r="J92" s="12" t="inlineStr">
        <is>
          <t>DCR-015</t>
        </is>
      </c>
    </row>
    <row r="93" ht="29.2" customHeight="1">
      <c r="A93" s="12" t="inlineStr">
        <is>
          <t>OQ20</t>
        </is>
      </c>
      <c r="B93" s="12" t="inlineStr">
        <is>
          <t>BRD-2 OPS</t>
        </is>
      </c>
      <c r="C93" s="12" t="inlineStr">
        <is>
          <t>Check clearing</t>
        </is>
      </c>
      <c r="D93" s="12" t="inlineStr">
        <is>
          <t>Holding period: 3 banking days from AR date or deposit date? Source of 'cleared' status (bank reconciliation, bank file, manual)?</t>
        </is>
      </c>
      <c r="E93" s="12" t="inlineStr">
        <is>
          <t>RMTID.017/018/028</t>
        </is>
      </c>
      <c r="F93" s="32" t="inlineStr">
        <is>
          <t>Open</t>
        </is>
      </c>
      <c r="G93" s="12" t="inlineStr"/>
      <c r="H93" s="12" t="inlineStr"/>
      <c r="I93" s="12" t="inlineStr"/>
      <c r="J93" s="12" t="inlineStr"/>
    </row>
    <row r="94" ht="41.8" customHeight="1">
      <c r="A94" s="12" t="inlineStr">
        <is>
          <t>OQ21</t>
        </is>
      </c>
      <c r="B94" s="12" t="inlineStr">
        <is>
          <t>BRD-2 OPS</t>
        </is>
      </c>
      <c r="C94" s="12" t="inlineStr">
        <is>
          <t>Remittance approval</t>
        </is>
      </c>
      <c r="D94" s="12" t="inlineStr">
        <is>
          <t>Who approves a remittance batch (TL / TH) and the full status model; RMTID.019 mixes payment statuses (Unapplied, Outstanding Balance) with remittance statuses.</t>
        </is>
      </c>
      <c r="E94" s="12" t="inlineStr">
        <is>
          <t>RMTID.010/019/029</t>
        </is>
      </c>
      <c r="F94" s="32" t="inlineStr">
        <is>
          <t>Open</t>
        </is>
      </c>
      <c r="G94" s="12" t="inlineStr"/>
      <c r="H94" s="12" t="inlineStr"/>
      <c r="I94" s="12" t="inlineStr"/>
      <c r="J94" s="12" t="inlineStr">
        <is>
          <t>DCR-016</t>
        </is>
      </c>
    </row>
    <row r="95" ht="41.8" customHeight="1">
      <c r="A95" s="12" t="inlineStr">
        <is>
          <t>OQ22</t>
        </is>
      </c>
      <c r="B95" s="12" t="inlineStr">
        <is>
          <t>BRD-2 OPS</t>
        </is>
      </c>
      <c r="C95" s="12" t="inlineStr">
        <is>
          <t>Insurer OR upload</t>
        </is>
      </c>
      <c r="D95" s="12" t="inlineStr">
        <is>
          <t>Layout of the insurer-populated remittance schedule; OR amount vs paid PR comparison level (invoice / batch) and tolerance; why is MKTID.001 (send schedule to insurer) a Marketing request?</t>
        </is>
      </c>
      <c r="E95" s="12" t="inlineStr">
        <is>
          <t>RMTID.012/013/016, MKTID.001</t>
        </is>
      </c>
      <c r="F95" s="32" t="inlineStr">
        <is>
          <t>Open</t>
        </is>
      </c>
      <c r="G95" s="12" t="inlineStr"/>
      <c r="H95" s="12" t="inlineStr"/>
      <c r="I95" s="12" t="inlineStr"/>
      <c r="J95" s="12" t="inlineStr"/>
    </row>
    <row r="96" ht="41.8" customHeight="1">
      <c r="A96" s="12" t="inlineStr">
        <is>
          <t>OQ23</t>
        </is>
      </c>
      <c r="B96" s="12" t="inlineStr">
        <is>
          <t>BRD-2 OPS</t>
        </is>
      </c>
      <c r="C96" s="12" t="inlineStr">
        <is>
          <t>Early remittance incentive</t>
        </is>
      </c>
      <c r="D96" s="12" t="inlineStr">
        <is>
          <t>Rates per insurer / product (2% for CLG / CBG motor and fire?), window start (inception vs booking), deduction from the remittance vs separate OR, and the difference between RMTID.023 and PRCID.028.</t>
        </is>
      </c>
      <c r="E96" s="12" t="inlineStr">
        <is>
          <t>RMTID.023, PRCID.028</t>
        </is>
      </c>
      <c r="F96" s="32" t="inlineStr">
        <is>
          <t>Partially answered</t>
        </is>
      </c>
      <c r="G96" s="12" t="inlineStr">
        <is>
          <t>Early incentive: service invoice with 2% withholding; Other Income. Rates not given. (BRD-5 DIS 3.29.1, FRBS 3.1.2; BRD-4 draft 062)</t>
        </is>
      </c>
      <c r="H96" s="12" t="inlineStr"/>
      <c r="I96" s="12" t="inlineStr">
        <is>
          <t>AQ25</t>
        </is>
      </c>
      <c r="J96" s="12" t="inlineStr">
        <is>
          <t>DCR-013</t>
        </is>
      </c>
    </row>
    <row r="97" ht="41.8" customHeight="1">
      <c r="A97" s="12" t="inlineStr">
        <is>
          <t>OQ24</t>
        </is>
      </c>
      <c r="B97" s="12" t="inlineStr">
        <is>
          <t>BRD-2 OPS</t>
        </is>
      </c>
      <c r="C97" s="12" t="inlineStr">
        <is>
          <t>Hold remittance</t>
        </is>
      </c>
      <c r="D97" s="12" t="inlineStr">
        <is>
          <t>Who requests and approves holds (Marketing AO / TL / UH), maximum hold and extension rules, whether hold data will flow in from a Marketing system.</t>
        </is>
      </c>
      <c r="E97" s="12" t="inlineStr">
        <is>
          <t>MKTID.002-006, RMTID.021</t>
        </is>
      </c>
      <c r="F97" s="32" t="inlineStr">
        <is>
          <t>Open</t>
        </is>
      </c>
      <c r="G97" s="12" t="inlineStr"/>
      <c r="H97" s="12" t="inlineStr"/>
      <c r="I97" s="12" t="inlineStr"/>
      <c r="J97" s="12" t="inlineStr"/>
    </row>
    <row r="98" ht="54.4" customHeight="1">
      <c r="A98" s="12" t="inlineStr">
        <is>
          <t>OQ25</t>
        </is>
      </c>
      <c r="B98" s="12" t="inlineStr">
        <is>
          <t>BRD-2 OPS</t>
        </is>
      </c>
      <c r="C98" s="12" t="inlineStr">
        <is>
          <t>Special remittance</t>
        </is>
      </c>
      <c r="D98" s="12" t="inlineStr">
        <is>
          <t>Approvers and SLA; exact eligibility for claims / renewal / installment / immediate OR.</t>
        </is>
      </c>
      <c r="E98" s="12" t="inlineStr">
        <is>
          <t>MKTID.009, RMTID.030</t>
        </is>
      </c>
      <c r="F98" s="32" t="inlineStr">
        <is>
          <t>Partially answered</t>
        </is>
      </c>
      <c r="G98" s="12" t="inlineStr">
        <is>
          <t>Claims condition: invoice of the cover of an open claim in status "With BDOI - For Premium Remittance". Approvers and SLA open. (BRD-7 BRCLM.010)</t>
        </is>
      </c>
      <c r="H98" s="12" t="inlineStr"/>
      <c r="I98" s="12" t="inlineStr"/>
      <c r="J98" s="12" t="inlineStr"/>
    </row>
    <row r="99" ht="29.2" customHeight="1">
      <c r="A99" s="12" t="inlineStr">
        <is>
          <t>OQ26</t>
        </is>
      </c>
      <c r="B99" s="12" t="inlineStr">
        <is>
          <t>BRD-2 OPS</t>
        </is>
      </c>
      <c r="C99" s="12" t="inlineStr">
        <is>
          <t>Write-off</t>
        </is>
      </c>
      <c r="D99" s="12" t="inlineStr">
        <is>
          <t>Who writes off accounts and through which transaction (adjustment request type 'Write-off', minimal balance file)?</t>
        </is>
      </c>
      <c r="E99" s="12" t="inlineStr">
        <is>
          <t>RMTID.022, ADJID.026</t>
        </is>
      </c>
      <c r="F99" s="32" t="inlineStr">
        <is>
          <t>Open</t>
        </is>
      </c>
      <c r="G99" s="12" t="inlineStr"/>
      <c r="H99" s="12" t="inlineStr"/>
      <c r="I99" s="12" t="inlineStr"/>
      <c r="J99" s="12" t="inlineStr">
        <is>
          <t>DCR-014</t>
        </is>
      </c>
    </row>
    <row r="100" ht="16.6" customHeight="1">
      <c r="A100" s="12" t="inlineStr">
        <is>
          <t>OQ27</t>
        </is>
      </c>
      <c r="B100" s="12" t="inlineStr">
        <is>
          <t>BRD-2 OPS</t>
        </is>
      </c>
      <c r="C100" s="12" t="inlineStr">
        <is>
          <t>Estimated items</t>
        </is>
      </c>
      <c r="D100" s="12" t="inlineStr">
        <is>
          <t>Definition of 'estimated items' in production reports.</t>
        </is>
      </c>
      <c r="E100" s="12" t="inlineStr">
        <is>
          <t>RMTID.037, CMRID.014</t>
        </is>
      </c>
      <c r="F100" s="32" t="inlineStr">
        <is>
          <t>Open</t>
        </is>
      </c>
      <c r="G100" s="12" t="inlineStr"/>
      <c r="H100" s="12" t="inlineStr"/>
      <c r="I100" s="12" t="inlineStr"/>
      <c r="J100" s="12" t="inlineStr"/>
    </row>
    <row r="101" ht="29.2" customHeight="1">
      <c r="A101" s="12" t="inlineStr">
        <is>
          <t>OQ28</t>
        </is>
      </c>
      <c r="B101" s="12" t="inlineStr">
        <is>
          <t>BRD-2 OPS</t>
        </is>
      </c>
      <c r="C101" s="12" t="inlineStr">
        <is>
          <t>Invoice locking</t>
        </is>
      </c>
      <c r="D101" s="12" t="inlineStr">
        <is>
          <t>Which Comptrollership activity holds an invoice ('still with comptrollership')? List of lock reasons.</t>
        </is>
      </c>
      <c r="E101" s="12" t="inlineStr">
        <is>
          <t>RMTID.040</t>
        </is>
      </c>
      <c r="F101" s="32" t="inlineStr">
        <is>
          <t>Open</t>
        </is>
      </c>
      <c r="G101" s="12" t="inlineStr"/>
      <c r="H101" s="12" t="inlineStr"/>
      <c r="I101" s="12" t="inlineStr"/>
      <c r="J101" s="12" t="inlineStr"/>
    </row>
    <row r="102" ht="41.8" customHeight="1">
      <c r="A102" s="12" t="inlineStr">
        <is>
          <t>OQ29</t>
        </is>
      </c>
      <c r="B102" s="12" t="inlineStr">
        <is>
          <t>BRD-2 OPS</t>
        </is>
      </c>
      <c r="C102" s="12" t="inlineStr">
        <is>
          <t>Prod recon files</t>
        </is>
      </c>
      <c r="D102" s="12" t="inlineStr">
        <is>
          <t>Extraction frequency per insurer; production register template and naming (TBD); cover letter; password convention; channel to send and receive insurer reports (e-mail, SFTP, portal).</t>
        </is>
      </c>
      <c r="E102" s="12" t="inlineStr">
        <is>
          <t>PRCID.001-009</t>
        </is>
      </c>
      <c r="F102" s="32" t="inlineStr">
        <is>
          <t>Partially answered</t>
        </is>
      </c>
      <c r="G102" s="12" t="inlineStr">
        <is>
          <t>A secure insurer portal will exist. Frequencies, templates and naming open. (BRD-8 BRID-005)</t>
        </is>
      </c>
      <c r="H102" s="12" t="inlineStr">
        <is>
          <t>Q06</t>
        </is>
      </c>
      <c r="I102" s="12" t="inlineStr"/>
      <c r="J102" s="12" t="inlineStr">
        <is>
          <t>DCR-019</t>
        </is>
      </c>
    </row>
    <row r="103" ht="41.8" customHeight="1">
      <c r="A103" s="12" t="inlineStr">
        <is>
          <t>OQ30</t>
        </is>
      </c>
      <c r="B103" s="12" t="inlineStr">
        <is>
          <t>BRD-2 OPS</t>
        </is>
      </c>
      <c r="C103" s="12" t="inlineStr">
        <is>
          <t>Recon matching</t>
        </is>
      </c>
      <c r="D103" s="12" t="inlineStr">
        <is>
          <t>Keys (PRCID.022: policy + invoice; PRCID.027: eight fields); is the 1.00 tolerance per amount field or total; definition of 'matched with discrepancy'; automatch frequency (left blank).</t>
        </is>
      </c>
      <c r="E103" s="12" t="inlineStr">
        <is>
          <t>PRCID.022-027</t>
        </is>
      </c>
      <c r="F103" s="32" t="inlineStr">
        <is>
          <t>Open</t>
        </is>
      </c>
      <c r="G103" s="12" t="inlineStr"/>
      <c r="H103" s="12" t="inlineStr"/>
      <c r="I103" s="12" t="inlineStr"/>
      <c r="J103" s="12" t="inlineStr">
        <is>
          <t>DCR-019</t>
        </is>
      </c>
    </row>
    <row r="104" ht="29.2" customHeight="1">
      <c r="A104" s="12" t="inlineStr">
        <is>
          <t>OQ31</t>
        </is>
      </c>
      <c r="B104" s="12" t="inlineStr">
        <is>
          <t>BRD-2 OPS</t>
        </is>
      </c>
      <c r="C104" s="12" t="inlineStr">
        <is>
          <t>Recon lists</t>
        </is>
      </c>
      <c r="D104" s="12" t="inlineStr">
        <is>
          <t>Company-concerned list (to be provided), disposition list for unmatched items, 'For Closure' handling.</t>
        </is>
      </c>
      <c r="E104" s="12" t="inlineStr">
        <is>
          <t>PRCID.016/033/038/039</t>
        </is>
      </c>
      <c r="F104" s="32" t="inlineStr">
        <is>
          <t>Open</t>
        </is>
      </c>
      <c r="G104" s="12" t="inlineStr"/>
      <c r="H104" s="12" t="inlineStr"/>
      <c r="I104" s="12" t="inlineStr"/>
      <c r="J104" s="12" t="inlineStr">
        <is>
          <t>DCR-019</t>
        </is>
      </c>
    </row>
    <row r="105" ht="54.4" customHeight="1">
      <c r="A105" s="12" t="inlineStr">
        <is>
          <t>OQ32</t>
        </is>
      </c>
      <c r="B105" s="12" t="inlineStr">
        <is>
          <t>BRD-2 OPS</t>
        </is>
      </c>
      <c r="C105" s="12" t="inlineStr">
        <is>
          <t>Endorsement ownership</t>
        </is>
      </c>
      <c r="D105" s="12" t="inlineStr">
        <is>
          <t>Split between BRD-1 booking / adjustment (BRNB.076/081/094) and this BRD (ADJID): who requests (Marketing) vs processes (Adjustment); endorsement request number format; endorsement reference (insurer) vs request no.; endorsement document list (ADJID.025 blank).</t>
        </is>
      </c>
      <c r="E105" s="12" t="inlineStr">
        <is>
          <t>ADJID.001/003/015/020/023/025, MKTID.008</t>
        </is>
      </c>
      <c r="F105" s="32" t="inlineStr">
        <is>
          <t>Partially answered</t>
        </is>
      </c>
      <c r="G105" s="12" t="inlineStr">
        <is>
          <t>Endorsements must be on the mother policy before renewal approval. Ownership of the request open. (BRD-6 BRRN.032)</t>
        </is>
      </c>
      <c r="H105" s="12" t="inlineStr"/>
      <c r="I105" s="12" t="inlineStr"/>
      <c r="J105" s="12" t="inlineStr">
        <is>
          <t>DCR-012, DCR-019, DCR-027</t>
        </is>
      </c>
    </row>
    <row r="106" ht="41.8" customHeight="1">
      <c r="A106" s="12" t="inlineStr">
        <is>
          <t>OQ33</t>
        </is>
      </c>
      <c r="B106" s="12" t="inlineStr">
        <is>
          <t>BRD-2 OPS</t>
        </is>
      </c>
      <c r="C106" s="12" t="inlineStr">
        <is>
          <t>Package limits / co-insurance</t>
        </is>
      </c>
      <c r="D106" s="12" t="inlineStr">
        <is>
          <t>Package TSI limits and insurer capacity per product; co-insurance: one invoice with shares (ADJID.027) - lead insurer and remittance per insurer?</t>
        </is>
      </c>
      <c r="E106" s="12" t="inlineStr">
        <is>
          <t>ADJID.008/027</t>
        </is>
      </c>
      <c r="F106" s="32" t="inlineStr">
        <is>
          <t>Partially answered</t>
        </is>
      </c>
      <c r="G106" s="12" t="inlineStr">
        <is>
          <t>Package terms and insurer-specific values maintained by MBS in Product Maintenance. No limits given. (BRD-3 BRPM.015, PMADD02)</t>
        </is>
      </c>
      <c r="H106" s="12" t="inlineStr"/>
      <c r="I106" s="12" t="inlineStr"/>
      <c r="J106" s="12" t="inlineStr"/>
    </row>
    <row r="107" ht="29.2" customHeight="1">
      <c r="A107" s="12" t="inlineStr">
        <is>
          <t>OQ34</t>
        </is>
      </c>
      <c r="B107" s="12" t="inlineStr">
        <is>
          <t>BRD-2 OPS</t>
        </is>
      </c>
      <c r="C107" s="12" t="inlineStr">
        <is>
          <t>Service invoice on adjustments</t>
        </is>
      </c>
      <c r="D107" s="12" t="inlineStr">
        <is>
          <t>Addendum ADJID.014: for a decrease in commission / income, is a credit memo or a negative service invoice issued? Numbering and recipient.</t>
        </is>
      </c>
      <c r="E107" s="12" t="inlineStr">
        <is>
          <t>ADJID.014, BRNB.100</t>
        </is>
      </c>
      <c r="F107" s="32" t="inlineStr">
        <is>
          <t>Open</t>
        </is>
      </c>
      <c r="G107" s="12" t="inlineStr"/>
      <c r="H107" s="12" t="inlineStr"/>
      <c r="I107" s="12" t="inlineStr"/>
      <c r="J107" s="12" t="inlineStr"/>
    </row>
    <row r="108" ht="41.8" customHeight="1">
      <c r="A108" s="12" t="inlineStr">
        <is>
          <t>OQ35</t>
        </is>
      </c>
      <c r="B108" s="12" t="inlineStr">
        <is>
          <t>BRD-2 OPS</t>
        </is>
      </c>
      <c r="C108" s="12" t="inlineStr">
        <is>
          <t>Endorsement type names</t>
        </is>
      </c>
      <c r="D108" s="12" t="inlineStr">
        <is>
          <t>'Extension of cover' is both financial (ADJID.002e / 010, additional premium, approval) and non-financial (ADJID.004 items 2-4). Confirm the list and who approves additional premium.</t>
        </is>
      </c>
      <c r="E108" s="12" t="inlineStr">
        <is>
          <t>ADJID.002/004/010</t>
        </is>
      </c>
      <c r="F108" s="32" t="inlineStr">
        <is>
          <t>Open</t>
        </is>
      </c>
      <c r="G108" s="12" t="inlineStr"/>
      <c r="H108" s="12" t="inlineStr"/>
      <c r="I108" s="12" t="inlineStr"/>
      <c r="J108" s="12" t="inlineStr">
        <is>
          <t>DCR-018</t>
        </is>
      </c>
    </row>
    <row r="109" ht="29.2" customHeight="1">
      <c r="A109" s="12" t="inlineStr">
        <is>
          <t>OQ36</t>
        </is>
      </c>
      <c r="B109" s="12" t="inlineStr">
        <is>
          <t>BRD-2 OPS</t>
        </is>
      </c>
      <c r="C109" s="12" t="inlineStr">
        <is>
          <t>Refund computation</t>
        </is>
      </c>
      <c r="D109" s="12" t="inlineStr">
        <is>
          <t>Partial cancellation and decrease of TSI: pro-rata or short-period rate; 'Canceled flat retain DST'; commission recovery.</t>
        </is>
      </c>
      <c r="E109" s="12" t="inlineStr">
        <is>
          <t>ADJID.009/014</t>
        </is>
      </c>
      <c r="F109" s="32" t="inlineStr">
        <is>
          <t>Open</t>
        </is>
      </c>
      <c r="G109" s="12" t="inlineStr"/>
      <c r="H109" s="12" t="inlineStr"/>
      <c r="I109" s="12" t="inlineStr"/>
      <c r="J109" s="12" t="inlineStr"/>
    </row>
    <row r="110" ht="16.6" customHeight="1">
      <c r="A110" s="12" t="inlineStr">
        <is>
          <t>OQ37</t>
        </is>
      </c>
      <c r="B110" s="12" t="inlineStr">
        <is>
          <t>BRD-2 OPS</t>
        </is>
      </c>
      <c r="C110" s="12" t="inlineStr">
        <is>
          <t>Over-adjustment</t>
        </is>
      </c>
      <c r="D110" s="12" t="inlineStr">
        <is>
          <t>Baseline / limit values for allowable adjustments.</t>
        </is>
      </c>
      <c r="E110" s="12" t="inlineStr">
        <is>
          <t>ADJID.028</t>
        </is>
      </c>
      <c r="F110" s="32" t="inlineStr">
        <is>
          <t>Open</t>
        </is>
      </c>
      <c r="G110" s="12" t="inlineStr"/>
      <c r="H110" s="12" t="inlineStr"/>
      <c r="I110" s="12" t="inlineStr"/>
      <c r="J110" s="12" t="inlineStr"/>
    </row>
    <row r="111" ht="54.4" customHeight="1">
      <c r="A111" s="12" t="inlineStr">
        <is>
          <t>OQ38</t>
        </is>
      </c>
      <c r="B111" s="12" t="inlineStr">
        <is>
          <t>BRD-2 OPS</t>
        </is>
      </c>
      <c r="C111" s="12" t="inlineStr">
        <is>
          <t>Direct payment</t>
        </is>
      </c>
      <c r="D111" s="12" t="inlineStr">
        <is>
          <t>DP list sources (shared folders vs Collection system), naming and schedule; how 'fully paid to insurer' is confirmed; DP PR reversal entries; commission billing format; insurer response file.</t>
        </is>
      </c>
      <c r="E111" s="12" t="inlineStr">
        <is>
          <t>CMRID.001-013, MKTID.011/012</t>
        </is>
      </c>
      <c r="F111" s="32" t="inlineStr">
        <is>
          <t>Partially answered</t>
        </is>
      </c>
      <c r="G111" s="12" t="inlineStr">
        <is>
          <t>DP list is the Collections disposition "DP PR for reversal"; EB direct billing uploaded by the AO. (BRD-4 FRID-024 / 025 / 028; BRD-8 BRID-025)</t>
        </is>
      </c>
      <c r="H111" s="12" t="inlineStr"/>
      <c r="I111" s="12" t="inlineStr">
        <is>
          <t>EBQ17, Q29</t>
        </is>
      </c>
      <c r="J111" s="12" t="inlineStr">
        <is>
          <t>DCR-027</t>
        </is>
      </c>
    </row>
    <row r="112" ht="67" customHeight="1">
      <c r="A112" s="12" t="inlineStr">
        <is>
          <t>OQ39</t>
        </is>
      </c>
      <c r="B112" s="12" t="inlineStr">
        <is>
          <t>BRD-2 OPS</t>
        </is>
      </c>
      <c r="C112" s="12" t="inlineStr">
        <is>
          <t>Incentive schemes</t>
        </is>
      </c>
      <c r="D112" s="12" t="inlineStr">
        <is>
          <t>No Touch / Top Up targets, tiers, rates, multipliers and periods; Motor Mania amounts, thresholds and period; who pays whom; is 'pass-on to branches' a payout by BDOI (via Disbursement)? Relation to the BRD-1 incentive flag (BRNB.107, Q33).</t>
        </is>
      </c>
      <c r="E112" s="12" t="inlineStr">
        <is>
          <t>CMRID.003/005/006</t>
        </is>
      </c>
      <c r="F112" s="32" t="inlineStr">
        <is>
          <t>Partially answered</t>
        </is>
      </c>
      <c r="G112" s="12" t="inlineStr">
        <is>
          <t>No Touch = submitted CBG Motor accounts billed a service fee; criteria on the products matrix; CPC2 defined. Targets and tiers open. (Report List #164; BRD-3 PMADD07 / 08; BRD-5 DIS 3.29.2)</t>
        </is>
      </c>
      <c r="H112" s="12" t="inlineStr"/>
      <c r="I112" s="12" t="inlineStr">
        <is>
          <t>Q33, PQ04, AQ24, CQ24, SP-SQ14</t>
        </is>
      </c>
      <c r="J112" s="12" t="inlineStr">
        <is>
          <t>DCR-037</t>
        </is>
      </c>
    </row>
    <row r="113" ht="16.6" customHeight="1">
      <c r="A113" s="12" t="inlineStr">
        <is>
          <t>OQ40</t>
        </is>
      </c>
      <c r="B113" s="12" t="inlineStr">
        <is>
          <t>BRD-2 OPS</t>
        </is>
      </c>
      <c r="C113" s="12" t="inlineStr">
        <is>
          <t>Insurer feedback</t>
        </is>
      </c>
      <c r="D113" s="12" t="inlineStr">
        <is>
          <t>Feedback reason list; start of the 10-working-day SLA.</t>
        </is>
      </c>
      <c r="E113" s="12" t="inlineStr">
        <is>
          <t>CMRID.008/009/011</t>
        </is>
      </c>
      <c r="F113" s="32" t="inlineStr">
        <is>
          <t>Open</t>
        </is>
      </c>
      <c r="G113" s="12" t="inlineStr"/>
      <c r="H113" s="12" t="inlineStr"/>
      <c r="I113" s="12" t="inlineStr"/>
      <c r="J113" s="12" t="inlineStr"/>
    </row>
    <row r="114" ht="41.8" customHeight="1">
      <c r="A114" s="12" t="inlineStr">
        <is>
          <t>OQ41</t>
        </is>
      </c>
      <c r="B114" s="12" t="inlineStr">
        <is>
          <t>BRD-2 OPS</t>
        </is>
      </c>
      <c r="C114" s="12" t="inlineStr">
        <is>
          <t>BIR certificates</t>
        </is>
      </c>
      <c r="D114" s="12" t="inlineStr">
        <is>
          <t>CMRID.015 certificates are insurers' EWT certificates on commissions paid to BDOI: confirm, and the Comptrollership acknowledgment roles.</t>
        </is>
      </c>
      <c r="E114" s="12" t="inlineStr">
        <is>
          <t>CMRID.010/015</t>
        </is>
      </c>
      <c r="F114" s="32" t="inlineStr">
        <is>
          <t>Answered</t>
        </is>
      </c>
      <c r="G114" s="12" t="inlineStr">
        <is>
          <t>Disbursement receives the insurers' CWT certificates on commission and incentives and tags them. (BRD-5 DIS 2.11, Appendix B)</t>
        </is>
      </c>
      <c r="H114" s="12" t="inlineStr"/>
      <c r="I114" s="12" t="inlineStr"/>
      <c r="J114" s="12" t="inlineStr"/>
    </row>
    <row r="115" ht="41.8" customHeight="1">
      <c r="A115" s="12" t="inlineStr">
        <is>
          <t>OQ42</t>
        </is>
      </c>
      <c r="B115" s="12" t="inlineStr">
        <is>
          <t>BRD-2 OPS</t>
        </is>
      </c>
      <c r="C115" s="12" t="inlineStr">
        <is>
          <t>Report layouts</t>
        </is>
      </c>
      <c r="D115" s="12" t="inlineStr">
        <is>
          <t>Fields / formats for reports without detail in the Annex (Cashiering 9-18, 20-21; Remittance 8) and for CMRID.004 / 014.</t>
        </is>
      </c>
      <c r="E115" s="12" t="inlineStr">
        <is>
          <t>CSHID.023, RMTID.039, CMRID.004/014</t>
        </is>
      </c>
      <c r="F115" s="32" t="inlineStr">
        <is>
          <t>Partially answered</t>
        </is>
      </c>
      <c r="G115" s="12" t="inlineStr">
        <is>
          <t>Key fields of Cashiering 9-18, 20-21 and Remittance 8 listed. (Report List #85-96, #103; BRD-5 Appendices B-C)</t>
        </is>
      </c>
      <c r="H115" s="12" t="inlineStr"/>
      <c r="I115" s="12" t="inlineStr">
        <is>
          <t>AQ05, SP-SQ25, CQ21, SANC-SQ17, CLQ21, EBQ21</t>
        </is>
      </c>
      <c r="J115" s="12" t="inlineStr"/>
    </row>
    <row r="116" ht="29.2" customHeight="1">
      <c r="A116" s="12" t="inlineStr">
        <is>
          <t>OQ43</t>
        </is>
      </c>
      <c r="B116" s="12" t="inlineStr">
        <is>
          <t>BRD-2 OPS</t>
        </is>
      </c>
      <c r="C116" s="12" t="inlineStr">
        <is>
          <t>Ageing</t>
        </is>
      </c>
      <c r="D116" s="12" t="inlineStr">
        <is>
          <t>Ageing buckets for Cashiering reports ('with aging').</t>
        </is>
      </c>
      <c r="E116" s="12" t="inlineStr">
        <is>
          <t>CSHID.023</t>
        </is>
      </c>
      <c r="F116" s="32" t="inlineStr">
        <is>
          <t>Partially answered</t>
        </is>
      </c>
      <c r="G116" s="12" t="inlineStr">
        <is>
          <t>ACSL ageing buckets given; Collections and Cashiering buckets not given. (BRD-5 Appendix C)</t>
        </is>
      </c>
      <c r="H116" s="12" t="inlineStr"/>
      <c r="I116" s="12" t="inlineStr">
        <is>
          <t>CQ14</t>
        </is>
      </c>
      <c r="J116" s="12" t="inlineStr">
        <is>
          <t>DCR-084, DCR-158</t>
        </is>
      </c>
    </row>
    <row r="117" ht="29.2" customHeight="1">
      <c r="A117" s="12" t="inlineStr">
        <is>
          <t>OQ44</t>
        </is>
      </c>
      <c r="B117" s="12" t="inlineStr">
        <is>
          <t>BRD-2 OPS</t>
        </is>
      </c>
      <c r="C117" s="12" t="inlineStr">
        <is>
          <t>NFR alignment</t>
        </is>
      </c>
      <c r="D117" s="12" t="inlineStr">
        <is>
          <t>Operations availability 07:00-18:30 vs BRD-1 07:00-22:00; response &lt; 5 s vs 10 s; backup retention 7 vs 5 years; RPO 24 h vs 4-hour backups.</t>
        </is>
      </c>
      <c r="E117" s="12" t="inlineStr">
        <is>
          <t>NFR</t>
        </is>
      </c>
      <c r="F117" s="32" t="inlineStr">
        <is>
          <t>Open</t>
        </is>
      </c>
      <c r="G117" s="12" t="inlineStr"/>
      <c r="H117" s="12" t="inlineStr">
        <is>
          <t>XQ08</t>
        </is>
      </c>
      <c r="I117" s="12" t="inlineStr"/>
      <c r="J117" s="12" t="inlineStr">
        <is>
          <t>DCR-025, DCR-133, DCR-135</t>
        </is>
      </c>
    </row>
    <row r="118" ht="54.4" customHeight="1">
      <c r="A118" s="12" t="inlineStr">
        <is>
          <t>OQ45</t>
        </is>
      </c>
      <c r="B118" s="12" t="inlineStr">
        <is>
          <t>BRD-2 OPS</t>
        </is>
      </c>
      <c r="C118" s="12" t="inlineStr">
        <is>
          <t>Marketing scope</t>
        </is>
      </c>
      <c r="D118" s="12" t="inlineStr">
        <is>
          <t>Are the MKTID activities (hold, special remittance, 2307 tagging, DP tagging, send schedule) delivered in the Operations build or by a Marketing / Collection BRD that will feed Operations?</t>
        </is>
      </c>
      <c r="E118" s="12" t="inlineStr">
        <is>
          <t>MKTID.001-013</t>
        </is>
      </c>
      <c r="F118" s="32" t="inlineStr">
        <is>
          <t>Partially answered</t>
        </is>
      </c>
      <c r="G118" s="12" t="inlineStr">
        <is>
          <t>Tagging dispositions and the handling-fee disposition are Marketing activities in BIBS. Holds and special remittance open. (BRD-4; BRD-12 BRIDSP-31)</t>
        </is>
      </c>
      <c r="H118" s="12" t="inlineStr"/>
      <c r="I118" s="12" t="inlineStr"/>
      <c r="J118" s="12" t="inlineStr">
        <is>
          <t>DCR-023, DCR-126</t>
        </is>
      </c>
    </row>
    <row r="119" ht="54.4" customHeight="1">
      <c r="A119" s="12" t="inlineStr">
        <is>
          <t>OQ46</t>
        </is>
      </c>
      <c r="B119" s="12" t="inlineStr">
        <is>
          <t>BRD-2 OPS</t>
        </is>
      </c>
      <c r="C119" s="12" t="inlineStr">
        <is>
          <t>Claims</t>
        </is>
      </c>
      <c r="D119" s="12" t="inlineStr">
        <is>
          <t>What does Operations need from the Claims system (e.g. special remittance for claims)?</t>
        </is>
      </c>
      <c r="E119" s="12" t="inlineStr">
        <is>
          <t>BRQID.004, MKTID.009</t>
        </is>
      </c>
      <c r="F119" s="32" t="inlineStr">
        <is>
          <t>Partially answered</t>
        </is>
      </c>
      <c r="G119" s="12" t="inlineStr">
        <is>
          <t>Claims blocks on unpaid premium and feeds the special remittance; Renewal needs claims per expiring policy. (BRD-7 BRCLM.001 / 010; BRD-6 BRRN.027 / 031 / 034)</t>
        </is>
      </c>
      <c r="H119" s="12" t="inlineStr"/>
      <c r="I119" s="12" t="inlineStr"/>
      <c r="J119" s="12" t="inlineStr">
        <is>
          <t>DCR-022, DCR-086</t>
        </is>
      </c>
    </row>
    <row r="120" ht="16.6" customHeight="1">
      <c r="A120" s="12" t="inlineStr">
        <is>
          <t>OQ47</t>
        </is>
      </c>
      <c r="B120" s="12" t="inlineStr">
        <is>
          <t>BRD-2 OPS</t>
        </is>
      </c>
      <c r="C120" s="12" t="inlineStr">
        <is>
          <t>Search logs</t>
        </is>
      </c>
      <c r="D120" s="12" t="inlineStr">
        <is>
          <t>Purpose and retention of search logs (CSHID.010 AC 7).</t>
        </is>
      </c>
      <c r="E120" s="12" t="inlineStr">
        <is>
          <t>CSHID.010</t>
        </is>
      </c>
      <c r="F120" s="32" t="inlineStr">
        <is>
          <t>Open</t>
        </is>
      </c>
      <c r="G120" s="12" t="inlineStr"/>
      <c r="H120" s="12" t="inlineStr"/>
      <c r="I120" s="12" t="inlineStr"/>
      <c r="J120" s="12" t="inlineStr"/>
    </row>
    <row r="121" ht="54.4" customHeight="1">
      <c r="A121" s="12" t="inlineStr">
        <is>
          <t>OQ48</t>
        </is>
      </c>
      <c r="B121" s="12" t="inlineStr">
        <is>
          <t>BRD-2 OPS</t>
        </is>
      </c>
      <c r="C121" s="12" t="inlineStr">
        <is>
          <t>Roles</t>
        </is>
      </c>
      <c r="D121" s="12" t="inlineStr">
        <is>
          <t>Operations user access matrix (personas: Cashier HO / branch, TL, TH, Remittance Processor, Prod Recon Handler, Adjustment Processor, Commission Handler, Marketing Collection, Comptrollership, Disbursement) - 'user roles and authorization will be further defined' (Addendum).</t>
        </is>
      </c>
      <c r="E121" s="12" t="inlineStr">
        <is>
          <t>BRQID.001-003, RMTID.002</t>
        </is>
      </c>
      <c r="F121" s="32" t="inlineStr">
        <is>
          <t>Partially answered</t>
        </is>
      </c>
      <c r="G121" s="12" t="inlineStr">
        <is>
          <t>Personas per area. The BIBS-wide matrix is still a BDOI deliverable. (BRD-3 to BRD-12 personas and matrices)</t>
        </is>
      </c>
      <c r="H121" s="12" t="inlineStr"/>
      <c r="I121" s="12" t="inlineStr">
        <is>
          <t>AQ28, PQ17, SP-SQ15, UQ01</t>
        </is>
      </c>
      <c r="J121" s="12" t="inlineStr">
        <is>
          <t>DCR-035, DCR-059, DCR-121</t>
        </is>
      </c>
    </row>
    <row r="122" ht="29.2" customHeight="1">
      <c r="A122" s="12" t="inlineStr">
        <is>
          <t>OQ49</t>
        </is>
      </c>
      <c r="B122" s="12" t="inlineStr">
        <is>
          <t>BRD-2 OPS</t>
        </is>
      </c>
      <c r="C122" s="12" t="inlineStr">
        <is>
          <t>Commission OR grouping</t>
        </is>
      </c>
      <c r="D122" s="12" t="inlineStr">
        <is>
          <t>CSHID.007 says 'one OR per remittance batch number' and 'OR per individual payment unless consolidation criteria are met': which prevails?</t>
        </is>
      </c>
      <c r="E122" s="12" t="inlineStr">
        <is>
          <t>CSHID.007</t>
        </is>
      </c>
      <c r="F122" s="32" t="inlineStr">
        <is>
          <t>Open</t>
        </is>
      </c>
      <c r="G122" s="12" t="inlineStr"/>
      <c r="H122" s="12" t="inlineStr"/>
      <c r="I122" s="12" t="inlineStr"/>
      <c r="J122" s="12" t="inlineStr">
        <is>
          <t>DCR-017</t>
        </is>
      </c>
    </row>
    <row r="123" ht="29.2" customHeight="1">
      <c r="A123" s="12" t="inlineStr">
        <is>
          <t>OQ50</t>
        </is>
      </c>
      <c r="B123" s="12" t="inlineStr">
        <is>
          <t>BRD-2 OPS</t>
        </is>
      </c>
      <c r="C123" s="12" t="inlineStr">
        <is>
          <t>Co-insured remittance</t>
        </is>
      </c>
      <c r="D123" s="12" t="inlineStr">
        <is>
          <t>For co-insured invoices, is remittance extracted and scheduled per insurer share?</t>
        </is>
      </c>
      <c r="E123" s="12" t="inlineStr">
        <is>
          <t>ADJID.027, RMTID.001</t>
        </is>
      </c>
      <c r="F123" s="32" t="inlineStr">
        <is>
          <t>Open</t>
        </is>
      </c>
      <c r="G123" s="12" t="inlineStr"/>
      <c r="H123" s="12" t="inlineStr"/>
      <c r="I123" s="12" t="inlineStr"/>
      <c r="J123" s="12" t="inlineStr"/>
    </row>
    <row r="124" ht="67" customHeight="1">
      <c r="A124" s="12" t="inlineStr">
        <is>
          <t>PQ01</t>
        </is>
      </c>
      <c r="B124" s="12" t="inlineStr">
        <is>
          <t>BRD-3 PM</t>
        </is>
      </c>
      <c r="C124" s="12" t="inlineStr">
        <is>
          <t>Package definition</t>
        </is>
      </c>
      <c r="D124" s="12" t="inlineStr">
        <is>
          <t>Confirm that a "package" is a catalog product flagged as packaged (a programme with pre-negotiated terms, such as MTR / PAR packages and the Annex I programmes), either generic for a segment or client-specific. Does every new package get its own risk code, or can one risk code carry several packages (for example per insurer)?</t>
        </is>
      </c>
      <c r="E124" s="12" t="inlineStr">
        <is>
          <t>BRPM.008-017, PMADD01</t>
        </is>
      </c>
      <c r="F124" s="32" t="inlineStr">
        <is>
          <t>Open</t>
        </is>
      </c>
      <c r="G124" s="12" t="inlineStr"/>
      <c r="H124" s="12" t="inlineStr"/>
      <c r="I124" s="12" t="inlineStr"/>
      <c r="J124" s="12" t="inlineStr"/>
    </row>
    <row r="125" ht="41.8" customHeight="1">
      <c r="A125" s="12" t="inlineStr">
        <is>
          <t>PQ02</t>
        </is>
      </c>
      <c r="B125" s="12" t="inlineStr">
        <is>
          <t>BRD-3 PM</t>
        </is>
      </c>
      <c r="C125" s="12" t="inlineStr">
        <is>
          <t>Hierarchy</t>
        </is>
      </c>
      <c r="D125" s="12" t="inlineStr">
        <is>
          <t>Subline / Type / Subtype values per line and the Coverage / Peril list per line; the naming and classification convention for product codes (PMADD01 AC3 asks for it to be stated).</t>
        </is>
      </c>
      <c r="E125" s="12" t="inlineStr">
        <is>
          <t>PMADD01, Q01</t>
        </is>
      </c>
      <c r="F125" s="32" t="inlineStr">
        <is>
          <t>Open</t>
        </is>
      </c>
      <c r="G125" s="12" t="inlineStr"/>
      <c r="H125" s="12" t="inlineStr"/>
      <c r="I125" s="12" t="inlineStr"/>
      <c r="J125" s="12" t="inlineStr"/>
    </row>
    <row r="126" ht="54.4" customHeight="1">
      <c r="A126" s="12" t="inlineStr">
        <is>
          <t>PQ03</t>
        </is>
      </c>
      <c r="B126" s="12" t="inlineStr">
        <is>
          <t>BRD-3 PM</t>
        </is>
      </c>
      <c r="C126" s="12" t="inlineStr">
        <is>
          <t>Insurer-specific terms</t>
        </is>
      </c>
      <c r="D126" s="12" t="inlineStr">
        <is>
          <t>Which attributes vary by insurer within one package (coverages included, limits, deductibles, warranties, rates, minimum premium, commission)? Can a package have several panel insurers or co-insurance with shares?</t>
        </is>
      </c>
      <c r="E126" s="12" t="inlineStr">
        <is>
          <t>PMADD02, OQ33, OQ50</t>
        </is>
      </c>
      <c r="F126" s="32" t="inlineStr">
        <is>
          <t>Open</t>
        </is>
      </c>
      <c r="G126" s="12" t="inlineStr"/>
      <c r="H126" s="12" t="inlineStr"/>
      <c r="I126" s="12" t="inlineStr"/>
      <c r="J126" s="12" t="inlineStr"/>
    </row>
    <row r="127" ht="79.59999999999999" customHeight="1">
      <c r="A127" s="12" t="inlineStr">
        <is>
          <t>PQ04</t>
        </is>
      </c>
      <c r="B127" s="12" t="inlineStr">
        <is>
          <t>BRD-3 PM</t>
        </is>
      </c>
      <c r="C127" s="12" t="inlineStr">
        <is>
          <t>Incentive criteria</t>
        </is>
      </c>
      <c r="D127" s="12" t="inlineStr">
        <is>
          <t>Definition of "CPC2" and the other incentive criteria; required attributes (type, value or rule); who the "Incentive Maintenance user" is and who approves; what happens to active criteria when a product is retired or expires; relation to the BRD-1 incentive flag (BRNB.107) and the Operations schemes (No Touch, Top Up, Motor Mania, early remittance).</t>
        </is>
      </c>
      <c r="E127" s="12" t="inlineStr">
        <is>
          <t>PMADD07/08, Q33, OQ23, OQ39</t>
        </is>
      </c>
      <c r="F127" s="32" t="inlineStr">
        <is>
          <t>Partially answered</t>
        </is>
      </c>
      <c r="G127" s="12" t="inlineStr">
        <is>
          <t>CPC2 = package Fire / Motor incentive on top of commission, computed per remittance. Values open. (BRD-5 DIS 3.29.2; BRD-4 draft 062)</t>
        </is>
      </c>
      <c r="H127" s="12" t="inlineStr">
        <is>
          <t>OQ39</t>
        </is>
      </c>
      <c r="I127" s="12" t="inlineStr"/>
      <c r="J127" s="12" t="inlineStr">
        <is>
          <t>DCR-037</t>
        </is>
      </c>
    </row>
    <row r="128" ht="41.8" customHeight="1">
      <c r="A128" s="12" t="inlineStr">
        <is>
          <t>PQ05</t>
        </is>
      </c>
      <c r="B128" s="12" t="inlineStr">
        <is>
          <t>BRD-3 PM</t>
        </is>
      </c>
      <c r="C128" s="12" t="inlineStr">
        <is>
          <t>Negotiation outcomes</t>
        </is>
      </c>
      <c r="D128" s="12" t="inlineStr">
        <is>
          <t>Full list of exception outcomes ("Approved w/ Changes, Declined, etc."), maximum number of revision rounds, and whether PMADD03 / PMADD04 also apply to non-package PRFs (BRNB.009 / 010).</t>
        </is>
      </c>
      <c r="E128" s="12" t="inlineStr">
        <is>
          <t>PMADD03/04, BRPM.010/013, Q10</t>
        </is>
      </c>
      <c r="F128" s="32" t="inlineStr">
        <is>
          <t>Open</t>
        </is>
      </c>
      <c r="G128" s="12" t="inlineStr"/>
      <c r="H128" s="12" t="inlineStr"/>
      <c r="I128" s="12" t="inlineStr"/>
      <c r="J128" s="12" t="inlineStr"/>
    </row>
    <row r="129" ht="41.8" customHeight="1">
      <c r="A129" s="12" t="inlineStr">
        <is>
          <t>PQ06</t>
        </is>
      </c>
      <c r="B129" s="12" t="inlineStr">
        <is>
          <t>BRD-3 PM</t>
        </is>
      </c>
      <c r="C129" s="12" t="inlineStr">
        <is>
          <t>Comparative outputs</t>
        </is>
      </c>
      <c r="D129" s="12" t="inlineStr">
        <is>
          <t>Fields that may be included or excluded; layout of the client-tailored view; who may generate client outputs; is the audit master regenerated on every QS revision?</t>
        </is>
      </c>
      <c r="E129" s="12" t="inlineStr">
        <is>
          <t>PMADD03, BRPM.014</t>
        </is>
      </c>
      <c r="F129" s="32" t="inlineStr">
        <is>
          <t>Open</t>
        </is>
      </c>
      <c r="G129" s="12" t="inlineStr"/>
      <c r="H129" s="12" t="inlineStr"/>
      <c r="I129" s="12" t="inlineStr"/>
      <c r="J129" s="12" t="inlineStr">
        <is>
          <t>DCR-033</t>
        </is>
      </c>
    </row>
    <row r="130" ht="41.8" customHeight="1">
      <c r="A130" s="12" t="inlineStr">
        <is>
          <t>PQ07</t>
        </is>
      </c>
      <c r="B130" s="12" t="inlineStr">
        <is>
          <t>BRD-3 PM</t>
        </is>
      </c>
      <c r="C130" s="12" t="inlineStr">
        <is>
          <t>ManCom</t>
        </is>
      </c>
      <c r="D130" s="12" t="inlineStr">
        <is>
          <t>Membership; sign-off by one member, all members or a quorum; in-system approval versus upload of a physically signed sheet ("some manual steps like physical signatures may still occur", p.25); SLA.</t>
        </is>
      </c>
      <c r="E130" s="12" t="inlineStr">
        <is>
          <t>BRPM.015/016</t>
        </is>
      </c>
      <c r="F130" s="32" t="inlineStr">
        <is>
          <t>Open</t>
        </is>
      </c>
      <c r="G130" s="12" t="inlineStr"/>
      <c r="H130" s="12" t="inlineStr"/>
      <c r="I130" s="12" t="inlineStr"/>
      <c r="J130" s="12" t="inlineStr">
        <is>
          <t>DCR-035</t>
        </is>
      </c>
    </row>
    <row r="131" ht="54.4" customHeight="1">
      <c r="A131" s="12" t="inlineStr">
        <is>
          <t>PQ08</t>
        </is>
      </c>
      <c r="B131" s="12" t="inlineStr">
        <is>
          <t>BRD-3 PM</t>
        </is>
      </c>
      <c r="C131" s="12" t="inlineStr">
        <is>
          <t>Approvals and SLA</t>
        </is>
      </c>
      <c r="D131" s="12" t="inlineStr">
        <is>
          <t>Is the Package Request Form approved by any one of Marketing TL, TH or UH, or by a chain depending on segment or amount? Who is the QS "co-Officer"? Turnaround times for each step ("agreed turn-around-time", "defined SLA").</t>
        </is>
      </c>
      <c r="E131" s="12" t="inlineStr">
        <is>
          <t>BRPM.008/009/012/021, Q05</t>
        </is>
      </c>
      <c r="F131" s="32" t="inlineStr">
        <is>
          <t>Open</t>
        </is>
      </c>
      <c r="G131" s="12" t="inlineStr"/>
      <c r="H131" s="12" t="inlineStr">
        <is>
          <t>Q05</t>
        </is>
      </c>
      <c r="I131" s="12" t="inlineStr"/>
      <c r="J131" s="12" t="inlineStr"/>
    </row>
    <row r="132" ht="41.8" customHeight="1">
      <c r="A132" s="12" t="inlineStr">
        <is>
          <t>PQ09</t>
        </is>
      </c>
      <c r="B132" s="12" t="inlineStr">
        <is>
          <t>BRD-3 PM</t>
        </is>
      </c>
      <c r="C132" s="12" t="inlineStr">
        <is>
          <t>Validation checkpoint</t>
        </is>
      </c>
      <c r="D132" s="12" t="inlineStr">
        <is>
          <t>Who validates: TSU Head, Business Administrator, or either? Must the validator differ from the MBS maker and from the TSU approver? Content of the validation checklist.</t>
        </is>
      </c>
      <c r="E132" s="12" t="inlineStr">
        <is>
          <t>PMADD06</t>
        </is>
      </c>
      <c r="F132" s="32" t="inlineStr">
        <is>
          <t>Open</t>
        </is>
      </c>
      <c r="G132" s="12" t="inlineStr"/>
      <c r="H132" s="12" t="inlineStr"/>
      <c r="I132" s="12" t="inlineStr"/>
      <c r="J132" s="12" t="inlineStr"/>
    </row>
    <row r="133" ht="67" customHeight="1">
      <c r="A133" s="12" t="inlineStr">
        <is>
          <t>PQ10</t>
        </is>
      </c>
      <c r="B133" s="12" t="inlineStr">
        <is>
          <t>BRD-3 PM</t>
        </is>
      </c>
      <c r="C133" s="12" t="inlineStr">
        <is>
          <t>Rate scheme</t>
        </is>
      </c>
      <c r="D133" s="12" t="inlineStr">
        <is>
          <t>What is a "rate scheme": the package rate table only, or also statutory rates (DST, VAT, premium tax, LGT)? Who approves the use of a non-current rate? Are manual item rates allowed on packaged products? BRQID.008 of the earlier version (renewal rate change after the renewal advice needs client documentation) was dropped: confirm.</t>
        </is>
      </c>
      <c r="E133" s="12" t="inlineStr">
        <is>
          <t>BRPM.007, Q43</t>
        </is>
      </c>
      <c r="F133" s="32" t="inlineStr">
        <is>
          <t>Partially answered</t>
        </is>
      </c>
      <c r="G133" s="12" t="inlineStr">
        <is>
          <t>Acceptance evidence required when a renewal has a financial impact. (BRD-6 BRRN.038 AC 3)</t>
        </is>
      </c>
      <c r="H133" s="12" t="inlineStr"/>
      <c r="I133" s="12" t="inlineStr"/>
      <c r="J133" s="12" t="inlineStr">
        <is>
          <t>DCR-005, DCR-030</t>
        </is>
      </c>
    </row>
    <row r="134" ht="67" customHeight="1">
      <c r="A134" s="12" t="inlineStr">
        <is>
          <t>PQ11</t>
        </is>
      </c>
      <c r="B134" s="12" t="inlineStr">
        <is>
          <t>BRD-3 PM</t>
        </is>
      </c>
      <c r="C134" s="12" t="inlineStr">
        <is>
          <t>Package term</t>
        </is>
      </c>
      <c r="D134" s="12" t="inlineStr">
        <is>
          <t>Meaning of "expiry or anniversary date" of a package (term of the insurer agreement?); notice period for monitoring; should a renewal request be drafted automatically? What happens to renewals of accounts sold under an expired package ("can be referenced for renewals until updated", BRPM.007 AC5)?</t>
        </is>
      </c>
      <c r="E134" s="12" t="inlineStr">
        <is>
          <t>BRPM.006/007/017</t>
        </is>
      </c>
      <c r="F134" s="32" t="inlineStr">
        <is>
          <t>Partially answered</t>
        </is>
      </c>
      <c r="G134" s="12" t="inlineStr">
        <is>
          <t>Renew As Is keeps the expiring terms; repricing takes the NB path. Expired package version open (RQ30). (BRD-6 BRRN.030 / 033 / 035 / 038)</t>
        </is>
      </c>
      <c r="H134" s="12" t="inlineStr"/>
      <c r="I134" s="12" t="inlineStr"/>
      <c r="J134" s="12" t="inlineStr">
        <is>
          <t>DCR-038</t>
        </is>
      </c>
    </row>
    <row r="135" ht="67" customHeight="1">
      <c r="A135" s="12" t="inlineStr">
        <is>
          <t>PQ12</t>
        </is>
      </c>
      <c r="B135" s="12" t="inlineStr">
        <is>
          <t>BRD-3 PM</t>
        </is>
      </c>
      <c r="C135" s="12" t="inlineStr">
        <is>
          <t>Set-up and advisory</t>
        </is>
      </c>
      <c r="D135" s="12" t="inlineStr">
        <is>
          <t>Content of the "product requirements (computation and details)" pack; is any package formula expected beyond the Appendix A computations (property, motor, generic)? "Package slip (signed)": who signs it and is it the "PS" in the NFR table ("Prepare QS/PS")? Advisory recipients ("relevant units"), channel and timeframe.</t>
        </is>
      </c>
      <c r="E135" s="12" t="inlineStr">
        <is>
          <t>BRPM.015/016, NFR</t>
        </is>
      </c>
      <c r="F135" s="32" t="inlineStr">
        <is>
          <t>Open</t>
        </is>
      </c>
      <c r="G135" s="12" t="inlineStr"/>
      <c r="H135" s="12" t="inlineStr"/>
      <c r="I135" s="12" t="inlineStr"/>
      <c r="J135" s="12" t="inlineStr"/>
    </row>
    <row r="136" ht="41.8" customHeight="1">
      <c r="A136" s="12" t="inlineStr">
        <is>
          <t>PQ13</t>
        </is>
      </c>
      <c r="B136" s="12" t="inlineStr">
        <is>
          <t>BRD-3 PM</t>
        </is>
      </c>
      <c r="C136" s="12" t="inlineStr">
        <is>
          <t>Request types</t>
        </is>
      </c>
      <c r="D136" s="12" t="inlineStr">
        <is>
          <t>Difference between "amend" and "update"; confirm "deletion" is deactivation (records are never deleted, BRPM.006); is reactivation of an expired package a new request?</t>
        </is>
      </c>
      <c r="E136" s="12" t="inlineStr">
        <is>
          <t>BRPM.011, BRPM.006</t>
        </is>
      </c>
      <c r="F136" s="32" t="inlineStr">
        <is>
          <t>Open</t>
        </is>
      </c>
      <c r="G136" s="12" t="inlineStr"/>
      <c r="H136" s="12" t="inlineStr"/>
      <c r="I136" s="12" t="inlineStr"/>
      <c r="J136" s="12" t="inlineStr"/>
    </row>
    <row r="137" ht="29.2" customHeight="1">
      <c r="A137" s="12" t="inlineStr">
        <is>
          <t>PQ14</t>
        </is>
      </c>
      <c r="B137" s="12" t="inlineStr">
        <is>
          <t>BRD-3 PM</t>
        </is>
      </c>
      <c r="C137" s="12" t="inlineStr">
        <is>
          <t>Package Request Form</t>
        </is>
      </c>
      <c r="D137" s="12" t="inlineStr">
        <is>
          <t>Mandatory fields of the form; is a client (or prospect) required for generic programmes? Link to the BRD-1 client record (CRM).</t>
        </is>
      </c>
      <c r="E137" s="12" t="inlineStr">
        <is>
          <t>BRPM.008</t>
        </is>
      </c>
      <c r="F137" s="32" t="inlineStr">
        <is>
          <t>Open</t>
        </is>
      </c>
      <c r="G137" s="12" t="inlineStr"/>
      <c r="H137" s="12" t="inlineStr"/>
      <c r="I137" s="12" t="inlineStr"/>
      <c r="J137" s="12" t="inlineStr"/>
    </row>
    <row r="138" ht="54.4" customHeight="1">
      <c r="A138" s="12" t="inlineStr">
        <is>
          <t>PQ15</t>
        </is>
      </c>
      <c r="B138" s="12" t="inlineStr">
        <is>
          <t>BRD-3 PM</t>
        </is>
      </c>
      <c r="C138" s="12" t="inlineStr">
        <is>
          <t>Report name and fields</t>
        </is>
      </c>
      <c r="D138" s="12" t="inlineStr">
        <is>
          <t>BRPM.018 is titled "Placement Update Reports" but describes "Package Status Update Reports" of package creation: confirm it is a package report distinct from the BRD-1 Placement Update Report (BRNB.011), and give its columns and SLA.</t>
        </is>
      </c>
      <c r="E138" s="12" t="inlineStr">
        <is>
          <t>BRPM.018</t>
        </is>
      </c>
      <c r="F138" s="32" t="inlineStr">
        <is>
          <t>Open</t>
        </is>
      </c>
      <c r="G138" s="12" t="inlineStr"/>
      <c r="H138" s="12" t="inlineStr"/>
      <c r="I138" s="12" t="inlineStr"/>
      <c r="J138" s="12" t="inlineStr">
        <is>
          <t>DCR-034</t>
        </is>
      </c>
    </row>
    <row r="139" ht="41.8" customHeight="1">
      <c r="A139" s="12" t="inlineStr">
        <is>
          <t>PQ16</t>
        </is>
      </c>
      <c r="B139" s="12" t="inlineStr">
        <is>
          <t>BRD-3 PM</t>
        </is>
      </c>
      <c r="C139" s="12" t="inlineStr">
        <is>
          <t>Synchronisation</t>
        </is>
      </c>
      <c r="D139" s="12" t="inlineStr">
        <is>
          <t>Which systems must receive product master changes ("synchronization of updates across all relevant systems", p.12; "integrates with BDOI tracking/reporting", BRPM.022)? Format and timing.</t>
        </is>
      </c>
      <c r="E139" s="12" t="inlineStr">
        <is>
          <t>BRPM.022, Q08, OQ01</t>
        </is>
      </c>
      <c r="F139" s="32" t="inlineStr">
        <is>
          <t>Open</t>
        </is>
      </c>
      <c r="G139" s="12" t="inlineStr"/>
      <c r="H139" s="12" t="inlineStr">
        <is>
          <t>Q08</t>
        </is>
      </c>
      <c r="I139" s="12" t="inlineStr"/>
      <c r="J139" s="12" t="inlineStr"/>
    </row>
    <row r="140" ht="41.8" customHeight="1">
      <c r="A140" s="12" t="inlineStr">
        <is>
          <t>PQ17</t>
        </is>
      </c>
      <c r="B140" s="12" t="inlineStr">
        <is>
          <t>BRD-3 PM</t>
        </is>
      </c>
      <c r="C140" s="12" t="inlineStr">
        <is>
          <t>Access matrix</t>
        </is>
      </c>
      <c r="D140" s="12" t="inlineStr">
        <is>
          <t>Final roles and persona -&gt; action matrix for Product Maintenance. Must changes to role permissions themselves be approved (maker-checker)?</t>
        </is>
      </c>
      <c r="E140" s="12" t="inlineStr">
        <is>
          <t>PMADD05, BRPM.002, OQ48</t>
        </is>
      </c>
      <c r="F140" s="32" t="inlineStr">
        <is>
          <t>Answered</t>
        </is>
      </c>
      <c r="G140" s="12" t="inlineStr">
        <is>
          <t>Group-profile changes are requested, approved, then implemented by the System Administrator. (BRD-11 p.6)</t>
        </is>
      </c>
      <c r="H140" s="12" t="inlineStr">
        <is>
          <t>OQ48</t>
        </is>
      </c>
      <c r="I140" s="12" t="inlineStr"/>
      <c r="J140" s="12" t="inlineStr">
        <is>
          <t>DCR-035, DCR-117, DCR-121</t>
        </is>
      </c>
    </row>
    <row r="141" ht="54.4" customHeight="1">
      <c r="A141" s="12" t="inlineStr">
        <is>
          <t>PQ18</t>
        </is>
      </c>
      <c r="B141" s="12" t="inlineStr">
        <is>
          <t>BRD-3 PM</t>
        </is>
      </c>
      <c r="C141" s="12" t="inlineStr">
        <is>
          <t>NFR</t>
        </is>
      </c>
      <c r="D141" s="12" t="inlineStr">
        <is>
          <t>Transaction volumes and growth are blank; the Marketing user figures equal the BRD-1 totals; the availability window (07:00-18:30) differs from BRD-1 (07:00-22:00); retention is not stated (assume BRD-1: 5 years online, 15 years archive?).</t>
        </is>
      </c>
      <c r="E141" s="12" t="inlineStr">
        <is>
          <t>NFR, OQ44</t>
        </is>
      </c>
      <c r="F141" s="32" t="inlineStr">
        <is>
          <t>Open</t>
        </is>
      </c>
      <c r="G141" s="12" t="inlineStr"/>
      <c r="H141" s="12" t="inlineStr">
        <is>
          <t>XQ08</t>
        </is>
      </c>
      <c r="I141" s="12" t="inlineStr"/>
      <c r="J141" s="12" t="inlineStr">
        <is>
          <t>DCR-133</t>
        </is>
      </c>
    </row>
    <row r="142" ht="54.4" customHeight="1">
      <c r="A142" s="12" t="inlineStr">
        <is>
          <t>PQ19</t>
        </is>
      </c>
      <c r="B142" s="12" t="inlineStr">
        <is>
          <t>BRD-3 PM</t>
        </is>
      </c>
      <c r="C142" s="12" t="inlineStr">
        <is>
          <t>Non-package scope</t>
        </is>
      </c>
      <c r="D142" s="12" t="inlineStr">
        <is>
          <t>The revision log (p.11) excludes non-package products "as part of an addendum", while PMADD01 mentions non-package items "if/when added". Confirm that maintenance of non-package products is out of scope for this phase.</t>
        </is>
      </c>
      <c r="E142" s="12" t="inlineStr">
        <is>
          <t>PMADD01</t>
        </is>
      </c>
      <c r="F142" s="32" t="inlineStr">
        <is>
          <t>Partially answered</t>
        </is>
      </c>
      <c r="G142" s="12" t="inlineStr">
        <is>
          <t>Non-Package Management in the umbrella is the non-package placement of New Business, not non-package product maintenance (to confirm, CRQ02). (BRD-00 capability 4 (p.7))</t>
        </is>
      </c>
      <c r="H142" s="12" t="inlineStr"/>
      <c r="I142" s="12" t="inlineStr">
        <is>
          <t>CRQ02</t>
        </is>
      </c>
      <c r="J142" s="12" t="inlineStr">
        <is>
          <t>DCR-036, DCR-181</t>
        </is>
      </c>
    </row>
    <row r="143" ht="29.2" customHeight="1">
      <c r="A143" s="12" t="inlineStr">
        <is>
          <t>PQ20</t>
        </is>
      </c>
      <c r="B143" s="12" t="inlineStr">
        <is>
          <t>BRD-3 PM</t>
        </is>
      </c>
      <c r="C143" s="12" t="inlineStr">
        <is>
          <t>Numbering</t>
        </is>
      </c>
      <c r="D143" s="12" t="inlineStr">
        <is>
          <t>BRPM.023 does not exist (the earlier version also skips BRQID.023). Confirm that no requirement is missing.</t>
        </is>
      </c>
      <c r="E143" s="12" t="inlineStr">
        <is>
          <t>Document</t>
        </is>
      </c>
      <c r="F143" s="32" t="inlineStr">
        <is>
          <t>Open</t>
        </is>
      </c>
      <c r="G143" s="12" t="inlineStr"/>
      <c r="H143" s="12" t="inlineStr"/>
      <c r="I143" s="12" t="inlineStr"/>
      <c r="J143" s="12" t="inlineStr">
        <is>
          <t>DCR-029</t>
        </is>
      </c>
    </row>
    <row r="144" ht="41.8" customHeight="1">
      <c r="A144" s="12" t="inlineStr">
        <is>
          <t>PQ21</t>
        </is>
      </c>
      <c r="B144" s="12" t="inlineStr">
        <is>
          <t>BRD-3 PM</t>
        </is>
      </c>
      <c r="C144" s="12" t="inlineStr">
        <is>
          <t>Document protection</t>
        </is>
      </c>
      <c r="D144" s="12" t="inlineStr">
        <is>
          <t>Which Product Maintenance documents leave BDOI (QS to insurers, comparative table to clients, advisory to internal units) and which password convention applies (Q07)?</t>
        </is>
      </c>
      <c r="E144" s="12" t="inlineStr">
        <is>
          <t>BRPM.020, Q07</t>
        </is>
      </c>
      <c r="F144" s="32" t="inlineStr">
        <is>
          <t>Partially answered</t>
        </is>
      </c>
      <c r="G144" s="12" t="inlineStr">
        <is>
          <t>TOR, master list and utilization to insurers are password protected, password sent separately. (BRD-8 BRID-007)</t>
        </is>
      </c>
      <c r="H144" s="12" t="inlineStr">
        <is>
          <t>Q07</t>
        </is>
      </c>
      <c r="I144" s="12" t="inlineStr"/>
      <c r="J144" s="12" t="inlineStr">
        <is>
          <t>DCR-153</t>
        </is>
      </c>
    </row>
    <row r="145" ht="41.8" customHeight="1">
      <c r="A145" s="12" t="inlineStr">
        <is>
          <t>CQ01</t>
        </is>
      </c>
      <c r="B145" s="12" t="inlineStr">
        <is>
          <t>BRD-4 CLXN</t>
        </is>
      </c>
      <c r="C145" s="12" t="inlineStr">
        <is>
          <t>Draft scope</t>
        </is>
      </c>
      <c r="D145" s="12" t="inlineStr">
        <is>
          <t>BRCLXN.061-064 are in the unsigned draft (p.8-12) and missing from the signed addendum (p.13-20), which ends at 060. Are they in scope? Who owns them (CRU / Commission vs Collections)?</t>
        </is>
      </c>
      <c r="E145" s="12" t="inlineStr">
        <is>
          <t>BRCLXN.061-064</t>
        </is>
      </c>
      <c r="F145" s="32" t="inlineStr">
        <is>
          <t>Open</t>
        </is>
      </c>
      <c r="G145" s="12" t="inlineStr"/>
      <c r="H145" s="12" t="inlineStr"/>
      <c r="I145" s="12" t="inlineStr"/>
      <c r="J145" s="12" t="inlineStr">
        <is>
          <t>DCR-039, DCR-215</t>
        </is>
      </c>
    </row>
    <row r="146" ht="41.8" customHeight="1">
      <c r="A146" s="12" t="inlineStr">
        <is>
          <t>CQ02</t>
        </is>
      </c>
      <c r="B146" s="12" t="inlineStr">
        <is>
          <t>BRD-4 CLXN</t>
        </is>
      </c>
      <c r="C146" s="12" t="inlineStr">
        <is>
          <t>List level</t>
        </is>
      </c>
      <c r="D146" s="12" t="inlineStr">
        <is>
          <t>BRCLXN.001 says "invoice number level"; FRID-001 said "cover number level". Confirm the invoice level, and whether totals per ARN (account) or per client decide the threshold (003)</t>
        </is>
      </c>
      <c r="E146" s="12" t="inlineStr">
        <is>
          <t>BRCLXN.001/003</t>
        </is>
      </c>
      <c r="F146" s="32" t="inlineStr">
        <is>
          <t>Open</t>
        </is>
      </c>
      <c r="G146" s="12" t="inlineStr"/>
      <c r="H146" s="12" t="inlineStr"/>
      <c r="I146" s="12" t="inlineStr"/>
      <c r="J146" s="12" t="inlineStr">
        <is>
          <t>DCR-041</t>
        </is>
      </c>
    </row>
    <row r="147" ht="29.2" customHeight="1">
      <c r="A147" s="12" t="inlineStr">
        <is>
          <t>CQ03</t>
        </is>
      </c>
      <c r="B147" s="12" t="inlineStr">
        <is>
          <t>BRD-4 CLXN</t>
        </is>
      </c>
      <c r="C147" s="12" t="inlineStr">
        <is>
          <t>Threshold</t>
        </is>
      </c>
      <c r="D147" s="12" t="inlineStr">
        <is>
          <t>Value of the minimal balance threshold; per currency? Compared with the total of the invoice or the account; net of PR2307?</t>
        </is>
      </c>
      <c r="E147" s="12" t="inlineStr">
        <is>
          <t>BRCLXN.005-009</t>
        </is>
      </c>
      <c r="F147" s="32" t="inlineStr">
        <is>
          <t>Open</t>
        </is>
      </c>
      <c r="G147" s="12" t="inlineStr"/>
      <c r="H147" s="12" t="inlineStr">
        <is>
          <t>OQ11</t>
        </is>
      </c>
      <c r="I147" s="12" t="inlineStr"/>
      <c r="J147" s="12" t="inlineStr">
        <is>
          <t>DCR-014, DCR-041</t>
        </is>
      </c>
    </row>
    <row r="148" ht="41.8" customHeight="1">
      <c r="A148" s="12" t="inlineStr">
        <is>
          <t>CQ04</t>
        </is>
      </c>
      <c r="B148" s="12" t="inlineStr">
        <is>
          <t>BRD-4 CLXN</t>
        </is>
      </c>
      <c r="C148" s="12" t="inlineStr">
        <is>
          <t>Negatives</t>
        </is>
      </c>
      <c r="D148" s="12" t="inlineStr">
        <is>
          <t>Treatment of negative balances that are not type C (credits from overpayment or endorsement): excluded from the list, or shown as a credit view?</t>
        </is>
      </c>
      <c r="E148" s="12" t="inlineStr">
        <is>
          <t>BRCLXN.010</t>
        </is>
      </c>
      <c r="F148" s="32" t="inlineStr">
        <is>
          <t>Open</t>
        </is>
      </c>
      <c r="G148" s="12" t="inlineStr"/>
      <c r="H148" s="12" t="inlineStr"/>
      <c r="I148" s="12" t="inlineStr"/>
      <c r="J148" s="12" t="inlineStr"/>
    </row>
    <row r="149" ht="41.8" customHeight="1">
      <c r="A149" s="12" t="inlineStr">
        <is>
          <t>CQ05</t>
        </is>
      </c>
      <c r="B149" s="12" t="inlineStr">
        <is>
          <t>BRD-4 CLXN</t>
        </is>
      </c>
      <c r="C149" s="12" t="inlineStr">
        <is>
          <t>Unit Head</t>
        </is>
      </c>
      <c r="D149" s="12" t="inlineStr">
        <is>
          <t>Source of the Unit Head: the head of the sales unit in the sales organisation (proposal), or a separate master? Also bank branch / bank officer and "booker" as names</t>
        </is>
      </c>
      <c r="E149" s="12" t="inlineStr">
        <is>
          <t>BRCLXN.011/012/036</t>
        </is>
      </c>
      <c r="F149" s="32" t="inlineStr">
        <is>
          <t>Open</t>
        </is>
      </c>
      <c r="G149" s="12" t="inlineStr"/>
      <c r="H149" s="12" t="inlineStr"/>
      <c r="I149" s="12" t="inlineStr"/>
      <c r="J149" s="12" t="inlineStr"/>
    </row>
    <row r="150" ht="29.2" customHeight="1">
      <c r="A150" s="12" t="inlineStr">
        <is>
          <t>CQ06</t>
        </is>
      </c>
      <c r="B150" s="12" t="inlineStr">
        <is>
          <t>BRD-4 CLXN</t>
        </is>
      </c>
      <c r="C150" s="12" t="inlineStr">
        <is>
          <t>Data scope</t>
        </is>
      </c>
      <c r="D150" s="12" t="inlineStr">
        <is>
          <t>Do handlers, AOs and UHs see only their segment / unit / assigned accounts, or everything with filters?</t>
        </is>
      </c>
      <c r="E150" s="12" t="inlineStr">
        <is>
          <t>BRCLXN.012</t>
        </is>
      </c>
      <c r="F150" s="32" t="inlineStr">
        <is>
          <t>Partially answered</t>
        </is>
      </c>
      <c r="G150" s="12" t="inlineStr">
        <is>
          <t>CSF agents see all accounts, CBG and non-CBG. Other roles open. (BRD-9 p.4)</t>
        </is>
      </c>
      <c r="H150" s="12" t="inlineStr"/>
      <c r="I150" s="12" t="inlineStr"/>
      <c r="J150" s="12" t="inlineStr">
        <is>
          <t>DCR-043</t>
        </is>
      </c>
    </row>
    <row r="151" ht="67" customHeight="1">
      <c r="A151" s="12" t="inlineStr">
        <is>
          <t>CQ07</t>
        </is>
      </c>
      <c r="B151" s="12" t="inlineStr">
        <is>
          <t>BRD-4 CLXN</t>
        </is>
      </c>
      <c r="C151" s="12" t="inlineStr">
        <is>
          <t>Go-live migration</t>
        </is>
      </c>
      <c r="D151" s="12" t="inlineStr">
        <is>
          <t>Migration of open EBIX PRs, disposition history and unapplied items at go-live: scope, cut-off and format</t>
        </is>
      </c>
      <c r="E151" s="12" t="inlineStr">
        <is>
          <t>BRCLXN.013-015, 022</t>
        </is>
      </c>
      <c r="F151" s="32" t="inlineStr">
        <is>
          <t>Partially answered</t>
        </is>
      </c>
      <c r="G151" s="12" t="inlineStr">
        <is>
          <t>Receivables and UPP carried forward and processed in BIBS; history read-only or archived. Open dispositions, promises and assignments not mentioned (DMQ34). (BRD-13 p.3, BRID 5.1, 6.1-6.4, 11.1)</t>
        </is>
      </c>
      <c r="H151" s="12" t="inlineStr"/>
      <c r="I151" s="12" t="inlineStr">
        <is>
          <t>CLQ14, RQ27, SP-SQ16, AQ11, DMQ26, DMQ30, DMQ34</t>
        </is>
      </c>
      <c r="J151" s="12" t="inlineStr">
        <is>
          <t>DCR-075, DCR-157, DCR-203</t>
        </is>
      </c>
    </row>
    <row r="152" ht="41.8" customHeight="1">
      <c r="A152" s="12" t="inlineStr">
        <is>
          <t>CQ08</t>
        </is>
      </c>
      <c r="B152" s="12" t="inlineStr">
        <is>
          <t>BRD-4 CLXN</t>
        </is>
      </c>
      <c r="C152" s="12" t="inlineStr">
        <is>
          <t>LOVs</t>
        </is>
      </c>
      <c r="D152" s="12" t="inlineStr">
        <is>
          <t>Values of the PR collector dispositions (incl. "DP PR for reversal", "PR 2307 for reversal", category A / B / C, owner), unapplied-payment dispositions, collection effort codes</t>
        </is>
      </c>
      <c r="E152" s="12" t="inlineStr">
        <is>
          <t>BRCLXN.016/037, p.41</t>
        </is>
      </c>
      <c r="F152" s="32" t="inlineStr">
        <is>
          <t>Open</t>
        </is>
      </c>
      <c r="G152" s="12" t="inlineStr"/>
      <c r="H152" s="12" t="inlineStr">
        <is>
          <t>OQ15</t>
        </is>
      </c>
      <c r="I152" s="12" t="inlineStr"/>
      <c r="J152" s="12" t="inlineStr">
        <is>
          <t>DCR-206</t>
        </is>
      </c>
    </row>
    <row r="153" ht="41.8" customHeight="1">
      <c r="A153" s="12" t="inlineStr">
        <is>
          <t>CQ09</t>
        </is>
      </c>
      <c r="B153" s="12" t="inlineStr">
        <is>
          <t>BRD-4 CLXN</t>
        </is>
      </c>
      <c r="C153" s="12" t="inlineStr">
        <is>
          <t>Report scope</t>
        </is>
      </c>
      <c r="D153" s="12" t="inlineStr">
        <is>
          <t>"Weekly reports per unit per branch": which reports (p.59 lists DP PR and PR 2307 for reversal)? "PR Report" (045) = Outstanding PR List and / or Full Production Report?</t>
        </is>
      </c>
      <c r="E153" s="12" t="inlineStr">
        <is>
          <t>BRCLXN.028/045</t>
        </is>
      </c>
      <c r="F153" s="32" t="inlineStr">
        <is>
          <t>Partially answered</t>
        </is>
      </c>
      <c r="G153" s="12" t="inlineStr">
        <is>
          <t>"Reports per Unit per Branch": daily / as needed, production-style columns. (Report List #59)</t>
        </is>
      </c>
      <c r="H153" s="12" t="inlineStr"/>
      <c r="I153" s="12" t="inlineStr"/>
      <c r="J153" s="12" t="inlineStr"/>
    </row>
    <row r="154" ht="29.2" customHeight="1">
      <c r="A154" s="12" t="inlineStr">
        <is>
          <t>CQ10</t>
        </is>
      </c>
      <c r="B154" s="12" t="inlineStr">
        <is>
          <t>BRD-4 CLXN</t>
        </is>
      </c>
      <c r="C154" s="12" t="inlineStr">
        <is>
          <t>Personas</t>
        </is>
      </c>
      <c r="D154" s="12" t="inlineStr">
        <is>
          <t>Who is the "Unapplied Payment Handler" (Marketing, Cashiering or a separate team)?</t>
        </is>
      </c>
      <c r="E154" s="12" t="inlineStr">
        <is>
          <t>BRCLXN.032/033</t>
        </is>
      </c>
      <c r="F154" s="32" t="inlineStr">
        <is>
          <t>Open</t>
        </is>
      </c>
      <c r="G154" s="12" t="inlineStr"/>
      <c r="H154" s="12" t="inlineStr">
        <is>
          <t>OQ15</t>
        </is>
      </c>
      <c r="I154" s="12" t="inlineStr"/>
      <c r="J154" s="12" t="inlineStr"/>
    </row>
    <row r="155" ht="29.2" customHeight="1">
      <c r="A155" s="12" t="inlineStr">
        <is>
          <t>CQ11</t>
        </is>
      </c>
      <c r="B155" s="12" t="inlineStr">
        <is>
          <t>BRD-4 CLXN</t>
        </is>
      </c>
      <c r="C155" s="12" t="inlineStr">
        <is>
          <t>Fields</t>
        </is>
      </c>
      <c r="D155" s="12" t="inlineStr">
        <is>
          <t>Definitions of "Processing Stage", "Business Origin", "Client Code Match", "System Generated Remarks" in the unapplied list</t>
        </is>
      </c>
      <c r="E155" s="12" t="inlineStr">
        <is>
          <t>BRCLXN.036</t>
        </is>
      </c>
      <c r="F155" s="32" t="inlineStr">
        <is>
          <t>Open</t>
        </is>
      </c>
      <c r="G155" s="12" t="inlineStr"/>
      <c r="H155" s="12" t="inlineStr"/>
      <c r="I155" s="12" t="inlineStr"/>
      <c r="J155" s="12" t="inlineStr">
        <is>
          <t>DCR-042</t>
        </is>
      </c>
    </row>
    <row r="156" ht="29.2" customHeight="1">
      <c r="A156" s="12" t="inlineStr">
        <is>
          <t>CQ12</t>
        </is>
      </c>
      <c r="B156" s="12" t="inlineStr">
        <is>
          <t>BRD-4 CLXN</t>
        </is>
      </c>
      <c r="C156" s="12" t="inlineStr">
        <is>
          <t>Application file</t>
        </is>
      </c>
      <c r="D156" s="12" t="inlineStr">
        <is>
          <t>With application done in-app, is the daily "For Application To Invoice" text file still needed (audit / legacy APS), and which layout?</t>
        </is>
      </c>
      <c r="E156" s="12" t="inlineStr">
        <is>
          <t>BRCLXN.041/042</t>
        </is>
      </c>
      <c r="F156" s="32" t="inlineStr">
        <is>
          <t>Open</t>
        </is>
      </c>
      <c r="G156" s="12" t="inlineStr"/>
      <c r="H156" s="12" t="inlineStr"/>
      <c r="I156" s="12" t="inlineStr"/>
      <c r="J156" s="12" t="inlineStr">
        <is>
          <t>DCR-046, DCR-152</t>
        </is>
      </c>
    </row>
    <row r="157" ht="67" customHeight="1">
      <c r="A157" s="12" t="inlineStr">
        <is>
          <t>CQ13</t>
        </is>
      </c>
      <c r="B157" s="12" t="inlineStr">
        <is>
          <t>BRD-4 CLXN</t>
        </is>
      </c>
      <c r="C157" s="12" t="inlineStr">
        <is>
          <t>Invoice number</t>
        </is>
      </c>
      <c r="D157" s="12" t="inlineStr">
        <is>
          <t>BIBS invoice numbers differ from EBIX I########. Should the validation accept only BIBS numbers after go-live, or both during migration?</t>
        </is>
      </c>
      <c r="E157" s="12" t="inlineStr">
        <is>
          <t>BRCLXN.047</t>
        </is>
      </c>
      <c r="F157" s="32" t="inlineStr">
        <is>
          <t>Answered</t>
        </is>
      </c>
      <c r="G157" s="12" t="inlineStr">
        <is>
          <t>Legacy invoices are processed in BIBS after cutover, so BIBS and EBIX numbers are both valid until the legacy invoices run off. QPS format open (DMQ11). (BRD-13 BRID 6.1, 6.2 (draft v0.01))</t>
        </is>
      </c>
      <c r="H157" s="12" t="inlineStr"/>
      <c r="I157" s="12" t="inlineStr"/>
      <c r="J157" s="12" t="inlineStr">
        <is>
          <t>DCR-046, DCR-207</t>
        </is>
      </c>
    </row>
    <row r="158" ht="41.8" customHeight="1">
      <c r="A158" s="12" t="inlineStr">
        <is>
          <t>CQ14</t>
        </is>
      </c>
      <c r="B158" s="12" t="inlineStr">
        <is>
          <t>BRD-4 CLXN</t>
        </is>
      </c>
      <c r="C158" s="12" t="inlineStr">
        <is>
          <t>Escalation</t>
        </is>
      </c>
      <c r="D158" s="12" t="inlineStr">
        <is>
          <t>Default rules and targets (45 / 60 days, broken-promise count), levels (TL, UH, Section Head), notification channel; aging basis (booking, invoice, due date)</t>
        </is>
      </c>
      <c r="E158" s="12" t="inlineStr">
        <is>
          <t>BRCLXN.049/050/060</t>
        </is>
      </c>
      <c r="F158" s="32" t="inlineStr">
        <is>
          <t>Open</t>
        </is>
      </c>
      <c r="G158" s="12" t="inlineStr"/>
      <c r="H158" s="12" t="inlineStr">
        <is>
          <t>OQ43</t>
        </is>
      </c>
      <c r="I158" s="12" t="inlineStr"/>
      <c r="J158" s="12" t="inlineStr">
        <is>
          <t>DCR-158</t>
        </is>
      </c>
    </row>
    <row r="159" ht="54.4" customHeight="1">
      <c r="A159" s="12" t="inlineStr">
        <is>
          <t>CQ15</t>
        </is>
      </c>
      <c r="B159" s="12" t="inlineStr">
        <is>
          <t>BRD-4 CLXN</t>
        </is>
      </c>
      <c r="C159" s="12" t="inlineStr">
        <is>
          <t>Installments</t>
        </is>
      </c>
      <c r="D159" s="12" t="inlineStr">
        <is>
          <t>Where do installment terms come from (quotation, account payment arrangement, Collections entry)? Is the PR booked in full at inception (current booking) with installments as a collection schedule only, or booked per installment?</t>
        </is>
      </c>
      <c r="E159" s="12" t="inlineStr">
        <is>
          <t>BRCLXN.053/058, Q35</t>
        </is>
      </c>
      <c r="F159" s="32" t="inlineStr">
        <is>
          <t>Open</t>
        </is>
      </c>
      <c r="G159" s="12" t="inlineStr"/>
      <c r="H159" s="12" t="inlineStr">
        <is>
          <t>Q35</t>
        </is>
      </c>
      <c r="I159" s="12" t="inlineStr"/>
      <c r="J159" s="12" t="inlineStr"/>
    </row>
    <row r="160" ht="29.2" customHeight="1">
      <c r="A160" s="12" t="inlineStr">
        <is>
          <t>CQ16</t>
        </is>
      </c>
      <c r="B160" s="12" t="inlineStr">
        <is>
          <t>BRD-4 CLXN</t>
        </is>
      </c>
      <c r="C160" s="12" t="inlineStr">
        <is>
          <t>Promises</t>
        </is>
      </c>
      <c r="D160" s="12" t="inlineStr">
        <is>
          <t>Is a promise kept when paid on or before the date in full; grace days; partial payment</t>
        </is>
      </c>
      <c r="E160" s="12" t="inlineStr">
        <is>
          <t>BRCLXN.055</t>
        </is>
      </c>
      <c r="F160" s="32" t="inlineStr">
        <is>
          <t>Open</t>
        </is>
      </c>
      <c r="G160" s="12" t="inlineStr"/>
      <c r="H160" s="12" t="inlineStr"/>
      <c r="I160" s="12" t="inlineStr"/>
      <c r="J160" s="12" t="inlineStr"/>
    </row>
    <row r="161" ht="29.2" customHeight="1">
      <c r="A161" s="12" t="inlineStr">
        <is>
          <t>CQ17</t>
        </is>
      </c>
      <c r="B161" s="12" t="inlineStr">
        <is>
          <t>BRD-4 CLXN</t>
        </is>
      </c>
      <c r="C161" s="12" t="inlineStr">
        <is>
          <t>Dates</t>
        </is>
      </c>
      <c r="D161" s="12" t="inlineStr">
        <is>
          <t>"Delivery date" = e-policy dispatch or physical delivery? "Receipt date" = client's receipt of the policy or the AR date?</t>
        </is>
      </c>
      <c r="E161" s="12" t="inlineStr">
        <is>
          <t>BRCLXN.056</t>
        </is>
      </c>
      <c r="F161" s="32" t="inlineStr">
        <is>
          <t>Open</t>
        </is>
      </c>
      <c r="G161" s="12" t="inlineStr"/>
      <c r="H161" s="12" t="inlineStr"/>
      <c r="I161" s="12" t="inlineStr"/>
      <c r="J161" s="12" t="inlineStr"/>
    </row>
    <row r="162" ht="29.2" customHeight="1">
      <c r="A162" s="12" t="inlineStr">
        <is>
          <t>CQ18</t>
        </is>
      </c>
      <c r="B162" s="12" t="inlineStr">
        <is>
          <t>BRD-4 CLXN</t>
        </is>
      </c>
      <c r="C162" s="12" t="inlineStr">
        <is>
          <t>SOA</t>
        </is>
      </c>
      <c r="D162" s="12" t="inlineStr">
        <is>
          <t>SOA layout, recipient (client, bank), numbering, sending by e-mail; frequencies to seed</t>
        </is>
      </c>
      <c r="E162" s="12" t="inlineStr">
        <is>
          <t>BRCLXN.058</t>
        </is>
      </c>
      <c r="F162" s="32" t="inlineStr">
        <is>
          <t>Open</t>
        </is>
      </c>
      <c r="G162" s="12" t="inlineStr"/>
      <c r="H162" s="12" t="inlineStr"/>
      <c r="I162" s="12" t="inlineStr"/>
      <c r="J162" s="12" t="inlineStr"/>
    </row>
    <row r="163" ht="29.2" customHeight="1">
      <c r="A163" s="12" t="inlineStr">
        <is>
          <t>CQ19</t>
        </is>
      </c>
      <c r="B163" s="12" t="inlineStr">
        <is>
          <t>BRD-4 CLXN</t>
        </is>
      </c>
      <c r="C163" s="12" t="inlineStr">
        <is>
          <t>Mixed payments</t>
        </is>
      </c>
      <c r="D163" s="12" t="inlineStr">
        <is>
          <t>How is a partial direct-to-insurer payment on a non-DP invoice evidenced (insurer confirmation, production report)?</t>
        </is>
      </c>
      <c r="E163" s="12" t="inlineStr">
        <is>
          <t>BRCLXN.064</t>
        </is>
      </c>
      <c r="F163" s="32" t="inlineStr">
        <is>
          <t>Open</t>
        </is>
      </c>
      <c r="G163" s="12" t="inlineStr"/>
      <c r="H163" s="12" t="inlineStr"/>
      <c r="I163" s="12" t="inlineStr"/>
      <c r="J163" s="12" t="inlineStr">
        <is>
          <t>DCR-039</t>
        </is>
      </c>
    </row>
    <row r="164" ht="29.2" customHeight="1">
      <c r="A164" s="12" t="inlineStr">
        <is>
          <t>CQ20</t>
        </is>
      </c>
      <c r="B164" s="12" t="inlineStr">
        <is>
          <t>BRD-4 CLXN</t>
        </is>
      </c>
      <c r="C164" s="12" t="inlineStr">
        <is>
          <t>Marketing Diary / CTE</t>
        </is>
      </c>
      <c r="D164" s="12" t="inlineStr">
        <is>
          <t>Is the Marketing Diary kept in ISYS (then interface or link) or moved into BIBS? Are CTE requests tracked in BIBS?</t>
        </is>
      </c>
      <c r="E164" s="12" t="inlineStr">
        <is>
          <t>p.38-42</t>
        </is>
      </c>
      <c r="F164" s="32" t="inlineStr">
        <is>
          <t>Open</t>
        </is>
      </c>
      <c r="G164" s="12" t="inlineStr"/>
      <c r="H164" s="12" t="inlineStr"/>
      <c r="I164" s="12" t="inlineStr"/>
      <c r="J164" s="12" t="inlineStr"/>
    </row>
    <row r="165" ht="16.6" customHeight="1">
      <c r="A165" s="12" t="inlineStr">
        <is>
          <t>CQ21</t>
        </is>
      </c>
      <c r="B165" s="12" t="inlineStr">
        <is>
          <t>BRD-4 CLXN</t>
        </is>
      </c>
      <c r="C165" s="12" t="inlineStr">
        <is>
          <t>Dashboard</t>
        </is>
      </c>
      <c r="D165" s="12" t="inlineStr">
        <is>
          <t>Dashboard content per role (p.61 blank)</t>
        </is>
      </c>
      <c r="E165" s="12" t="inlineStr">
        <is>
          <t>p.43-46, 61</t>
        </is>
      </c>
      <c r="F165" s="32" t="inlineStr">
        <is>
          <t>Open</t>
        </is>
      </c>
      <c r="G165" s="12" t="inlineStr"/>
      <c r="H165" s="12" t="inlineStr">
        <is>
          <t>OQ42</t>
        </is>
      </c>
      <c r="I165" s="12" t="inlineStr"/>
      <c r="J165" s="12" t="inlineStr"/>
    </row>
    <row r="166" ht="41.8" customHeight="1">
      <c r="A166" s="12" t="inlineStr">
        <is>
          <t>CQ22</t>
        </is>
      </c>
      <c r="B166" s="12" t="inlineStr">
        <is>
          <t>BRD-4 CLXN</t>
        </is>
      </c>
      <c r="C166" s="12" t="inlineStr">
        <is>
          <t>Legacy fields</t>
        </is>
      </c>
      <c r="D166" s="12" t="inlineStr">
        <is>
          <t>Mapping of cover no. / version, QPS reference, EBIX invoice no., "BDOI SYS REF", "booking category", "Corp Dep" to BIBS fields</t>
        </is>
      </c>
      <c r="E166" s="12" t="inlineStr">
        <is>
          <t>p.59-61</t>
        </is>
      </c>
      <c r="F166" s="32" t="inlineStr">
        <is>
          <t>Partially answered</t>
        </is>
      </c>
      <c r="G166" s="12" t="inlineStr">
        <is>
          <t>Legacy invoices keep their legacy identifiers; the field mapping is not given. (BRD-13 BRID 6.1)</t>
        </is>
      </c>
      <c r="H166" s="12" t="inlineStr"/>
      <c r="I166" s="12" t="inlineStr"/>
      <c r="J166" s="12" t="inlineStr">
        <is>
          <t>DCR-046, DCR-207</t>
        </is>
      </c>
    </row>
    <row r="167" ht="41.8" customHeight="1">
      <c r="A167" s="12" t="inlineStr">
        <is>
          <t>CQ23</t>
        </is>
      </c>
      <c r="B167" s="12" t="inlineStr">
        <is>
          <t>BRD-4 CLXN</t>
        </is>
      </c>
      <c r="C167" s="12" t="inlineStr">
        <is>
          <t>Security NFRs</t>
        </is>
      </c>
      <c r="D167" s="12" t="inlineStr">
        <is>
          <t>Single role per user, single session per device, lockout at 3 attempts: apply to all BIBS users or to Collections only?</t>
        </is>
      </c>
      <c r="E167" s="12" t="inlineStr">
        <is>
          <t>NFR 1-10</t>
        </is>
      </c>
      <c r="F167" s="32" t="inlineStr">
        <is>
          <t>Partially answered</t>
        </is>
      </c>
      <c r="G167" s="12" t="inlineStr">
        <is>
          <t>Lock-out at 3 for all users; several roles per user allowed. Single session per device open (UQ09). (BRD-11 p.13-14)</t>
        </is>
      </c>
      <c r="H167" s="12" t="inlineStr">
        <is>
          <t>XQ11</t>
        </is>
      </c>
      <c r="I167" s="12" t="inlineStr"/>
      <c r="J167" s="12" t="inlineStr">
        <is>
          <t>DCR-044, DCR-045, DCR-141, DCR-142</t>
        </is>
      </c>
    </row>
    <row r="168" ht="41.8" customHeight="1">
      <c r="A168" s="12" t="inlineStr">
        <is>
          <t>CQ24</t>
        </is>
      </c>
      <c r="B168" s="12" t="inlineStr">
        <is>
          <t>BRD-4 CLXN</t>
        </is>
      </c>
      <c r="C168" s="12" t="inlineStr">
        <is>
          <t>Incentive campaigns</t>
        </is>
      </c>
      <c r="D168" s="12" t="inlineStr">
        <is>
          <t>Relation between the draft campaigns (062) and the early-remittance incentive in remittance batches (RMTID.023 / PRCID.028): the same programme billed by service invoice, or two programmes?</t>
        </is>
      </c>
      <c r="E168" s="12" t="inlineStr">
        <is>
          <t>BRCLXN.062, OQ23</t>
        </is>
      </c>
      <c r="F168" s="32" t="inlineStr">
        <is>
          <t>Open</t>
        </is>
      </c>
      <c r="G168" s="12" t="inlineStr"/>
      <c r="H168" s="12" t="inlineStr">
        <is>
          <t>OQ39</t>
        </is>
      </c>
      <c r="I168" s="12" t="inlineStr"/>
      <c r="J168" s="12" t="inlineStr">
        <is>
          <t>DCR-013, DCR-037, DCR-039</t>
        </is>
      </c>
    </row>
    <row r="169" ht="29.2" customHeight="1">
      <c r="A169" s="12" t="inlineStr">
        <is>
          <t>CQ25</t>
        </is>
      </c>
      <c r="B169" s="12" t="inlineStr">
        <is>
          <t>BRD-4 CLXN</t>
        </is>
      </c>
      <c r="C169" s="12" t="inlineStr">
        <is>
          <t>NFR alignment</t>
        </is>
      </c>
      <c r="D169" s="12" t="inlineStr">
        <is>
          <t>CLXN hours 06:00-22:00 Mon-Fri and RPO 4 h vs Operations 07:00-18:30 and RPO 24 h vs BRD-1 07:00-22:00 Mon-Sat</t>
        </is>
      </c>
      <c r="E169" s="12" t="inlineStr">
        <is>
          <t>NFR, OQ44</t>
        </is>
      </c>
      <c r="F169" s="32" t="inlineStr">
        <is>
          <t>Open</t>
        </is>
      </c>
      <c r="G169" s="12" t="inlineStr"/>
      <c r="H169" s="12" t="inlineStr">
        <is>
          <t>XQ08</t>
        </is>
      </c>
      <c r="I169" s="12" t="inlineStr"/>
      <c r="J169" s="12" t="inlineStr">
        <is>
          <t>DCR-133</t>
        </is>
      </c>
    </row>
    <row r="170" ht="54.4" customHeight="1">
      <c r="A170" s="12" t="inlineStr">
        <is>
          <t>AQ01</t>
        </is>
      </c>
      <c r="B170" s="12" t="inlineStr">
        <is>
          <t>BRD-5 ACCT</t>
        </is>
      </c>
      <c r="C170" s="12" t="inlineStr">
        <is>
          <t>Chart of accounts</t>
        </is>
      </c>
      <c r="D170" s="12" t="inlineStr">
        <is>
          <t>BDOI's current chart (EBIX / QPS) and its mapping; numbering convention of generated account numbers; meaning of "short code"; are PHP and USD kept as separate accounts (the schedules are per currency) or one account with currency sub-ledgers?</t>
        </is>
      </c>
      <c r="E170" s="12" t="inlineStr">
        <is>
          <t>FRBS 2.3.x, OQ07</t>
        </is>
      </c>
      <c r="F170" s="32" t="inlineStr">
        <is>
          <t>Partially answered</t>
        </is>
      </c>
      <c r="G170" s="12" t="inlineStr">
        <is>
          <t>Legacy sub-ledgers for PR, commission receivable, DTIP and UPP imply legacy control accounts; the chart mapping is not given (DMQ18). (BRD-13 BRID 5-8)</t>
        </is>
      </c>
      <c r="H170" s="12" t="inlineStr">
        <is>
          <t>OQ07</t>
        </is>
      </c>
      <c r="I170" s="12" t="inlineStr"/>
      <c r="J170" s="12" t="inlineStr">
        <is>
          <t>DCR-197</t>
        </is>
      </c>
    </row>
    <row r="171" ht="79.59999999999999" customHeight="1">
      <c r="A171" s="12" t="inlineStr">
        <is>
          <t>AQ02</t>
        </is>
      </c>
      <c r="B171" s="12" t="inlineStr">
        <is>
          <t>BRD-5 ACCT</t>
        </is>
      </c>
      <c r="C171" s="12" t="inlineStr">
        <is>
          <t>Default entries</t>
        </is>
      </c>
      <c r="D171" s="12" t="inlineStr">
        <is>
          <t>Entries per transaction: DV by disbursement type, check clearing (outstanding checks account?), stale checks to Miscellaneous Liability and re-issue, negotiated checks, cancellation of an approved DV, account funding, service fee accrual and payout, cash advance and liquidation, CPC2 and early incentive (with VAT / 2% WTAX), remittance deduction, ACSL corrections. Remainder of OQ07</t>
        </is>
      </c>
      <c r="E171" s="12" t="inlineStr">
        <is>
          <t>DIS 2.7.6, 3.27.x, OQ07</t>
        </is>
      </c>
      <c r="F171" s="32" t="inlineStr">
        <is>
          <t>Open</t>
        </is>
      </c>
      <c r="G171" s="12" t="inlineStr"/>
      <c r="H171" s="12" t="inlineStr">
        <is>
          <t>OQ07</t>
        </is>
      </c>
      <c r="I171" s="12" t="inlineStr"/>
      <c r="J171" s="12" t="inlineStr"/>
    </row>
    <row r="172" ht="54.4" customHeight="1">
      <c r="A172" s="12" t="inlineStr">
        <is>
          <t>AQ03</t>
        </is>
      </c>
      <c r="B172" s="12" t="inlineStr">
        <is>
          <t>BRD-5 ACCT</t>
        </is>
      </c>
      <c r="C172" s="12" t="inlineStr">
        <is>
          <t>Rates</t>
        </is>
      </c>
      <c r="D172" s="12" t="inlineStr">
        <is>
          <t>Which rate is the monthly revaluation rate (BDO closing, BAP / BSP reference)? Is it also the BOOK rate of Operations receipts (OQ08)? FRBS 3.5.0 says "difference of the previous date versus the current date": daily or monthly revaluation?</t>
        </is>
      </c>
      <c r="E172" s="12" t="inlineStr">
        <is>
          <t>FRBS 2.2.0, 3.5.0, OQ08</t>
        </is>
      </c>
      <c r="F172" s="32" t="inlineStr">
        <is>
          <t>Open</t>
        </is>
      </c>
      <c r="G172" s="12" t="inlineStr"/>
      <c r="H172" s="12" t="inlineStr">
        <is>
          <t>OQ08</t>
        </is>
      </c>
      <c r="I172" s="12" t="inlineStr"/>
      <c r="J172" s="12" t="inlineStr"/>
    </row>
    <row r="173" ht="67" customHeight="1">
      <c r="A173" s="12" t="inlineStr">
        <is>
          <t>AQ04</t>
        </is>
      </c>
      <c r="B173" s="12" t="inlineStr">
        <is>
          <t>BRD-5 ACCT</t>
        </is>
      </c>
      <c r="C173" s="12" t="inlineStr">
        <is>
          <t>Closing</t>
        </is>
      </c>
      <c r="D173" s="12" t="inlineStr">
        <is>
          <t>Difference between "broking books" (closed automatically at month end at an agreed time) and "GL books" (closed by FRBS on the 2nd banking day, or on a preferred date per Addendum 1); the agreed time; may a closed month be reopened; why the year-end deadline is 15 April (audited FS / ITR) and how audit adjustments after that are posted</t>
        </is>
      </c>
      <c r="E173" s="12" t="inlineStr">
        <is>
          <t>FRBS 2.6.x, 2.7.x, 3.4.x</t>
        </is>
      </c>
      <c r="F173" s="32" t="inlineStr">
        <is>
          <t>Open</t>
        </is>
      </c>
      <c r="G173" s="12" t="inlineStr"/>
      <c r="H173" s="12" t="inlineStr"/>
      <c r="I173" s="12" t="inlineStr"/>
      <c r="J173" s="12" t="inlineStr">
        <is>
          <t>DCR-054</t>
        </is>
      </c>
    </row>
    <row r="174" ht="54.4" customHeight="1">
      <c r="A174" s="12" t="inlineStr">
        <is>
          <t>AQ05</t>
        </is>
      </c>
      <c r="B174" s="12" t="inlineStr">
        <is>
          <t>BRD-5 ACCT</t>
        </is>
      </c>
      <c r="C174" s="12" t="inlineStr">
        <is>
          <t>Appendix A reports</t>
        </is>
      </c>
      <c r="D174" s="12" t="inlineStr">
        <is>
          <t>Layouts of the GARD bank-format statements and schedules, subsidiaries reports and Mancom reports (only titles given); sources of data not in BIBS (IFRS 16 leases, DTA, ECL / NUGL, placements, payroll-related schedules); segment budgets for the market performance report</t>
        </is>
      </c>
      <c r="E174" s="12" t="inlineStr">
        <is>
          <t>FRBS 3.2.0</t>
        </is>
      </c>
      <c r="F174" s="32" t="inlineStr">
        <is>
          <t>Partially answered</t>
        </is>
      </c>
      <c r="G174" s="12" t="inlineStr">
        <is>
          <t>Fields of the FRBS reports listed. (Report List #1-31)</t>
        </is>
      </c>
      <c r="H174" s="12" t="inlineStr">
        <is>
          <t>OQ42</t>
        </is>
      </c>
      <c r="I174" s="12" t="inlineStr"/>
      <c r="J174" s="12" t="inlineStr"/>
    </row>
    <row r="175" ht="29.2" customHeight="1">
      <c r="A175" s="12" t="inlineStr">
        <is>
          <t>AQ06</t>
        </is>
      </c>
      <c r="B175" s="12" t="inlineStr">
        <is>
          <t>BRD-5 ACCT</t>
        </is>
      </c>
      <c r="C175" s="12" t="inlineStr">
        <is>
          <t>Payroll</t>
        </is>
      </c>
      <c r="D175" s="12" t="inlineStr">
        <is>
          <t>HDMF, SSS, PhilHealth, 1601-C, 1604-C come from payroll: out of scope for BIBS, or imported?</t>
        </is>
      </c>
      <c r="E175" s="12" t="inlineStr">
        <is>
          <t>Appendix A VII</t>
        </is>
      </c>
      <c r="F175" s="32" t="inlineStr">
        <is>
          <t>Open</t>
        </is>
      </c>
      <c r="G175" s="12" t="inlineStr"/>
      <c r="H175" s="12" t="inlineStr"/>
      <c r="I175" s="12" t="inlineStr"/>
      <c r="J175" s="12" t="inlineStr">
        <is>
          <t>DCR-055</t>
        </is>
      </c>
    </row>
    <row r="176" ht="41.8" customHeight="1">
      <c r="A176" s="12" t="inlineStr">
        <is>
          <t>AQ07</t>
        </is>
      </c>
      <c r="B176" s="12" t="inlineStr">
        <is>
          <t>BRD-5 ACCT</t>
        </is>
      </c>
      <c r="C176" s="12" t="inlineStr">
        <is>
          <t>BIR forms and books</t>
        </is>
      </c>
      <c r="D176" s="12" t="inlineStr">
        <is>
          <t>Is 2550-M still required? Layout / channel of MAP, SAWT, 0619-F, 1603, 1702-Q / 1702, 1604-E; BIR books of accounts format (loose-leaf PDF, CAS registration, DAT files); IC Broker's Annual Statement layout</t>
        </is>
      </c>
      <c r="E176" s="12" t="inlineStr">
        <is>
          <t>Appendix A VII</t>
        </is>
      </c>
      <c r="F176" s="32" t="inlineStr">
        <is>
          <t>Open</t>
        </is>
      </c>
      <c r="G176" s="12" t="inlineStr"/>
      <c r="H176" s="12" t="inlineStr"/>
      <c r="I176" s="12" t="inlineStr"/>
      <c r="J176" s="12" t="inlineStr">
        <is>
          <t>DCR-055</t>
        </is>
      </c>
    </row>
    <row r="177" ht="41.8" customHeight="1">
      <c r="A177" s="12" t="inlineStr">
        <is>
          <t>AQ08</t>
        </is>
      </c>
      <c r="B177" s="12" t="inlineStr">
        <is>
          <t>BRD-5 ACCT</t>
        </is>
      </c>
      <c r="C177" s="12" t="inlineStr">
        <is>
          <t>Bank reconciliation</t>
        </is>
      </c>
      <c r="D177" s="12" t="inlineStr">
        <is>
          <t>Bank file layouts (.xlsx per bank); which accounts; matching of lines without check numbers; meaning of "reconcile cash balance per books with broking books" (FRBS 3.3.2)</t>
        </is>
      </c>
      <c r="E177" s="12" t="inlineStr">
        <is>
          <t>FRBS 3.3.x</t>
        </is>
      </c>
      <c r="F177" s="32" t="inlineStr">
        <is>
          <t>Open</t>
        </is>
      </c>
      <c r="G177" s="12" t="inlineStr"/>
      <c r="H177" s="12" t="inlineStr"/>
      <c r="I177" s="12" t="inlineStr"/>
      <c r="J177" s="12" t="inlineStr"/>
    </row>
    <row r="178" ht="54.4" customHeight="1">
      <c r="A178" s="12" t="inlineStr">
        <is>
          <t>AQ09</t>
        </is>
      </c>
      <c r="B178" s="12" t="inlineStr">
        <is>
          <t>BRD-5 ACCT</t>
        </is>
      </c>
      <c r="C178" s="12" t="inlineStr">
        <is>
          <t>Bank channels</t>
        </is>
      </c>
      <c r="D178" s="12" t="inlineStr">
        <is>
          <t>For each mode: manual at the branch, BDO BOB, or file (DCTF to TPD for ACA). Full DCTF specification (header / trailer / totals), credited-accounts .txt layout, deposited-checks file layout, BOB approval report; will any channel become an API?</t>
        </is>
      </c>
      <c r="E178" s="12" t="inlineStr">
        <is>
          <t>DIS 2.7.x, 2.16.1, 2.22.0, 3.26.4, 3.26.7</t>
        </is>
      </c>
      <c r="F178" s="32" t="inlineStr">
        <is>
          <t>Open</t>
        </is>
      </c>
      <c r="G178" s="12" t="inlineStr"/>
      <c r="H178" s="12" t="inlineStr"/>
      <c r="I178" s="12" t="inlineStr"/>
      <c r="J178" s="12" t="inlineStr">
        <is>
          <t>DCR-234</t>
        </is>
      </c>
    </row>
    <row r="179" ht="41.8" customHeight="1">
      <c r="A179" s="12" t="inlineStr">
        <is>
          <t>AQ10</t>
        </is>
      </c>
      <c r="B179" s="12" t="inlineStr">
        <is>
          <t>BRD-5 ACCT</t>
        </is>
      </c>
      <c r="C179" s="12" t="inlineStr">
        <is>
          <t>Account funding</t>
        </is>
      </c>
      <c r="D179" s="12" t="inlineStr">
        <is>
          <t>"Main BDOIR China bank account": a China Banking Corp. account funded from BDO through BOB? Which accounts are main / source; are both approvers required and in order; limits</t>
        </is>
      </c>
      <c r="E179" s="12" t="inlineStr">
        <is>
          <t>DIS 2.17.x</t>
        </is>
      </c>
      <c r="F179" s="32" t="inlineStr">
        <is>
          <t>Open</t>
        </is>
      </c>
      <c r="G179" s="12" t="inlineStr"/>
      <c r="H179" s="12" t="inlineStr"/>
      <c r="I179" s="12" t="inlineStr"/>
      <c r="J179" s="12" t="inlineStr">
        <is>
          <t>DCR-056</t>
        </is>
      </c>
    </row>
    <row r="180" ht="41.8" customHeight="1">
      <c r="A180" s="12" t="inlineStr">
        <is>
          <t>AQ11</t>
        </is>
      </c>
      <c r="B180" s="12" t="inlineStr">
        <is>
          <t>BRD-5 ACCT</t>
        </is>
      </c>
      <c r="C180" s="12" t="inlineStr">
        <is>
          <t>Payee master</t>
        </is>
      </c>
      <c r="D180" s="12" t="inlineStr">
        <is>
          <t>Migration file from the current system; payee classes vs party types (employees, government); several bank accounts per payee; maker-checker on payees; "delete" vs deactivate</t>
        </is>
      </c>
      <c r="E180" s="12" t="inlineStr">
        <is>
          <t>DIS 2.2.x</t>
        </is>
      </c>
      <c r="F180" s="32" t="inlineStr">
        <is>
          <t>Open</t>
        </is>
      </c>
      <c r="G180" s="12" t="inlineStr"/>
      <c r="H180" s="12" t="inlineStr">
        <is>
          <t>CQ07</t>
        </is>
      </c>
      <c r="I180" s="12" t="inlineStr"/>
      <c r="J180" s="12" t="inlineStr">
        <is>
          <t>DCR-157, DCR-196</t>
        </is>
      </c>
    </row>
    <row r="181" ht="29.2" customHeight="1">
      <c r="A181" s="12" t="inlineStr">
        <is>
          <t>AQ12</t>
        </is>
      </c>
      <c r="B181" s="12" t="inlineStr">
        <is>
          <t>BRD-5 ACCT</t>
        </is>
      </c>
      <c r="C181" s="12" t="inlineStr">
        <is>
          <t>Requests</t>
        </is>
      </c>
      <c r="D181" s="12" t="inlineStr">
        <is>
          <t>List of system-triggered request sources and the RFP number format; upload template columns</t>
        </is>
      </c>
      <c r="E181" s="12" t="inlineStr">
        <is>
          <t>DIS 2.5.0, 3.25.0</t>
        </is>
      </c>
      <c r="F181" s="32" t="inlineStr">
        <is>
          <t>Open</t>
        </is>
      </c>
      <c r="G181" s="12" t="inlineStr"/>
      <c r="H181" s="12" t="inlineStr"/>
      <c r="I181" s="12" t="inlineStr"/>
      <c r="J181" s="12" t="inlineStr"/>
    </row>
    <row r="182" ht="41.8" customHeight="1">
      <c r="A182" s="12" t="inlineStr">
        <is>
          <t>AQ13</t>
        </is>
      </c>
      <c r="B182" s="12" t="inlineStr">
        <is>
          <t>BRD-5 ACCT</t>
        </is>
      </c>
      <c r="C182" s="12" t="inlineStr">
        <is>
          <t>DV and proforma</t>
        </is>
      </c>
      <c r="D182" s="12" t="inlineStr">
        <is>
          <t>DV number format; which proforma lines may be edited and whether an edited entry needs extra approval; is posting at approval or at release; EWT on supplier payments computed at the DV or at the invoice</t>
        </is>
      </c>
      <c r="E182" s="12" t="inlineStr">
        <is>
          <t>DIS 2.7.5-2.7.6, 2.19.0, 3.27.0</t>
        </is>
      </c>
      <c r="F182" s="32" t="inlineStr">
        <is>
          <t>Open</t>
        </is>
      </c>
      <c r="G182" s="12" t="inlineStr"/>
      <c r="H182" s="12" t="inlineStr"/>
      <c r="I182" s="12" t="inlineStr"/>
      <c r="J182" s="12" t="inlineStr"/>
    </row>
    <row r="183" ht="29.2" customHeight="1">
      <c r="A183" s="12" t="inlineStr">
        <is>
          <t>AQ14</t>
        </is>
      </c>
      <c r="B183" s="12" t="inlineStr">
        <is>
          <t>BRD-5 ACCT</t>
        </is>
      </c>
      <c r="C183" s="12" t="inlineStr">
        <is>
          <t>Checks</t>
        </is>
      </c>
      <c r="D183" s="12" t="inlineStr">
        <is>
          <t>Check layouts per bank, signatories, voucher and form layouts (ATD, MC / DD, CT / TT); stale-check accounting and re-issue</t>
        </is>
      </c>
      <c r="E183" s="12" t="inlineStr">
        <is>
          <t>DIS 2.16.2, 3.26.2, 3.27.1</t>
        </is>
      </c>
      <c r="F183" s="32" t="inlineStr">
        <is>
          <t>Open</t>
        </is>
      </c>
      <c r="G183" s="12" t="inlineStr"/>
      <c r="H183" s="12" t="inlineStr"/>
      <c r="I183" s="12" t="inlineStr"/>
      <c r="J183" s="12" t="inlineStr">
        <is>
          <t>DCR-053</t>
        </is>
      </c>
    </row>
    <row r="184" ht="41.8" customHeight="1">
      <c r="A184" s="12" t="inlineStr">
        <is>
          <t>AQ15</t>
        </is>
      </c>
      <c r="B184" s="12" t="inlineStr">
        <is>
          <t>BRD-5 ACCT</t>
        </is>
      </c>
      <c r="C184" s="12" t="inlineStr">
        <is>
          <t>Status edits and cancellations</t>
        </is>
      </c>
      <c r="D184" s="12" t="inlineStr">
        <is>
          <t>Who approves an edited status; can an approved DV be cancelled after release (check void vs stale); what "regularise the database" includes for each source</t>
        </is>
      </c>
      <c r="E184" s="12" t="inlineStr">
        <is>
          <t>DIS 2.8.5, 2.20.0, MKT 1.19.0</t>
        </is>
      </c>
      <c r="F184" s="32" t="inlineStr">
        <is>
          <t>Open</t>
        </is>
      </c>
      <c r="G184" s="12" t="inlineStr"/>
      <c r="H184" s="12" t="inlineStr"/>
      <c r="I184" s="12" t="inlineStr"/>
      <c r="J184" s="12" t="inlineStr"/>
    </row>
    <row r="185" ht="54.4" customHeight="1">
      <c r="A185" s="12" t="inlineStr">
        <is>
          <t>AQ16</t>
        </is>
      </c>
      <c r="B185" s="12" t="inlineStr">
        <is>
          <t>BRD-5 ACCT</t>
        </is>
      </c>
      <c r="C185" s="12" t="inlineStr">
        <is>
          <t>CWT</t>
        </is>
      </c>
      <c r="D185" s="12" t="inlineStr">
        <is>
          <t>Confirm "Received (for insurer)" = insurer certificates on commission / incentives and "Released (for supplier)" = BDOI's 2307 to suppliers; relation to Cashiering's client 2307 flow and CMRID.015; period covered (quarter / month)</t>
        </is>
      </c>
      <c r="E185" s="12" t="inlineStr">
        <is>
          <t>DIS 2.11.x, 3.28.3, OQ16, OQ41</t>
        </is>
      </c>
      <c r="F185" s="32" t="inlineStr">
        <is>
          <t>Open</t>
        </is>
      </c>
      <c r="G185" s="12" t="inlineStr"/>
      <c r="H185" s="12" t="inlineStr">
        <is>
          <t>OQ16</t>
        </is>
      </c>
      <c r="I185" s="12" t="inlineStr"/>
      <c r="J185" s="12" t="inlineStr">
        <is>
          <t>DCR-028</t>
        </is>
      </c>
    </row>
    <row r="186" ht="29.2" customHeight="1">
      <c r="A186" s="12" t="inlineStr">
        <is>
          <t>AQ17</t>
        </is>
      </c>
      <c r="B186" s="12" t="inlineStr">
        <is>
          <t>BRD-5 ACCT</t>
        </is>
      </c>
      <c r="C186" s="12" t="inlineStr">
        <is>
          <t>OR / AR tagging</t>
        </is>
      </c>
      <c r="D186" s="12" t="inlineStr">
        <is>
          <t>Which DVs need an OR / AR back (insurers for remittances, suppliers, others)? Relation to the insurer OR upload of RMTID.012</t>
        </is>
      </c>
      <c r="E186" s="12" t="inlineStr">
        <is>
          <t>DIS 2.10.x</t>
        </is>
      </c>
      <c r="F186" s="32" t="inlineStr">
        <is>
          <t>Open</t>
        </is>
      </c>
      <c r="G186" s="12" t="inlineStr"/>
      <c r="H186" s="12" t="inlineStr"/>
      <c r="I186" s="12" t="inlineStr"/>
      <c r="J186" s="12" t="inlineStr"/>
    </row>
    <row r="187" ht="54.4" customHeight="1">
      <c r="A187" s="12" t="inlineStr">
        <is>
          <t>AQ18</t>
        </is>
      </c>
      <c r="B187" s="12" t="inlineStr">
        <is>
          <t>BRD-5 ACCT</t>
        </is>
      </c>
      <c r="C187" s="12" t="inlineStr">
        <is>
          <t>Marketing requests</t>
        </is>
      </c>
      <c r="D187" s="12" t="inlineStr">
        <is>
          <t>Mandatory fields of RRF / RFP (MKT 1.10.0 list is empty); approval chain per segment; HR approver; is the cash-advance liquidation (Appendix D form) in scope and who posts it; "unapplied payment report" = Cashiering unapplied list?</t>
        </is>
      </c>
      <c r="E187" s="12" t="inlineStr">
        <is>
          <t>MKT 1.x</t>
        </is>
      </c>
      <c r="F187" s="32" t="inlineStr">
        <is>
          <t>Open</t>
        </is>
      </c>
      <c r="G187" s="12" t="inlineStr"/>
      <c r="H187" s="12" t="inlineStr"/>
      <c r="I187" s="12" t="inlineStr"/>
      <c r="J187" s="12" t="inlineStr">
        <is>
          <t>DCR-052</t>
        </is>
      </c>
    </row>
    <row r="188" ht="29.2" customHeight="1">
      <c r="A188" s="12" t="inlineStr">
        <is>
          <t>AQ19</t>
        </is>
      </c>
      <c r="B188" s="12" t="inlineStr">
        <is>
          <t>BRD-5 ACCT</t>
        </is>
      </c>
      <c r="C188" s="12" t="inlineStr">
        <is>
          <t>CA/SA</t>
        </is>
      </c>
      <c r="D188" s="12" t="inlineStr">
        <is>
          <t>Definition (BDO current / savings account of the client for refunds); several per client; validation against BDO</t>
        </is>
      </c>
      <c r="E188" s="12" t="inlineStr">
        <is>
          <t>MKT 2.25.x</t>
        </is>
      </c>
      <c r="F188" s="32" t="inlineStr">
        <is>
          <t>Open</t>
        </is>
      </c>
      <c r="G188" s="12" t="inlineStr"/>
      <c r="H188" s="12" t="inlineStr"/>
      <c r="I188" s="12" t="inlineStr"/>
      <c r="J188" s="12" t="inlineStr"/>
    </row>
    <row r="189" ht="41.8" customHeight="1">
      <c r="A189" s="12" t="inlineStr">
        <is>
          <t>AQ20</t>
        </is>
      </c>
      <c r="B189" s="12" t="inlineStr">
        <is>
          <t>BRD-5 ACCT</t>
        </is>
      </c>
      <c r="C189" s="12" t="inlineStr">
        <is>
          <t>Service fee</t>
        </is>
      </c>
      <c r="D189" s="12" t="inlineStr">
        <is>
          <t>Definition and computation (2.5% / 1% of fully paid commission, net of taxes, per segment); recipients (BDO branches / referrers); liquidation report content; who releases</t>
        </is>
      </c>
      <c r="E189" s="12" t="inlineStr">
        <is>
          <t>FRBS 2.10.x, Appendix A VI</t>
        </is>
      </c>
      <c r="F189" s="32" t="inlineStr">
        <is>
          <t>Open</t>
        </is>
      </c>
      <c r="G189" s="12" t="inlineStr"/>
      <c r="H189" s="12" t="inlineStr"/>
      <c r="I189" s="12" t="inlineStr"/>
      <c r="J189" s="12" t="inlineStr">
        <is>
          <t>DCR-055</t>
        </is>
      </c>
    </row>
    <row r="190" ht="29.2" customHeight="1">
      <c r="A190" s="12" t="inlineStr">
        <is>
          <t>AQ21</t>
        </is>
      </c>
      <c r="B190" s="12" t="inlineStr">
        <is>
          <t>BRD-5 ACCT</t>
        </is>
      </c>
      <c r="C190" s="12" t="inlineStr">
        <is>
          <t>Insurer SOA</t>
        </is>
      </c>
      <c r="D190" s="12" t="inlineStr">
        <is>
          <t>SOA layouts per insurer; do insurer SOAs carry BDOI's invoice number (matching key)? Direct-billed indicator source</t>
        </is>
      </c>
      <c r="E190" s="12" t="inlineStr">
        <is>
          <t>ACSL 2.4.0, 2.13.1, 2.14.1</t>
        </is>
      </c>
      <c r="F190" s="32" t="inlineStr">
        <is>
          <t>Partially answered</t>
        </is>
      </c>
      <c r="G190" s="12" t="inlineStr">
        <is>
          <t>For EB, the direct-billed indicator comes from the AO's upload. (BRD-8 BRID-025)</t>
        </is>
      </c>
      <c r="H190" s="12" t="inlineStr"/>
      <c r="I190" s="12" t="inlineStr"/>
      <c r="J190" s="12" t="inlineStr"/>
    </row>
    <row r="191" ht="41.8" customHeight="1">
      <c r="A191" s="12" t="inlineStr">
        <is>
          <t>AQ22</t>
        </is>
      </c>
      <c r="B191" s="12" t="inlineStr">
        <is>
          <t>BRD-5 ACCT</t>
        </is>
      </c>
      <c r="C191" s="12" t="inlineStr">
        <is>
          <t>Corrections</t>
        </is>
      </c>
      <c r="D191" s="12" t="inlineStr">
        <is>
          <t>Which accounts ACSL may correct; effect on the sub-ledger and on invoice components; reviewer / approver; the "separate unit" that posts today</t>
        </is>
      </c>
      <c r="E191" s="12" t="inlineStr">
        <is>
          <t>ACSL 2.9.x</t>
        </is>
      </c>
      <c r="F191" s="32" t="inlineStr">
        <is>
          <t>Open</t>
        </is>
      </c>
      <c r="G191" s="12" t="inlineStr"/>
      <c r="H191" s="12" t="inlineStr"/>
      <c r="I191" s="12" t="inlineStr"/>
      <c r="J191" s="12" t="inlineStr"/>
    </row>
    <row r="192" ht="29.2" customHeight="1">
      <c r="A192" s="12" t="inlineStr">
        <is>
          <t>AQ23</t>
        </is>
      </c>
      <c r="B192" s="12" t="inlineStr">
        <is>
          <t>BRD-5 ACCT</t>
        </is>
      </c>
      <c r="C192" s="12" t="inlineStr">
        <is>
          <t>Remittance deduction</t>
        </is>
      </c>
      <c r="D192" s="12" t="inlineStr">
        <is>
          <t>What is deducted (AR insurer's refund, over-remittance, other) and against which batch; entries; can a deduction span batches</t>
        </is>
      </c>
      <c r="E192" s="12" t="inlineStr">
        <is>
          <t>ACSL 2.9.2</t>
        </is>
      </c>
      <c r="F192" s="32" t="inlineStr">
        <is>
          <t>Open</t>
        </is>
      </c>
      <c r="G192" s="12" t="inlineStr"/>
      <c r="H192" s="12" t="inlineStr"/>
      <c r="I192" s="12" t="inlineStr"/>
      <c r="J192" s="12" t="inlineStr"/>
    </row>
    <row r="193" ht="41.8" customHeight="1">
      <c r="A193" s="12" t="inlineStr">
        <is>
          <t>AQ24</t>
        </is>
      </c>
      <c r="B193" s="12" t="inlineStr">
        <is>
          <t>BRD-5 ACCT</t>
        </is>
      </c>
      <c r="C193" s="12" t="inlineStr">
        <is>
          <t>CPC2</t>
        </is>
      </c>
      <c r="D193" s="12" t="inlineStr">
        <is>
          <t>Percentage per product / insurer; base (premium or commission); deducted from the remittance or billed; VAT / WTAX; service invoice as for early incentives?</t>
        </is>
      </c>
      <c r="E193" s="12" t="inlineStr">
        <is>
          <t>DIS 3.29.x, OQ39, PQ04</t>
        </is>
      </c>
      <c r="F193" s="32" t="inlineStr">
        <is>
          <t>Open</t>
        </is>
      </c>
      <c r="G193" s="12" t="inlineStr"/>
      <c r="H193" s="12" t="inlineStr">
        <is>
          <t>OQ39</t>
        </is>
      </c>
      <c r="I193" s="12" t="inlineStr"/>
      <c r="J193" s="12" t="inlineStr">
        <is>
          <t>DCR-037</t>
        </is>
      </c>
    </row>
    <row r="194" ht="29.2" customHeight="1">
      <c r="A194" s="12" t="inlineStr">
        <is>
          <t>AQ25</t>
        </is>
      </c>
      <c r="B194" s="12" t="inlineStr">
        <is>
          <t>BRD-5 ACCT</t>
        </is>
      </c>
      <c r="C194" s="12" t="inlineStr">
        <is>
          <t>Early incentive SI</t>
        </is>
      </c>
      <c r="D194" s="12" t="inlineStr">
        <is>
          <t>SI series (BIR-registered), recipient (insurer), timing vs remittance; relation to the "incentive OR" already issued by remittance</t>
        </is>
      </c>
      <c r="E194" s="12" t="inlineStr">
        <is>
          <t>DIS 3.29.1, OQ23</t>
        </is>
      </c>
      <c r="F194" s="32" t="inlineStr">
        <is>
          <t>Open</t>
        </is>
      </c>
      <c r="G194" s="12" t="inlineStr"/>
      <c r="H194" s="12" t="inlineStr">
        <is>
          <t>OQ23</t>
        </is>
      </c>
      <c r="I194" s="12" t="inlineStr"/>
      <c r="J194" s="12" t="inlineStr">
        <is>
          <t>DCR-013</t>
        </is>
      </c>
    </row>
    <row r="195" ht="41.8" customHeight="1">
      <c r="A195" s="12" t="inlineStr">
        <is>
          <t>AQ26</t>
        </is>
      </c>
      <c r="B195" s="12" t="inlineStr">
        <is>
          <t>BRD-5 ACCT</t>
        </is>
      </c>
      <c r="C195" s="12" t="inlineStr">
        <is>
          <t>Cost centres</t>
        </is>
      </c>
      <c r="D195" s="12" t="inlineStr">
        <is>
          <t>Rules "when and how" per transaction type; is a cost centre an employee-level record (DIS 3.30.1 lists employee number, name, position) or a unit; headcount basis date</t>
        </is>
      </c>
      <c r="E195" s="12" t="inlineStr">
        <is>
          <t>FRBS 3.1.1, DIS 3.30.x</t>
        </is>
      </c>
      <c r="F195" s="32" t="inlineStr">
        <is>
          <t>Open</t>
        </is>
      </c>
      <c r="G195" s="12" t="inlineStr"/>
      <c r="H195" s="12" t="inlineStr"/>
      <c r="I195" s="12" t="inlineStr"/>
      <c r="J195" s="12" t="inlineStr"/>
    </row>
    <row r="196" ht="29.2" customHeight="1">
      <c r="A196" s="12" t="inlineStr">
        <is>
          <t>AQ27</t>
        </is>
      </c>
      <c r="B196" s="12" t="inlineStr">
        <is>
          <t>BRD-5 ACCT</t>
        </is>
      </c>
      <c r="C196" s="12" t="inlineStr">
        <is>
          <t>NFR</t>
        </is>
      </c>
      <c r="D196" s="12" t="inlineStr">
        <is>
          <t>Main BRD "follow QPS / EBIX" vs Addendum 1 (100%, 07:00-18:00, 5 + 5 years) vs BRD-1 and Operations values</t>
        </is>
      </c>
      <c r="E196" s="12" t="inlineStr">
        <is>
          <t>NFR, OQ44</t>
        </is>
      </c>
      <c r="F196" s="32" t="inlineStr">
        <is>
          <t>Open</t>
        </is>
      </c>
      <c r="G196" s="12" t="inlineStr"/>
      <c r="H196" s="12" t="inlineStr">
        <is>
          <t>XQ08</t>
        </is>
      </c>
      <c r="I196" s="12" t="inlineStr"/>
      <c r="J196" s="12" t="inlineStr">
        <is>
          <t>DCR-057, DCR-133, DCR-134, DCR-139</t>
        </is>
      </c>
    </row>
    <row r="197" ht="29.2" customHeight="1">
      <c r="A197" s="12" t="inlineStr">
        <is>
          <t>AQ28</t>
        </is>
      </c>
      <c r="B197" s="12" t="inlineStr">
        <is>
          <t>BRD-5 ACCT</t>
        </is>
      </c>
      <c r="C197" s="12" t="inlineStr">
        <is>
          <t>Access</t>
        </is>
      </c>
      <c r="D197" s="12" t="inlineStr">
        <is>
          <t>Confirm the role matrices per unit (a few ticks ambiguous in the scans); segregation (the verifier TL must differ from the maker)</t>
        </is>
      </c>
      <c r="E197" s="12" t="inlineStr">
        <is>
          <t>all, OQ48</t>
        </is>
      </c>
      <c r="F197" s="32" t="inlineStr">
        <is>
          <t>Partially answered</t>
        </is>
      </c>
      <c r="G197" s="12" t="inlineStr">
        <is>
          <t>As OQ48. (BRD-6 to BRD-12)</t>
        </is>
      </c>
      <c r="H197" s="12" t="inlineStr">
        <is>
          <t>OQ48</t>
        </is>
      </c>
      <c r="I197" s="12" t="inlineStr"/>
      <c r="J197" s="12" t="inlineStr">
        <is>
          <t>DCR-059, DCR-121</t>
        </is>
      </c>
    </row>
    <row r="198" ht="41.8" customHeight="1">
      <c r="A198" s="12" t="inlineStr">
        <is>
          <t>AQ29</t>
        </is>
      </c>
      <c r="B198" s="12" t="inlineStr">
        <is>
          <t>BRD-5 ACCT</t>
        </is>
      </c>
      <c r="C198" s="12" t="inlineStr">
        <is>
          <t>Invoice number</t>
        </is>
      </c>
      <c r="D198" s="12" t="inlineStr">
        <is>
          <t>Keep new numbers for endorsements / cancellations linked to a root invoice (our proposal) or reuse the same invoice number (BIR invoice uniqueness)?</t>
        </is>
      </c>
      <c r="E198" s="12" t="inlineStr">
        <is>
          <t>DIS 3.27.2, ACSL 2.16.0</t>
        </is>
      </c>
      <c r="F198" s="32" t="inlineStr">
        <is>
          <t>Open</t>
        </is>
      </c>
      <c r="G198" s="12" t="inlineStr"/>
      <c r="H198" s="12" t="inlineStr"/>
      <c r="I198" s="12" t="inlineStr"/>
      <c r="J198" s="12" t="inlineStr">
        <is>
          <t>DCR-058</t>
        </is>
      </c>
    </row>
    <row r="199" ht="16.6" customHeight="1">
      <c r="A199" s="12" t="inlineStr">
        <is>
          <t>AQ30</t>
        </is>
      </c>
      <c r="B199" s="12" t="inlineStr">
        <is>
          <t>BRD-5 ACCT</t>
        </is>
      </c>
      <c r="C199" s="12" t="inlineStr">
        <is>
          <t>Negative balances</t>
        </is>
      </c>
      <c r="D199" s="12" t="inlineStr">
        <is>
          <t>Which accounts may never be negative; warning or block</t>
        </is>
      </c>
      <c r="E199" s="12" t="inlineStr">
        <is>
          <t>FRBS 2.5.4, 2.8.4</t>
        </is>
      </c>
      <c r="F199" s="32" t="inlineStr">
        <is>
          <t>Open</t>
        </is>
      </c>
      <c r="G199" s="12" t="inlineStr"/>
      <c r="H199" s="12" t="inlineStr"/>
      <c r="I199" s="12" t="inlineStr"/>
      <c r="J199" s="12" t="inlineStr"/>
    </row>
    <row r="200" ht="29.2" customHeight="1">
      <c r="A200" s="12" t="inlineStr">
        <is>
          <t>AQ31</t>
        </is>
      </c>
      <c r="B200" s="12" t="inlineStr">
        <is>
          <t>BRD-5 ACCT</t>
        </is>
      </c>
      <c r="C200" s="12" t="inlineStr">
        <is>
          <t>BDO Unibank reporting</t>
        </is>
      </c>
      <c r="D200" s="12" t="inlineStr">
        <is>
          <t>Are GARD reports submitted as files to BDO Unibank (format) or as printed reports; reciprocal accounts with BDO</t>
        </is>
      </c>
      <c r="E200" s="12" t="inlineStr">
        <is>
          <t>Appendix A II</t>
        </is>
      </c>
      <c r="F200" s="32" t="inlineStr">
        <is>
          <t>Open</t>
        </is>
      </c>
      <c r="G200" s="12" t="inlineStr"/>
      <c r="H200" s="12" t="inlineStr"/>
      <c r="I200" s="12" t="inlineStr"/>
      <c r="J200" s="12" t="inlineStr">
        <is>
          <t>DCR-233</t>
        </is>
      </c>
    </row>
    <row r="201" ht="41.8" customHeight="1">
      <c r="A201" s="12" t="inlineStr">
        <is>
          <t>RQ01</t>
        </is>
      </c>
      <c r="B201" s="12" t="inlineStr">
        <is>
          <t>BRD-6 RN</t>
        </is>
      </c>
      <c r="C201" s="12" t="inlineStr">
        <is>
          <t>Sanitation and buckets</t>
        </is>
      </c>
      <c r="D201" s="12" t="inlineStr">
        <is>
          <t>List of sanitation, matching and eligibility checks ("agreed criteria"), and for each whether a failure means Review or Exception. Confirm that KYC is information only</t>
        </is>
      </c>
      <c r="E201" s="12" t="inlineStr">
        <is>
          <t>BRRN.020/023/031</t>
        </is>
      </c>
      <c r="F201" s="32" t="inlineStr">
        <is>
          <t>Open</t>
        </is>
      </c>
      <c r="G201" s="12" t="inlineStr"/>
      <c r="H201" s="12" t="inlineStr">
        <is>
          <t>Q14</t>
        </is>
      </c>
      <c r="I201" s="12" t="inlineStr"/>
      <c r="J201" s="12" t="inlineStr"/>
    </row>
    <row r="202" ht="41.8" customHeight="1">
      <c r="A202" s="12" t="inlineStr">
        <is>
          <t>RQ02</t>
        </is>
      </c>
      <c r="B202" s="12" t="inlineStr">
        <is>
          <t>BRD-6 RN</t>
        </is>
      </c>
      <c r="C202" s="12" t="inlineStr">
        <is>
          <t>Initiation</t>
        </is>
      </c>
      <c r="D202" s="12" t="inlineStr">
        <is>
          <t>Which segments are initiated in bulk (CLG) and which individually (Non-Mortgage); who initiates (TL, processor); is CBG STP initiated automatically?</t>
        </is>
      </c>
      <c r="E202" s="12" t="inlineStr">
        <is>
          <t>BRRN.021/039</t>
        </is>
      </c>
      <c r="F202" s="32" t="inlineStr">
        <is>
          <t>Open</t>
        </is>
      </c>
      <c r="G202" s="12" t="inlineStr"/>
      <c r="H202" s="12" t="inlineStr"/>
      <c r="I202" s="12" t="inlineStr"/>
      <c r="J202" s="12" t="inlineStr">
        <is>
          <t>DCR-063</t>
        </is>
      </c>
    </row>
    <row r="203" ht="41.8" customHeight="1">
      <c r="A203" s="12" t="inlineStr">
        <is>
          <t>RQ03</t>
        </is>
      </c>
      <c r="B203" s="12" t="inlineStr">
        <is>
          <t>BRD-6 RN</t>
        </is>
      </c>
      <c r="C203" s="12" t="inlineStr">
        <is>
          <t>Unique reference</t>
        </is>
      </c>
      <c r="D203" s="12" t="inlineStr">
        <is>
          <t>Is the "unique reference number" the renewal reference generated by BIBS, the expiring invoice / policy no., or a reference supplied by the insurer / LAMD? Which key do the insurer and LAMD files carry?</t>
        </is>
      </c>
      <c r="E203" s="12" t="inlineStr">
        <is>
          <t>BRRN.022/029/035</t>
        </is>
      </c>
      <c r="F203" s="32" t="inlineStr">
        <is>
          <t>Open</t>
        </is>
      </c>
      <c r="G203" s="12" t="inlineStr"/>
      <c r="H203" s="12" t="inlineStr">
        <is>
          <t>Q15</t>
        </is>
      </c>
      <c r="I203" s="12" t="inlineStr"/>
      <c r="J203" s="12" t="inlineStr">
        <is>
          <t>DCR-156</t>
        </is>
      </c>
    </row>
    <row r="204" ht="41.8" customHeight="1">
      <c r="A204" s="12" t="inlineStr">
        <is>
          <t>RQ04</t>
        </is>
      </c>
      <c r="B204" s="12" t="inlineStr">
        <is>
          <t>BRD-6 RN</t>
        </is>
      </c>
      <c r="C204" s="12" t="inlineStr">
        <is>
          <t>Extraction</t>
        </is>
      </c>
      <c r="D204" s="12" t="inlineStr">
        <is>
          <t>Lead days per segment or line (140 as the default?); is extraction run daily for the new expiry day, or monthly for a month? Can users still extract on demand for any range (BRRN.002)?</t>
        </is>
      </c>
      <c r="E204" s="12" t="inlineStr">
        <is>
          <t>BRRN.002/030</t>
        </is>
      </c>
      <c r="F204" s="32" t="inlineStr">
        <is>
          <t>Open</t>
        </is>
      </c>
      <c r="G204" s="12" t="inlineStr"/>
      <c r="H204" s="12" t="inlineStr"/>
      <c r="I204" s="12" t="inlineStr"/>
      <c r="J204" s="12" t="inlineStr"/>
    </row>
    <row r="205" ht="41.8" customHeight="1">
      <c r="A205" s="12" t="inlineStr">
        <is>
          <t>RQ05</t>
        </is>
      </c>
      <c r="B205" s="12" t="inlineStr">
        <is>
          <t>BRD-6 RN</t>
        </is>
      </c>
      <c r="C205" s="12" t="inlineStr">
        <is>
          <t>Grid</t>
        </is>
      </c>
      <c r="D205" s="12" t="inlineStr">
        <is>
          <t>"No pagination, one scrollable view" (BRRN.004/011) against the UX guideline pager ("Showing 1 to n of N"). The design uses a virtualised grid with a row count: acceptable?</t>
        </is>
      </c>
      <c r="E205" s="12" t="inlineStr">
        <is>
          <t>BRRN.004, BDO_UX_GUIDELINES §4</t>
        </is>
      </c>
      <c r="F205" s="32" t="inlineStr">
        <is>
          <t>Open</t>
        </is>
      </c>
      <c r="G205" s="12" t="inlineStr"/>
      <c r="H205" s="12" t="inlineStr"/>
      <c r="I205" s="12" t="inlineStr"/>
      <c r="J205" s="12" t="inlineStr">
        <is>
          <t>DCR-074</t>
        </is>
      </c>
    </row>
    <row r="206" ht="41.8" customHeight="1">
      <c r="A206" s="12" t="inlineStr">
        <is>
          <t>RQ06</t>
        </is>
      </c>
      <c r="B206" s="12" t="inlineStr">
        <is>
          <t>BRD-6 RN</t>
        </is>
      </c>
      <c r="C206" s="12" t="inlineStr">
        <is>
          <t>Unbooked accounts</t>
        </is>
      </c>
      <c r="D206" s="12" t="inlineStr">
        <is>
          <t>Meaning of "unbooked" in "expired / expiring and unbooked accounts": issued but not booked in BIBS, insurer-renewed but not booked by BDOI, or legacy policies not in BIBS?</t>
        </is>
      </c>
      <c r="E206" s="12" t="inlineStr">
        <is>
          <t>BRRN.005</t>
        </is>
      </c>
      <c r="F206" s="32" t="inlineStr">
        <is>
          <t>Open</t>
        </is>
      </c>
      <c r="G206" s="12" t="inlineStr"/>
      <c r="H206" s="12" t="inlineStr"/>
      <c r="I206" s="12" t="inlineStr"/>
      <c r="J206" s="12" t="inlineStr">
        <is>
          <t>DCR-075</t>
        </is>
      </c>
    </row>
    <row r="207" ht="54.4" customHeight="1">
      <c r="A207" s="12" t="inlineStr">
        <is>
          <t>RQ07</t>
        </is>
      </c>
      <c r="B207" s="12" t="inlineStr">
        <is>
          <t>BRD-6 RN</t>
        </is>
      </c>
      <c r="C207" s="12" t="inlineStr">
        <is>
          <t>NFR</t>
        </is>
      </c>
      <c r="D207" s="12" t="inlineStr">
        <is>
          <t>Is the NFR sent automatically on the system tag (BRRN.009) without human review? Is the same true for the 3.004.4 tag ("not in the uploaded file")? What happens when the client later renews after an NFR was sent (2.004.10)? NFR vs "NRL" (BRRN.001): the same letter?</t>
        </is>
      </c>
      <c r="E207" s="12" t="inlineStr">
        <is>
          <t>BRRN.009/001, 3.004.4, 2.004.10</t>
        </is>
      </c>
      <c r="F207" s="32" t="inlineStr">
        <is>
          <t>Open</t>
        </is>
      </c>
      <c r="G207" s="12" t="inlineStr"/>
      <c r="H207" s="12" t="inlineStr"/>
      <c r="I207" s="12" t="inlineStr"/>
      <c r="J207" s="12" t="inlineStr">
        <is>
          <t>DCR-073</t>
        </is>
      </c>
    </row>
    <row r="208" ht="41.8" customHeight="1">
      <c r="A208" s="12" t="inlineStr">
        <is>
          <t>RQ08</t>
        </is>
      </c>
      <c r="B208" s="12" t="inlineStr">
        <is>
          <t>BRD-6 RN</t>
        </is>
      </c>
      <c r="C208" s="12" t="inlineStr">
        <is>
          <t>CBG / non-CBG</t>
        </is>
      </c>
      <c r="D208" s="12" t="inlineStr">
        <is>
          <t>Definition of CBG vs non-CBG accounts (segment, bank unit?). Does CBG skip AO assignment and TL review entirely (1.005 / 1.008 are "Non-CBG only")?</t>
        </is>
      </c>
      <c r="E208" s="12" t="inlineStr">
        <is>
          <t>1.005, 1.008, BRRN.039</t>
        </is>
      </c>
      <c r="F208" s="32" t="inlineStr">
        <is>
          <t>Open</t>
        </is>
      </c>
      <c r="G208" s="12" t="inlineStr"/>
      <c r="H208" s="12" t="inlineStr"/>
      <c r="I208" s="12" t="inlineStr"/>
      <c r="J208" s="12" t="inlineStr"/>
    </row>
    <row r="209" ht="41.8" customHeight="1">
      <c r="A209" s="12" t="inlineStr">
        <is>
          <t>RQ09</t>
        </is>
      </c>
      <c r="B209" s="12" t="inlineStr">
        <is>
          <t>BRD-6 RN</t>
        </is>
      </c>
      <c r="C209" s="12" t="inlineStr">
        <is>
          <t>Outstanding balance</t>
        </is>
      </c>
      <c r="D209" s="12" t="inlineStr">
        <is>
          <t>Threshold and scope for the outstanding-balance flag: which invoices (the expiring one, the whole client, all years)? Who may override, and is it one level (TL)?</t>
        </is>
      </c>
      <c r="E209" s="12" t="inlineStr">
        <is>
          <t>1.011, BRRN.031</t>
        </is>
      </c>
      <c r="F209" s="32" t="inlineStr">
        <is>
          <t>Open</t>
        </is>
      </c>
      <c r="G209" s="12" t="inlineStr"/>
      <c r="H209" s="12" t="inlineStr"/>
      <c r="I209" s="12" t="inlineStr"/>
      <c r="J209" s="12" t="inlineStr"/>
    </row>
    <row r="210" ht="41.8" customHeight="1">
      <c r="A210" s="12" t="inlineStr">
        <is>
          <t>RQ10</t>
        </is>
      </c>
      <c r="B210" s="12" t="inlineStr">
        <is>
          <t>BRD-6 RN</t>
        </is>
      </c>
      <c r="C210" s="12" t="inlineStr">
        <is>
          <t>Summary counters</t>
        </is>
      </c>
      <c r="D210" s="12" t="inlineStr">
        <is>
          <t>Definition of each of the 34 counters, including "For ARF" (what is ARF?), "Renew to TSU", "Disapproved", "to Other Bank" and "Awaiting Confirmation", which no disposition or reason produces</t>
        </is>
      </c>
      <c r="E210" s="12" t="inlineStr">
        <is>
          <t>1.009.3.2</t>
        </is>
      </c>
      <c r="F210" s="32" t="inlineStr">
        <is>
          <t>Open</t>
        </is>
      </c>
      <c r="G210" s="12" t="inlineStr"/>
      <c r="H210" s="12" t="inlineStr">
        <is>
          <t>Q10</t>
        </is>
      </c>
      <c r="I210" s="12" t="inlineStr"/>
      <c r="J210" s="12" t="inlineStr">
        <is>
          <t>DCR-070</t>
        </is>
      </c>
    </row>
    <row r="211" ht="29.2" customHeight="1">
      <c r="A211" s="12" t="inlineStr">
        <is>
          <t>RQ11</t>
        </is>
      </c>
      <c r="B211" s="12" t="inlineStr">
        <is>
          <t>BRD-6 RN</t>
        </is>
      </c>
      <c r="C211" s="12" t="inlineStr">
        <is>
          <t>Escalation</t>
        </is>
      </c>
      <c r="D211" s="12" t="inlineStr">
        <is>
          <t>IBG and Leasing escalation thresholds (days to expiry, overdue), recipients (UH?) and the meaning of "high-risk renewals"</t>
        </is>
      </c>
      <c r="E211" s="12" t="inlineStr">
        <is>
          <t>BRRN.036</t>
        </is>
      </c>
      <c r="F211" s="32" t="inlineStr">
        <is>
          <t>Open</t>
        </is>
      </c>
      <c r="G211" s="12" t="inlineStr"/>
      <c r="H211" s="12" t="inlineStr"/>
      <c r="I211" s="12" t="inlineStr"/>
      <c r="J211" s="12" t="inlineStr"/>
    </row>
    <row r="212" ht="41.8" customHeight="1">
      <c r="A212" s="12" t="inlineStr">
        <is>
          <t>RQ12</t>
        </is>
      </c>
      <c r="B212" s="12" t="inlineStr">
        <is>
          <t>BRD-6 RN</t>
        </is>
      </c>
      <c r="C212" s="12" t="inlineStr">
        <is>
          <t>RA lock</t>
        </is>
      </c>
      <c r="D212" s="12" t="inlineStr">
        <is>
          <t>What unlocks an account after RA generation (RA cancelled, insurer revision, second notice)? The lock is "on the Marketing side": may Processing still edit?</t>
        </is>
      </c>
      <c r="E212" s="12" t="inlineStr">
        <is>
          <t>2.004.9, 1.010.2.1</t>
        </is>
      </c>
      <c r="F212" s="32" t="inlineStr">
        <is>
          <t>Open</t>
        </is>
      </c>
      <c r="G212" s="12" t="inlineStr"/>
      <c r="H212" s="12" t="inlineStr"/>
      <c r="I212" s="12" t="inlineStr"/>
      <c r="J212" s="12" t="inlineStr">
        <is>
          <t>DCR-067</t>
        </is>
      </c>
    </row>
    <row r="213" ht="54.4" customHeight="1">
      <c r="A213" s="12" t="inlineStr">
        <is>
          <t>RQ13</t>
        </is>
      </c>
      <c r="B213" s="12" t="inlineStr">
        <is>
          <t>BRD-6 RN</t>
        </is>
      </c>
      <c r="C213" s="12" t="inlineStr">
        <is>
          <t>Claims and history</t>
        </is>
      </c>
      <c r="D213" s="12" t="inlineStr">
        <is>
          <t>Confirm that the Claims module's experience summary (count, open, statuses, paid, O/S) is sufficient for the list and the matrix; total-loss flag (CLQ28); which history must be viewed before disposition; legacy history before BIBS</t>
        </is>
      </c>
      <c r="E213" s="12" t="inlineStr">
        <is>
          <t>BRRN.027/031/034, 1.003.4.1.1.22-23</t>
        </is>
      </c>
      <c r="F213" s="32" t="inlineStr">
        <is>
          <t>Open</t>
        </is>
      </c>
      <c r="G213" s="12" t="inlineStr"/>
      <c r="H213" s="12" t="inlineStr">
        <is>
          <t>XQ10</t>
        </is>
      </c>
      <c r="I213" s="12" t="inlineStr"/>
      <c r="J213" s="12" t="inlineStr">
        <is>
          <t>DCR-150</t>
        </is>
      </c>
    </row>
    <row r="214" ht="54.4" customHeight="1">
      <c r="A214" s="12" t="inlineStr">
        <is>
          <t>RQ14</t>
        </is>
      </c>
      <c r="B214" s="12" t="inlineStr">
        <is>
          <t>BRD-6 RN</t>
        </is>
      </c>
      <c r="C214" s="12" t="inlineStr">
        <is>
          <t>Dispositioned file</t>
        </is>
      </c>
      <c r="D214" s="12" t="inlineStr">
        <is>
          <t>BRRN.018 says dispositioning happens outside the system, but the main BRD is "Online Dispositioning" (2.004). Are both needed? Who prepares the file (CLG bulk, insurer)? Layout of the file; scope for the "not in file" tag (3.004.4)</t>
        </is>
      </c>
      <c r="E214" s="12" t="inlineStr">
        <is>
          <t>BRRN.018, 3.004</t>
        </is>
      </c>
      <c r="F214" s="32" t="inlineStr">
        <is>
          <t>Open</t>
        </is>
      </c>
      <c r="G214" s="12" t="inlineStr"/>
      <c r="H214" s="12" t="inlineStr"/>
      <c r="I214" s="12" t="inlineStr"/>
      <c r="J214" s="12" t="inlineStr">
        <is>
          <t>DCR-062</t>
        </is>
      </c>
    </row>
    <row r="215" ht="41.8" customHeight="1">
      <c r="A215" s="12" t="inlineStr">
        <is>
          <t>RQ15</t>
        </is>
      </c>
      <c r="B215" s="12" t="inlineStr">
        <is>
          <t>BRD-6 RN</t>
        </is>
      </c>
      <c r="C215" s="12" t="inlineStr">
        <is>
          <t>Insurer response</t>
        </is>
      </c>
      <c r="D215" s="12" t="inlineStr">
        <is>
          <t>Layout of the insurer's dispositioned file; response codes; insurer reference; cut-off for "late" responses; is Reject followed by another insurer (re-marketing) or Not for Renewal?</t>
        </is>
      </c>
      <c r="E215" s="12" t="inlineStr">
        <is>
          <t>3.009.6, BRRN.035</t>
        </is>
      </c>
      <c r="F215" s="32" t="inlineStr">
        <is>
          <t>Open</t>
        </is>
      </c>
      <c r="G215" s="12" t="inlineStr"/>
      <c r="H215" s="12" t="inlineStr"/>
      <c r="I215" s="12" t="inlineStr"/>
      <c r="J215" s="12" t="inlineStr">
        <is>
          <t>DCR-062</t>
        </is>
      </c>
    </row>
    <row r="216" ht="54.4" customHeight="1">
      <c r="A216" s="12" t="inlineStr">
        <is>
          <t>RQ16</t>
        </is>
      </c>
      <c r="B216" s="12" t="inlineStr">
        <is>
          <t>BRD-6 RN</t>
        </is>
      </c>
      <c r="C216" s="12" t="inlineStr">
        <is>
          <t>RA sending</t>
        </is>
      </c>
      <c r="D216" s="12" t="inlineStr">
        <is>
          <t>Is the RA e-mailed to the client (the registered e-mail), to the AO, or to the bank unit? What are the "BDOI approved domains" (RA negative 6), given that clients use any domain? Is TLS enforced by the BDO mail relay?</t>
        </is>
      </c>
      <c r="E216" s="12" t="inlineStr">
        <is>
          <t>BRRN.010</t>
        </is>
      </c>
      <c r="F216" s="32" t="inlineStr">
        <is>
          <t>Open</t>
        </is>
      </c>
      <c r="G216" s="12" t="inlineStr"/>
      <c r="H216" s="12" t="inlineStr">
        <is>
          <t>Q07</t>
        </is>
      </c>
      <c r="I216" s="12" t="inlineStr"/>
      <c r="J216" s="12" t="inlineStr">
        <is>
          <t>DCR-072, DCR-153</t>
        </is>
      </c>
    </row>
    <row r="217" ht="29.2" customHeight="1">
      <c r="A217" s="12" t="inlineStr">
        <is>
          <t>RQ17</t>
        </is>
      </c>
      <c r="B217" s="12" t="inlineStr">
        <is>
          <t>BRD-6 RN</t>
        </is>
      </c>
      <c r="C217" s="12" t="inlineStr">
        <is>
          <t>NAL</t>
        </is>
      </c>
      <c r="D217" s="12" t="inlineStr">
        <is>
          <t>Which accounts are NAL-eligible: auto-renewing policies, multi-year terms, direct-to-insurer? Is the NAL to the client only?</t>
        </is>
      </c>
      <c r="E217" s="12" t="inlineStr">
        <is>
          <t>BRRN.001</t>
        </is>
      </c>
      <c r="F217" s="32" t="inlineStr">
        <is>
          <t>Open</t>
        </is>
      </c>
      <c r="G217" s="12" t="inlineStr"/>
      <c r="H217" s="12" t="inlineStr"/>
      <c r="I217" s="12" t="inlineStr"/>
      <c r="J217" s="12" t="inlineStr"/>
    </row>
    <row r="218" ht="41.8" customHeight="1">
      <c r="A218" s="12" t="inlineStr">
        <is>
          <t>RQ18</t>
        </is>
      </c>
      <c r="B218" s="12" t="inlineStr">
        <is>
          <t>BRD-6 RN</t>
        </is>
      </c>
      <c r="C218" s="12" t="inlineStr">
        <is>
          <t>NRNS</t>
        </is>
      </c>
      <c r="D218" s="12" t="inlineStr">
        <is>
          <t>Definition of "not yet submitted" (no disposition? no client response to the RA?); the checkpoint (the BRD says "+90 days" and "90 days before expiry"); timing of non-acceptance letters and recipients</t>
        </is>
      </c>
      <c r="E218" s="12" t="inlineStr">
        <is>
          <t>BRRN.025/037</t>
        </is>
      </c>
      <c r="F218" s="32" t="inlineStr">
        <is>
          <t>Open</t>
        </is>
      </c>
      <c r="G218" s="12" t="inlineStr"/>
      <c r="H218" s="12" t="inlineStr"/>
      <c r="I218" s="12" t="inlineStr"/>
      <c r="J218" s="12" t="inlineStr">
        <is>
          <t>DCR-064</t>
        </is>
      </c>
    </row>
    <row r="219" ht="54.4" customHeight="1">
      <c r="A219" s="12" t="inlineStr">
        <is>
          <t>RQ19</t>
        </is>
      </c>
      <c r="B219" s="12" t="inlineStr">
        <is>
          <t>BRD-6 RN</t>
        </is>
      </c>
      <c r="C219" s="12" t="inlineStr">
        <is>
          <t>Acceptance and payment</t>
        </is>
      </c>
      <c r="D219" s="12" t="inlineStr">
        <is>
          <t>The approved acceptance inputs and who records them; "applicable payment rules" for renewals (the same gate as NB: CBG paid, others client confirmation?); does the insurer issue a renewal policy / e-policy that BIBS receives as for NB?</t>
        </is>
      </c>
      <c r="E219" s="12" t="inlineStr">
        <is>
          <t>BRRN.040/038</t>
        </is>
      </c>
      <c r="F219" s="32" t="inlineStr">
        <is>
          <t>Open</t>
        </is>
      </c>
      <c r="G219" s="12" t="inlineStr"/>
      <c r="H219" s="12" t="inlineStr"/>
      <c r="I219" s="12" t="inlineStr"/>
      <c r="J219" s="12" t="inlineStr"/>
    </row>
    <row r="220" ht="29.2" customHeight="1">
      <c r="A220" s="12" t="inlineStr">
        <is>
          <t>RQ20</t>
        </is>
      </c>
      <c r="B220" s="12" t="inlineStr">
        <is>
          <t>BRD-6 RN</t>
        </is>
      </c>
      <c r="C220" s="12" t="inlineStr">
        <is>
          <t>LAMD</t>
        </is>
      </c>
      <c r="D220" s="12" t="inlineStr">
        <is>
          <t>Expansion and organisation of LAMD; do LAMD users log in to BIBS or only send reports? Report layouts, frequency and channel</t>
        </is>
      </c>
      <c r="E220" s="12" t="inlineStr">
        <is>
          <t>BRRN.024/029</t>
        </is>
      </c>
      <c r="F220" s="32" t="inlineStr">
        <is>
          <t>Open</t>
        </is>
      </c>
      <c r="G220" s="12" t="inlineStr"/>
      <c r="H220" s="12" t="inlineStr">
        <is>
          <t>XQ01</t>
        </is>
      </c>
      <c r="I220" s="12" t="inlineStr"/>
      <c r="J220" s="12" t="inlineStr">
        <is>
          <t>DCR-146</t>
        </is>
      </c>
    </row>
    <row r="221" ht="29.2" customHeight="1">
      <c r="A221" s="12" t="inlineStr">
        <is>
          <t>RQ21</t>
        </is>
      </c>
      <c r="B221" s="12" t="inlineStr">
        <is>
          <t>BRD-6 RN</t>
        </is>
      </c>
      <c r="C221" s="12" t="inlineStr">
        <is>
          <t>Contact Center</t>
        </is>
      </c>
      <c r="D221" s="12" t="inlineStr">
        <is>
          <t>Which lists and statuses Contact Center may see and update; follow-up outcome codes; is it BDO Contact Center (bank) or BDOI staff?</t>
        </is>
      </c>
      <c r="E221" s="12" t="inlineStr">
        <is>
          <t>BRRN.026</t>
        </is>
      </c>
      <c r="F221" s="32" t="inlineStr">
        <is>
          <t>Open</t>
        </is>
      </c>
      <c r="G221" s="12" t="inlineStr"/>
      <c r="H221" s="12" t="inlineStr">
        <is>
          <t>XQ02</t>
        </is>
      </c>
      <c r="I221" s="12" t="inlineStr"/>
      <c r="J221" s="12" t="inlineStr">
        <is>
          <t>DCR-147</t>
        </is>
      </c>
    </row>
    <row r="222" ht="29.2" customHeight="1">
      <c r="A222" s="12" t="inlineStr">
        <is>
          <t>RQ22</t>
        </is>
      </c>
      <c r="B222" s="12" t="inlineStr">
        <is>
          <t>BRD-6 RN</t>
        </is>
      </c>
      <c r="C222" s="12" t="inlineStr">
        <is>
          <t>KYC</t>
        </is>
      </c>
      <c r="D222" s="12" t="inlineStr">
        <is>
          <t>Source of the "KYC reference data or timelines" for bank clients (BDO CIF, Q16) versus the BIBS KYC review date</t>
        </is>
      </c>
      <c r="E222" s="12" t="inlineStr">
        <is>
          <t>BRRN.028</t>
        </is>
      </c>
      <c r="F222" s="32" t="inlineStr">
        <is>
          <t>Open</t>
        </is>
      </c>
      <c r="G222" s="12" t="inlineStr"/>
      <c r="H222" s="12" t="inlineStr">
        <is>
          <t>Q16</t>
        </is>
      </c>
      <c r="I222" s="12" t="inlineStr"/>
      <c r="J222" s="12" t="inlineStr"/>
    </row>
    <row r="223" ht="41.8" customHeight="1">
      <c r="A223" s="12" t="inlineStr">
        <is>
          <t>RQ23</t>
        </is>
      </c>
      <c r="B223" s="12" t="inlineStr">
        <is>
          <t>BRD-6 RN</t>
        </is>
      </c>
      <c r="C223" s="12" t="inlineStr">
        <is>
          <t>Paid-off loans</t>
        </is>
      </c>
      <c r="D223" s="12" t="inlineStr">
        <is>
          <t>After LAMD reports a fully paid loan, is the account Not for Renewal (reason "Loan fully paid"), or offered as a non-mortgaged renewal to the client? RMU: tag or route to Corporate RMU, and who decides?</t>
        </is>
      </c>
      <c r="E223" s="12" t="inlineStr">
        <is>
          <t>BRRN.029, 2.004.4</t>
        </is>
      </c>
      <c r="F223" s="32" t="inlineStr">
        <is>
          <t>Open</t>
        </is>
      </c>
      <c r="G223" s="12" t="inlineStr"/>
      <c r="H223" s="12" t="inlineStr"/>
      <c r="I223" s="12" t="inlineStr"/>
      <c r="J223" s="12" t="inlineStr">
        <is>
          <t>DCR-146</t>
        </is>
      </c>
    </row>
    <row r="224" ht="41.8" customHeight="1">
      <c r="A224" s="12" t="inlineStr">
        <is>
          <t>RQ24</t>
        </is>
      </c>
      <c r="B224" s="12" t="inlineStr">
        <is>
          <t>BRD-6 RN</t>
        </is>
      </c>
      <c r="C224" s="12" t="inlineStr">
        <is>
          <t>Decision matrix</t>
        </is>
      </c>
      <c r="D224" s="12" t="inlineStr">
        <is>
          <t>The initial matrix content (scenarios, conditions on claims, endorsements, payment, timing; outcomes; automated or manual); who maintains and approves it</t>
        </is>
      </c>
      <c r="E224" s="12" t="inlineStr">
        <is>
          <t>BRRN.034/031</t>
        </is>
      </c>
      <c r="F224" s="32" t="inlineStr">
        <is>
          <t>Open</t>
        </is>
      </c>
      <c r="G224" s="12" t="inlineStr"/>
      <c r="H224" s="12" t="inlineStr"/>
      <c r="I224" s="12" t="inlineStr"/>
      <c r="J224" s="12" t="inlineStr"/>
    </row>
    <row r="225" ht="41.8" customHeight="1">
      <c r="A225" s="12" t="inlineStr">
        <is>
          <t>RQ25</t>
        </is>
      </c>
      <c r="B225" s="12" t="inlineStr">
        <is>
          <t>BRD-6 RN</t>
        </is>
      </c>
      <c r="C225" s="12" t="inlineStr">
        <is>
          <t>Financial impact</t>
        </is>
      </c>
      <c r="D225" s="12" t="inlineStr">
        <is>
          <t>Tolerance for "financial impact" (any change, or above an amount or %); does a revised insurer premium on renew-as-is terms need the NB path or only explicit client acceptance?</t>
        </is>
      </c>
      <c r="E225" s="12" t="inlineStr">
        <is>
          <t>BRRN.038/033</t>
        </is>
      </c>
      <c r="F225" s="32" t="inlineStr">
        <is>
          <t>Open</t>
        </is>
      </c>
      <c r="G225" s="12" t="inlineStr"/>
      <c r="H225" s="12" t="inlineStr"/>
      <c r="I225" s="12" t="inlineStr"/>
      <c r="J225" s="12" t="inlineStr"/>
    </row>
    <row r="226" ht="29.2" customHeight="1">
      <c r="A226" s="12" t="inlineStr">
        <is>
          <t>RQ26</t>
        </is>
      </c>
      <c r="B226" s="12" t="inlineStr">
        <is>
          <t>BRD-6 RN</t>
        </is>
      </c>
      <c r="C226" s="12" t="inlineStr">
        <is>
          <t>Templates</t>
        </is>
      </c>
      <c r="D226" s="12" t="inlineStr">
        <is>
          <t>Layouts of the RA (first / second notice), NAL, NFR, NRNS reminder, non-acceptance letter and insurer cover letter</t>
        </is>
      </c>
      <c r="E226" s="12" t="inlineStr">
        <is>
          <t>5.005.1, BRRN.001/009/010/025/037</t>
        </is>
      </c>
      <c r="F226" s="32" t="inlineStr">
        <is>
          <t>Open</t>
        </is>
      </c>
      <c r="G226" s="12" t="inlineStr"/>
      <c r="H226" s="12" t="inlineStr">
        <is>
          <t>Q03</t>
        </is>
      </c>
      <c r="I226" s="12" t="inlineStr"/>
      <c r="J226" s="12" t="inlineStr"/>
    </row>
    <row r="227" ht="54.4" customHeight="1">
      <c r="A227" s="12" t="inlineStr">
        <is>
          <t>RQ27</t>
        </is>
      </c>
      <c r="B227" s="12" t="inlineStr">
        <is>
          <t>BRD-6 RN</t>
        </is>
      </c>
      <c r="C227" s="12" t="inlineStr">
        <is>
          <t>Legacy renewals</t>
        </is>
      </c>
      <c r="D227" s="12" t="inlineStr">
        <is>
          <t>Go-live: policies booked in EBIX / QPS that expire after go-live are not in BIBS. Is a one-time load of expiring legacy policies (with EBIX invoice no. as a reference) required?</t>
        </is>
      </c>
      <c r="E227" s="12" t="inlineStr">
        <is>
          <t>Out-of-scope list p.34, BRRN.005</t>
        </is>
      </c>
      <c r="F227" s="32" t="inlineStr">
        <is>
          <t>Partially answered</t>
        </is>
      </c>
      <c r="G227" s="12" t="inlineStr">
        <is>
          <t>Renewal-driven transition aligned to RMEL; in-force headers migrated when required; renewals recreate clean records in BIBS. Transition model open (DMQ26). (BRD-13 BRID 4.1, 12.1, p.5)</t>
        </is>
      </c>
      <c r="H227" s="12" t="inlineStr">
        <is>
          <t>CQ07</t>
        </is>
      </c>
      <c r="I227" s="12" t="inlineStr"/>
      <c r="J227" s="12" t="inlineStr">
        <is>
          <t>DCR-075, DCR-157, DCR-199, DCR-240</t>
        </is>
      </c>
    </row>
    <row r="228" ht="41.8" customHeight="1">
      <c r="A228" s="12" t="inlineStr">
        <is>
          <t>RQ28</t>
        </is>
      </c>
      <c r="B228" s="12" t="inlineStr">
        <is>
          <t>BRD-6 RN</t>
        </is>
      </c>
      <c r="C228" s="12" t="inlineStr">
        <is>
          <t>NFR values</t>
        </is>
      </c>
      <c r="D228" s="12" t="inlineStr">
        <is>
          <t>Availability, maintenance window, DR, retention, archiving and backup are "follow existing QPS set up", but QPS is out of scope. Please give the values</t>
        </is>
      </c>
      <c r="E228" s="12" t="inlineStr">
        <is>
          <t>Usage requirements p.187-188</t>
        </is>
      </c>
      <c r="F228" s="32" t="inlineStr">
        <is>
          <t>Open</t>
        </is>
      </c>
      <c r="G228" s="12" t="inlineStr"/>
      <c r="H228" s="12" t="inlineStr">
        <is>
          <t>XQ08</t>
        </is>
      </c>
      <c r="I228" s="12" t="inlineStr"/>
      <c r="J228" s="12" t="inlineStr">
        <is>
          <t>DCR-071, DCR-136, DCR-139</t>
        </is>
      </c>
    </row>
    <row r="229" ht="29.2" customHeight="1">
      <c r="A229" s="12" t="inlineStr">
        <is>
          <t>RQ29</t>
        </is>
      </c>
      <c r="B229" s="12" t="inlineStr">
        <is>
          <t>BRD-6 RN</t>
        </is>
      </c>
      <c r="C229" s="12" t="inlineStr">
        <is>
          <t>Late renewals</t>
        </is>
      </c>
      <c r="D229" s="12" t="inlineStr">
        <is>
          <t>Should the Late Renewal Requests Report (BRNB.018, Q09) be delivered with Renewal as a variant of the listing?</t>
        </is>
      </c>
      <c r="E229" s="12" t="inlineStr">
        <is>
          <t>BRNB.018</t>
        </is>
      </c>
      <c r="F229" s="32" t="inlineStr">
        <is>
          <t>Open</t>
        </is>
      </c>
      <c r="G229" s="12" t="inlineStr"/>
      <c r="H229" s="12" t="inlineStr">
        <is>
          <t>XQ09</t>
        </is>
      </c>
      <c r="I229" s="12" t="inlineStr"/>
      <c r="J229" s="12" t="inlineStr">
        <is>
          <t>DCR-009</t>
        </is>
      </c>
    </row>
    <row r="230" ht="41.8" customHeight="1">
      <c r="A230" s="12" t="inlineStr">
        <is>
          <t>RQ30</t>
        </is>
      </c>
      <c r="B230" s="12" t="inlineStr">
        <is>
          <t>BRD-6 RN</t>
        </is>
      </c>
      <c r="C230" s="12" t="inlineStr">
        <is>
          <t>Expired package versions</t>
        </is>
      </c>
      <c r="D230" s="12" t="inlineStr">
        <is>
          <t>Renewal of an account whose package version is EXPIRED with no current version (PRODUCT_NOT_SELLABLE under the RENEWAL purpose): route to the NB path automatically, or keep the old terms with approval?</t>
        </is>
      </c>
      <c r="E230" s="12" t="inlineStr">
        <is>
          <t>PQ11, BRRN.035</t>
        </is>
      </c>
      <c r="F230" s="32" t="inlineStr">
        <is>
          <t>Open</t>
        </is>
      </c>
      <c r="G230" s="12" t="inlineStr"/>
      <c r="H230" s="12" t="inlineStr"/>
      <c r="I230" s="12" t="inlineStr"/>
      <c r="J230" s="12" t="inlineStr"/>
    </row>
    <row r="231" ht="79.59999999999999" customHeight="1">
      <c r="A231" s="12" t="inlineStr">
        <is>
          <t>CLQ01</t>
        </is>
      </c>
      <c r="B231" s="12" t="inlineStr">
        <is>
          <t>BRD-7 CLM</t>
        </is>
      </c>
      <c r="C231" s="12" t="inlineStr">
        <is>
          <t>Authorization code</t>
        </is>
      </c>
      <c r="D231" s="12" t="inlineStr">
        <is>
          <t>What is the "Claims Authorization Code" (an EBIX function, a code sent to the insurer, an internal approval)? When and by whom is it generated? Does "unpaid" mean any unpaid invoice of the policy year, only the invoice covering the loss date, or also unpaid endorsements? Partly paid and installment accounts? Direct-payment accounts (premium paid to the insurer)? May a TL / TH override the block with a reason?</t>
        </is>
      </c>
      <c r="E231" s="12" t="inlineStr">
        <is>
          <t>BRCLM.001, NFR 15.05</t>
        </is>
      </c>
      <c r="F231" s="32" t="inlineStr">
        <is>
          <t>Open</t>
        </is>
      </c>
      <c r="G231" s="12" t="inlineStr"/>
      <c r="H231" s="12" t="inlineStr"/>
      <c r="I231" s="12" t="inlineStr"/>
      <c r="J231" s="12" t="inlineStr">
        <is>
          <t>DCR-085</t>
        </is>
      </c>
    </row>
    <row r="232" ht="67" customHeight="1">
      <c r="A232" s="12" t="inlineStr">
        <is>
          <t>CLQ02</t>
        </is>
      </c>
      <c r="B232" s="12" t="inlineStr">
        <is>
          <t>BRD-7 CLM</t>
        </is>
      </c>
      <c r="C232" s="12" t="inlineStr">
        <is>
          <t>Cover number and version</t>
        </is>
      </c>
      <c r="D232" s="12" t="inlineStr">
        <is>
          <t>Confirm that an EBIX "Cover Number" is the BIBS account (ARN) and policy year, and the "version" the endorsement sequence. Must location changes made by endorsement (location added / removed) be versioned so the claim sees the location list as at the loss date? Can a claim be recorded on an expired or cancelled cover, or on an unbooked account?</t>
        </is>
      </c>
      <c r="E232" s="12" t="inlineStr">
        <is>
          <t>BRCLM.002/003/037/039</t>
        </is>
      </c>
      <c r="F232" s="32" t="inlineStr">
        <is>
          <t>Open</t>
        </is>
      </c>
      <c r="G232" s="12" t="inlineStr"/>
      <c r="H232" s="12" t="inlineStr"/>
      <c r="I232" s="12" t="inlineStr"/>
      <c r="J232" s="12" t="inlineStr"/>
    </row>
    <row r="233" ht="41.8" customHeight="1">
      <c r="A233" s="12" t="inlineStr">
        <is>
          <t>CLQ03</t>
        </is>
      </c>
      <c r="B233" s="12" t="inlineStr">
        <is>
          <t>BRD-7 CLM</t>
        </is>
      </c>
      <c r="C233" s="12" t="inlineStr">
        <is>
          <t>Reported date</t>
        </is>
      </c>
      <c r="D233" s="12" t="inlineStr">
        <is>
          <t>Meaning of "maintain the Reported Date only": is it the date the loss was reported to BDOI or to the insurer; may it be corrected, by whom; is it the start of every ageing?</t>
        </is>
      </c>
      <c r="E233" s="12" t="inlineStr">
        <is>
          <t>BRCLM.004/025</t>
        </is>
      </c>
      <c r="F233" s="32" t="inlineStr">
        <is>
          <t>Open</t>
        </is>
      </c>
      <c r="G233" s="12" t="inlineStr"/>
      <c r="H233" s="12" t="inlineStr"/>
      <c r="I233" s="12" t="inlineStr"/>
      <c r="J233" s="12" t="inlineStr"/>
    </row>
    <row r="234" ht="41.8" customHeight="1">
      <c r="A234" s="12" t="inlineStr">
        <is>
          <t>CLQ04</t>
        </is>
      </c>
      <c r="B234" s="12" t="inlineStr">
        <is>
          <t>BRD-7 CLM</t>
        </is>
      </c>
      <c r="C234" s="12" t="inlineStr">
        <is>
          <t>Status matrix</t>
        </is>
      </c>
      <c r="D234" s="12" t="inlineStr">
        <is>
          <t>The role / unit matrix for each of the 18 statuses; the list of claims units (Motor HO, Non-Motor HO, North Luzon, Mindanao, branches?); default follow-up days per status; allowed status sequences, if any</t>
        </is>
      </c>
      <c r="E234" s="12" t="inlineStr">
        <is>
          <t>BRCLM.010-013</t>
        </is>
      </c>
      <c r="F234" s="32" t="inlineStr">
        <is>
          <t>Open</t>
        </is>
      </c>
      <c r="G234" s="12" t="inlineStr"/>
      <c r="H234" s="12" t="inlineStr"/>
      <c r="I234" s="12" t="inlineStr"/>
      <c r="J234" s="12" t="inlineStr"/>
    </row>
    <row r="235" ht="79.59999999999999" customHeight="1">
      <c r="A235" s="12" t="inlineStr">
        <is>
          <t>CLQ05</t>
        </is>
      </c>
      <c r="B235" s="12" t="inlineStr">
        <is>
          <t>BRD-7 CLM</t>
        </is>
      </c>
      <c r="C235" s="12" t="inlineStr">
        <is>
          <t>Settlement types and statuses</t>
        </is>
      </c>
      <c r="D235" s="12" t="inlineStr">
        <is>
          <t>The values under "Requested Type of Settlement" are outcomes (Closed - Denied, Settled - LOA Issued …). The overview (p.23) also lists "Settlement Types" and "Settlement Status", and p.27 / p.28 ask to "maintain Settlement Type Status values", without an ID or values. Are these one list or two? Which types close the claim ("LOA Issued - Vehicle Under Repair")?</t>
        </is>
      </c>
      <c r="E235" s="12" t="inlineStr">
        <is>
          <t>BRCLM.014/015, p.23, 27, 28</t>
        </is>
      </c>
      <c r="F235" s="32" t="inlineStr">
        <is>
          <t>Open</t>
        </is>
      </c>
      <c r="G235" s="12" t="inlineStr"/>
      <c r="H235" s="12" t="inlineStr"/>
      <c r="I235" s="12" t="inlineStr"/>
      <c r="J235" s="12" t="inlineStr">
        <is>
          <t>DCR-078</t>
        </is>
      </c>
    </row>
    <row r="236" ht="54.4" customHeight="1">
      <c r="A236" s="12" t="inlineStr">
        <is>
          <t>CLQ06</t>
        </is>
      </c>
      <c r="B236" s="12" t="inlineStr">
        <is>
          <t>BRD-7 CLM</t>
        </is>
      </c>
      <c r="C236" s="12" t="inlineStr">
        <is>
          <t>Closure rights</t>
        </is>
      </c>
      <c r="D236" s="12" t="inlineStr">
        <is>
          <t>Claims Officers "tag closures as temporary or permanent" (p.28) while closing is a TL / TH permission (BRCLM.005). Proposed: officers set temporary closure; TL / TH close permanently. May a permanently closed claim be reopened, and by whom?</t>
        </is>
      </c>
      <c r="E236" s="12" t="inlineStr">
        <is>
          <t>BRCLM.005/035</t>
        </is>
      </c>
      <c r="F236" s="32" t="inlineStr">
        <is>
          <t>Open</t>
        </is>
      </c>
      <c r="G236" s="12" t="inlineStr"/>
      <c r="H236" s="12" t="inlineStr"/>
      <c r="I236" s="12" t="inlineStr"/>
      <c r="J236" s="12" t="inlineStr">
        <is>
          <t>DCR-079</t>
        </is>
      </c>
    </row>
    <row r="237" ht="41.8" customHeight="1">
      <c r="A237" s="12" t="inlineStr">
        <is>
          <t>CLQ07</t>
        </is>
      </c>
      <c r="B237" s="12" t="inlineStr">
        <is>
          <t>BRD-7 CLM</t>
        </is>
      </c>
      <c r="C237" s="12" t="inlineStr">
        <is>
          <t>Follow-up and diary</t>
        </is>
      </c>
      <c r="D237" s="12" t="inlineStr">
        <is>
          <t>How is the Next Follow-up Date computed (per status, fixed days)? Diary features expected: reminders, assignment to another handler, e-mail notification, private entries?</t>
        </is>
      </c>
      <c r="E237" s="12" t="inlineStr">
        <is>
          <t>BRCLM.019-022/034</t>
        </is>
      </c>
      <c r="F237" s="32" t="inlineStr">
        <is>
          <t>Open</t>
        </is>
      </c>
      <c r="G237" s="12" t="inlineStr"/>
      <c r="H237" s="12" t="inlineStr"/>
      <c r="I237" s="12" t="inlineStr"/>
      <c r="J237" s="12" t="inlineStr"/>
    </row>
    <row r="238" ht="41.8" customHeight="1">
      <c r="A238" s="12" t="inlineStr">
        <is>
          <t>CLQ08</t>
        </is>
      </c>
      <c r="B238" s="12" t="inlineStr">
        <is>
          <t>BRD-7 CLM</t>
        </is>
      </c>
      <c r="C238" s="12" t="inlineStr">
        <is>
          <t>Insurer reserve</t>
        </is>
      </c>
      <c r="D238" s="12" t="inlineStr">
        <is>
          <t>One reserve per claim or per insurer for co-insured claims? Is the O/S of the loss experience "reserve - paid" or "claim amount - paid" when no reserve is given? Do amendments need approval?</t>
        </is>
      </c>
      <c r="E238" s="12" t="inlineStr">
        <is>
          <t>BRCLM.023/024/030</t>
        </is>
      </c>
      <c r="F238" s="32" t="inlineStr">
        <is>
          <t>Open</t>
        </is>
      </c>
      <c r="G238" s="12" t="inlineStr"/>
      <c r="H238" s="12" t="inlineStr"/>
      <c r="I238" s="12" t="inlineStr"/>
      <c r="J238" s="12" t="inlineStr"/>
    </row>
    <row r="239" ht="29.2" customHeight="1">
      <c r="A239" s="12" t="inlineStr">
        <is>
          <t>CLQ09</t>
        </is>
      </c>
      <c r="B239" s="12" t="inlineStr">
        <is>
          <t>BRD-7 CLM</t>
        </is>
      </c>
      <c r="C239" s="12" t="inlineStr">
        <is>
          <t>Amounts</t>
        </is>
      </c>
      <c r="D239" s="12" t="inlineStr">
        <is>
          <t>Definitions of Claim Amount, Deductible, Settlement Amount and Date Settled; partial or several payments per claim; settlement per insurer</t>
        </is>
      </c>
      <c r="E239" s="12" t="inlineStr">
        <is>
          <t>BRCLM.029-032, p.42</t>
        </is>
      </c>
      <c r="F239" s="32" t="inlineStr">
        <is>
          <t>Open</t>
        </is>
      </c>
      <c r="G239" s="12" t="inlineStr"/>
      <c r="H239" s="12" t="inlineStr"/>
      <c r="I239" s="12" t="inlineStr"/>
      <c r="J239" s="12" t="inlineStr"/>
    </row>
    <row r="240" ht="79.59999999999999" customHeight="1">
      <c r="A240" s="12" t="inlineStr">
        <is>
          <t>CLQ10</t>
        </is>
      </c>
      <c r="B240" s="12" t="inlineStr">
        <is>
          <t>BRD-7 CLM</t>
        </is>
      </c>
      <c r="C240" s="12" t="inlineStr">
        <is>
          <t>Money through BDOI</t>
        </is>
      </c>
      <c r="D240" s="12" t="inlineStr">
        <is>
          <t>Does BDOI ever receive claim proceeds (cheque payable to BDOI, fund transfer) or pay a claimant? Does an insurer deduct unpaid premium from a settlement? What must be recorded for "Transmittal of Settlement Check" (cheque no., bank, amount, received / released dates)? If money passes through BDOI, Cashiering (receipt) and Disbursement (payout) flows are needed</t>
        </is>
      </c>
      <c r="E240" s="12" t="inlineStr">
        <is>
          <t>BRCLM.010, OQ46</t>
        </is>
      </c>
      <c r="F240" s="32" t="inlineStr">
        <is>
          <t>Open</t>
        </is>
      </c>
      <c r="G240" s="12" t="inlineStr"/>
      <c r="H240" s="12" t="inlineStr">
        <is>
          <t>XQ13</t>
        </is>
      </c>
      <c r="I240" s="12" t="inlineStr"/>
      <c r="J240" s="12" t="inlineStr">
        <is>
          <t>DCR-086, DCR-164</t>
        </is>
      </c>
    </row>
    <row r="241" ht="41.8" customHeight="1">
      <c r="A241" s="12" t="inlineStr">
        <is>
          <t>CLQ11</t>
        </is>
      </c>
      <c r="B241" s="12" t="inlineStr">
        <is>
          <t>BRD-7 CLM</t>
        </is>
      </c>
      <c r="C241" s="12" t="inlineStr">
        <is>
          <t>Adjusters</t>
        </is>
      </c>
      <c r="D241" s="12" t="inlineStr">
        <is>
          <t>Is a plain list enough, or are contacts and e-mail needed (notifications, formal loss advice copy)? Accreditation per insurer? Appraisers (motor) in the same list?</t>
        </is>
      </c>
      <c r="E241" s="12" t="inlineStr">
        <is>
          <t>BRCLM.017/018</t>
        </is>
      </c>
      <c r="F241" s="32" t="inlineStr">
        <is>
          <t>Open</t>
        </is>
      </c>
      <c r="G241" s="12" t="inlineStr"/>
      <c r="H241" s="12" t="inlineStr"/>
      <c r="I241" s="12" t="inlineStr"/>
      <c r="J241" s="12" t="inlineStr"/>
    </row>
    <row r="242" ht="41.8" customHeight="1">
      <c r="A242" s="12" t="inlineStr">
        <is>
          <t>CLQ12</t>
        </is>
      </c>
      <c r="B242" s="12" t="inlineStr">
        <is>
          <t>BRD-7 CLM</t>
        </is>
      </c>
      <c r="C242" s="12" t="inlineStr">
        <is>
          <t>Codes</t>
        </is>
      </c>
      <c r="D242" s="12" t="inlineStr">
        <is>
          <t>Values for Claim Type and Nature / Type of Loss (report fields); meaning of "CNR"; whether "Others" catastrophe needs a free-text event and whether events are named (e.g. typhoon name)</t>
        </is>
      </c>
      <c r="E242" s="12" t="inlineStr">
        <is>
          <t>BRCLM.010/036, p.42</t>
        </is>
      </c>
      <c r="F242" s="32" t="inlineStr">
        <is>
          <t>Open</t>
        </is>
      </c>
      <c r="G242" s="12" t="inlineStr"/>
      <c r="H242" s="12" t="inlineStr"/>
      <c r="I242" s="12" t="inlineStr"/>
      <c r="J242" s="12" t="inlineStr">
        <is>
          <t>DCR-082, DCR-160</t>
        </is>
      </c>
    </row>
    <row r="243" ht="41.8" customHeight="1">
      <c r="A243" s="12" t="inlineStr">
        <is>
          <t>CLQ13</t>
        </is>
      </c>
      <c r="B243" s="12" t="inlineStr">
        <is>
          <t>BRD-7 CLM</t>
        </is>
      </c>
      <c r="C243" s="12" t="inlineStr">
        <is>
          <t>Claim number</t>
        </is>
      </c>
      <c r="D243" s="12" t="inlineStr">
        <is>
          <t>Format of the BDOI claim number (proposal BCL-&lt;yyyy&gt;-nnnnnn); keep EBIX / ISYS numbers of migrated claims as legacy references?</t>
        </is>
      </c>
      <c r="E243" s="12" t="inlineStr">
        <is>
          <t>p.42</t>
        </is>
      </c>
      <c r="F243" s="32" t="inlineStr">
        <is>
          <t>Partially answered</t>
        </is>
      </c>
      <c r="G243" s="12" t="inlineStr">
        <is>
          <t>Claims history stays in legacy or the archive; open claims not mentioned (DMQ30). (BRD-13 BRID 11.1)</t>
        </is>
      </c>
      <c r="H243" s="12" t="inlineStr"/>
      <c r="I243" s="12" t="inlineStr"/>
      <c r="J243" s="12" t="inlineStr"/>
    </row>
    <row r="244" ht="41.8" customHeight="1">
      <c r="A244" s="12" t="inlineStr">
        <is>
          <t>CLQ14</t>
        </is>
      </c>
      <c r="B244" s="12" t="inlineStr">
        <is>
          <t>BRD-7 CLM</t>
        </is>
      </c>
      <c r="C244" s="12" t="inlineStr">
        <is>
          <t>Migration</t>
        </is>
      </c>
      <c r="D244" s="12" t="inlineStr">
        <is>
          <t>Open and historical claims from EBIX / ISYS (history needed for claims-prone and loss-ratio analysis): scope, years, file format ("data migration will be seamless", p.23)</t>
        </is>
      </c>
      <c r="E244" s="12" t="inlineStr">
        <is>
          <t>BRCLM.007/038, p.23</t>
        </is>
      </c>
      <c r="F244" s="32" t="inlineStr">
        <is>
          <t>Partially answered</t>
        </is>
      </c>
      <c r="G244" s="12" t="inlineStr">
        <is>
          <t>Historical claims are not migrated (read-only legacy or archive); open claims not addressed (DMQ30). (BRD-13 p.3, BRID 11.1)</t>
        </is>
      </c>
      <c r="H244" s="12" t="inlineStr">
        <is>
          <t>CQ07</t>
        </is>
      </c>
      <c r="I244" s="12" t="inlineStr"/>
      <c r="J244" s="12" t="inlineStr">
        <is>
          <t>DCR-081, DCR-157, DCR-196</t>
        </is>
      </c>
    </row>
    <row r="245" ht="29.2" customHeight="1">
      <c r="A245" s="12" t="inlineStr">
        <is>
          <t>CLQ15</t>
        </is>
      </c>
      <c r="B245" s="12" t="inlineStr">
        <is>
          <t>BRD-7 CLM</t>
        </is>
      </c>
      <c r="C245" s="12" t="inlineStr">
        <is>
          <t>Marketing access</t>
        </is>
      </c>
      <c r="D245" s="12" t="inlineStr">
        <is>
          <t>Which Marketing roles see loss information; all accounts or only their own portfolio / unit; which may export</t>
        </is>
      </c>
      <c r="E245" s="12" t="inlineStr">
        <is>
          <t>BRCLM.040</t>
        </is>
      </c>
      <c r="F245" s="32" t="inlineStr">
        <is>
          <t>Open</t>
        </is>
      </c>
      <c r="G245" s="12" t="inlineStr"/>
      <c r="H245" s="12" t="inlineStr"/>
      <c r="I245" s="12" t="inlineStr"/>
      <c r="J245" s="12" t="inlineStr"/>
    </row>
    <row r="246" ht="41.8" customHeight="1">
      <c r="A246" s="12" t="inlineStr">
        <is>
          <t>CLQ16</t>
        </is>
      </c>
      <c r="B246" s="12" t="inlineStr">
        <is>
          <t>BRD-7 CLM</t>
        </is>
      </c>
      <c r="C246" s="12" t="inlineStr">
        <is>
          <t>Claims-prone areas</t>
        </is>
      </c>
      <c r="D246" s="12" t="inlineStr">
        <is>
          <t>Granularity (exact location, barangay, city / municipality, province, region); period and threshold for "frequent"; mapping or hazard data (flood zones) expected?</t>
        </is>
      </c>
      <c r="E246" s="12" t="inlineStr">
        <is>
          <t>BRCLM.038</t>
        </is>
      </c>
      <c r="F246" s="32" t="inlineStr">
        <is>
          <t>Open</t>
        </is>
      </c>
      <c r="G246" s="12" t="inlineStr"/>
      <c r="H246" s="12" t="inlineStr"/>
      <c r="I246" s="12" t="inlineStr"/>
      <c r="J246" s="12" t="inlineStr">
        <is>
          <t>DCR-083</t>
        </is>
      </c>
    </row>
    <row r="247" ht="29.2" customHeight="1">
      <c r="A247" s="12" t="inlineStr">
        <is>
          <t>CLQ17</t>
        </is>
      </c>
      <c r="B247" s="12" t="inlineStr">
        <is>
          <t>BRD-7 CLM</t>
        </is>
      </c>
      <c r="C247" s="12" t="inlineStr">
        <is>
          <t>Insurer updates</t>
        </is>
      </c>
      <c r="D247" s="12" t="inlineStr">
        <is>
          <t>Channels of insurer reports (e-mail, letter, portal, bordereau file); list of "sources"; is a bulk upload of insurer claim updates wanted?</t>
        </is>
      </c>
      <c r="E247" s="12" t="inlineStr">
        <is>
          <t>BRCLM.041</t>
        </is>
      </c>
      <c r="F247" s="32" t="inlineStr">
        <is>
          <t>Open</t>
        </is>
      </c>
      <c r="G247" s="12" t="inlineStr"/>
      <c r="H247" s="12" t="inlineStr"/>
      <c r="I247" s="12" t="inlineStr"/>
      <c r="J247" s="12" t="inlineStr">
        <is>
          <t>DCR-083</t>
        </is>
      </c>
    </row>
    <row r="248" ht="41.8" customHeight="1">
      <c r="A248" s="12" t="inlineStr">
        <is>
          <t>CLQ18</t>
        </is>
      </c>
      <c r="B248" s="12" t="inlineStr">
        <is>
          <t>BRD-7 CLM</t>
        </is>
      </c>
      <c r="C248" s="12" t="inlineStr">
        <is>
          <t>Insurer location references</t>
        </is>
      </c>
      <c r="D248" s="12" t="inlineStr">
        <is>
          <t>Where do insurer location references come from (policy schedule, placement, the insurer at claim time)? One per insurer for co-insured risks? Should placement / issuance capture them rather than Claims?</t>
        </is>
      </c>
      <c r="E248" s="12" t="inlineStr">
        <is>
          <t>BRCLM.042</t>
        </is>
      </c>
      <c r="F248" s="32" t="inlineStr">
        <is>
          <t>Open</t>
        </is>
      </c>
      <c r="G248" s="12" t="inlineStr"/>
      <c r="H248" s="12" t="inlineStr"/>
      <c r="I248" s="12" t="inlineStr"/>
      <c r="J248" s="12" t="inlineStr">
        <is>
          <t>DCR-083</t>
        </is>
      </c>
    </row>
    <row r="249" ht="41.8" customHeight="1">
      <c r="A249" s="12" t="inlineStr">
        <is>
          <t>CLQ19</t>
        </is>
      </c>
      <c r="B249" s="12" t="inlineStr">
        <is>
          <t>BRD-7 CLM</t>
        </is>
      </c>
      <c r="C249" s="12" t="inlineStr">
        <is>
          <t>Multi-insurer incidents</t>
        </is>
      </c>
      <c r="D249" s="12" t="inlineStr">
        <is>
          <t>Is the case co-insurance on one policy, several policies of one client (e.g. property and business interruption with different insurers), or both? Can one incident span several ARNs?</t>
        </is>
      </c>
      <c r="E249" s="12" t="inlineStr">
        <is>
          <t>BRCLM.043</t>
        </is>
      </c>
      <c r="F249" s="32" t="inlineStr">
        <is>
          <t>Open</t>
        </is>
      </c>
      <c r="G249" s="12" t="inlineStr"/>
      <c r="H249" s="12" t="inlineStr"/>
      <c r="I249" s="12" t="inlineStr"/>
      <c r="J249" s="12" t="inlineStr">
        <is>
          <t>DCR-083</t>
        </is>
      </c>
    </row>
    <row r="250" ht="54.4" customHeight="1">
      <c r="A250" s="12" t="inlineStr">
        <is>
          <t>CLQ20</t>
        </is>
      </c>
      <c r="B250" s="12" t="inlineStr">
        <is>
          <t>BRD-7 CLM</t>
        </is>
      </c>
      <c r="C250" s="12" t="inlineStr">
        <is>
          <t>Loss ratio</t>
        </is>
      </c>
      <c r="D250" s="12" t="inlineStr">
        <is>
          <t>Premium basis (gross with taxes, basic premium, net of cancellations; written vs earned), period basis (policy year, loss date, booking date) and grouping (client, account, product line, insurer, Marketing unit)</t>
        </is>
      </c>
      <c r="E250" s="12" t="inlineStr">
        <is>
          <t>BRCLM.032</t>
        </is>
      </c>
      <c r="F250" s="32" t="inlineStr">
        <is>
          <t>Open</t>
        </is>
      </c>
      <c r="G250" s="12" t="inlineStr"/>
      <c r="H250" s="12" t="inlineStr"/>
      <c r="I250" s="12" t="inlineStr"/>
      <c r="J250" s="12" t="inlineStr"/>
    </row>
    <row r="251" ht="41.8" customHeight="1">
      <c r="A251" s="12" t="inlineStr">
        <is>
          <t>CLQ21</t>
        </is>
      </c>
      <c r="B251" s="12" t="inlineStr">
        <is>
          <t>BRD-7 CLM</t>
        </is>
      </c>
      <c r="C251" s="12" t="inlineStr">
        <is>
          <t>Reports</t>
        </is>
      </c>
      <c r="D251" s="12" t="inlineStr">
        <is>
          <t>Does BIBS replace ISYS for claims reporting (Report List p.40-42)? Confirm aging brackets and the wording "Settled Claims report availability" (BRCLM.029); scheduled delivery to the shared drive?</t>
        </is>
      </c>
      <c r="E251" s="12" t="inlineStr">
        <is>
          <t>BRCLM.026-033</t>
        </is>
      </c>
      <c r="F251" s="32" t="inlineStr">
        <is>
          <t>Open</t>
        </is>
      </c>
      <c r="G251" s="12" t="inlineStr"/>
      <c r="H251" s="12" t="inlineStr">
        <is>
          <t>OQ42</t>
        </is>
      </c>
      <c r="I251" s="12" t="inlineStr"/>
      <c r="J251" s="12" t="inlineStr">
        <is>
          <t>DCR-084, DCR-152, DCR-158</t>
        </is>
      </c>
    </row>
    <row r="252" ht="41.8" customHeight="1">
      <c r="A252" s="12" t="inlineStr">
        <is>
          <t>CLQ22</t>
        </is>
      </c>
      <c r="B252" s="12" t="inlineStr">
        <is>
          <t>BRD-7 CLM</t>
        </is>
      </c>
      <c r="C252" s="12" t="inlineStr">
        <is>
          <t>Notifications</t>
        </is>
      </c>
      <c r="D252" s="12" t="inlineStr">
        <is>
          <t>NFR 15.14 counts e-mail notifications to the client, AO or insurer (50 per week). Which events notify whom, and the templates (PLA, formal loss advice, offer to the assured)?</t>
        </is>
      </c>
      <c r="E252" s="12" t="inlineStr">
        <is>
          <t>NFR 15.14, p.24-26</t>
        </is>
      </c>
      <c r="F252" s="32" t="inlineStr">
        <is>
          <t>Open</t>
        </is>
      </c>
      <c r="G252" s="12" t="inlineStr"/>
      <c r="H252" s="12" t="inlineStr"/>
      <c r="I252" s="12" t="inlineStr"/>
      <c r="J252" s="12" t="inlineStr"/>
    </row>
    <row r="253" ht="41.8" customHeight="1">
      <c r="A253" s="12" t="inlineStr">
        <is>
          <t>CLQ23</t>
        </is>
      </c>
      <c r="B253" s="12" t="inlineStr">
        <is>
          <t>BRD-7 CLM</t>
        </is>
      </c>
      <c r="C253" s="12" t="inlineStr">
        <is>
          <t>Notice of loss intake</t>
        </is>
      </c>
      <c r="D253" s="12" t="inlineStr">
        <is>
          <t>In the current process Marketing / branches prepare the PLA / CRF. Should the AO record the notice in BIBS (with Claims validating), or only Claims users?</t>
        </is>
      </c>
      <c r="E253" s="12" t="inlineStr">
        <is>
          <t>p.24-25</t>
        </is>
      </c>
      <c r="F253" s="32" t="inlineStr">
        <is>
          <t>Open</t>
        </is>
      </c>
      <c r="G253" s="12" t="inlineStr"/>
      <c r="H253" s="12" t="inlineStr"/>
      <c r="I253" s="12" t="inlineStr"/>
      <c r="J253" s="12" t="inlineStr"/>
    </row>
    <row r="254" ht="41.8" customHeight="1">
      <c r="A254" s="12" t="inlineStr">
        <is>
          <t>CLQ24</t>
        </is>
      </c>
      <c r="B254" s="12" t="inlineStr">
        <is>
          <t>BRD-7 CLM</t>
        </is>
      </c>
      <c r="C254" s="12" t="inlineStr">
        <is>
          <t>NFR alignment</t>
        </is>
      </c>
      <c r="D254" s="12" t="inlineStr">
        <is>
          <t>Mon-Fri 06:00-20:00 vs BRD-1 07:00-22:00 Mon-Sat; session timeout 15 minutes; audit-log archive 16 years vs purge after 15 years; RPO 4 hours (Operations 24 hours)</t>
        </is>
      </c>
      <c r="E254" s="12" t="inlineStr">
        <is>
          <t>NFR, OQ44</t>
        </is>
      </c>
      <c r="F254" s="32" t="inlineStr">
        <is>
          <t>Open</t>
        </is>
      </c>
      <c r="G254" s="12" t="inlineStr"/>
      <c r="H254" s="12" t="inlineStr">
        <is>
          <t>XQ08</t>
        </is>
      </c>
      <c r="I254" s="12" t="inlineStr"/>
      <c r="J254" s="12" t="inlineStr">
        <is>
          <t>DCR-080, DCR-133, DCR-140</t>
        </is>
      </c>
    </row>
    <row r="255" ht="41.8" customHeight="1">
      <c r="A255" s="12" t="inlineStr">
        <is>
          <t>CLQ25</t>
        </is>
      </c>
      <c r="B255" s="12" t="inlineStr">
        <is>
          <t>BRD-7 CLM</t>
        </is>
      </c>
      <c r="C255" s="12" t="inlineStr">
        <is>
          <t>Claimants</t>
        </is>
      </c>
      <c r="D255" s="12" t="inlineStr">
        <is>
          <t>Third-party claimants (motor TP) and claimant contact details: is a name override enough, or a claimant record with contacts and payee details?</t>
        </is>
      </c>
      <c r="E255" s="12" t="inlineStr">
        <is>
          <t>BRCLM.006</t>
        </is>
      </c>
      <c r="F255" s="32" t="inlineStr">
        <is>
          <t>Open</t>
        </is>
      </c>
      <c r="G255" s="12" t="inlineStr"/>
      <c r="H255" s="12" t="inlineStr"/>
      <c r="I255" s="12" t="inlineStr"/>
      <c r="J255" s="12" t="inlineStr"/>
    </row>
    <row r="256" ht="29.2" customHeight="1">
      <c r="A256" s="12" t="inlineStr">
        <is>
          <t>CLQ26</t>
        </is>
      </c>
      <c r="B256" s="12" t="inlineStr">
        <is>
          <t>BRD-7 CLM</t>
        </is>
      </c>
      <c r="C256" s="12" t="inlineStr">
        <is>
          <t>Documents</t>
        </is>
      </c>
      <c r="D256" s="12" t="inlineStr">
        <is>
          <t>Is a document checklist per claim type needed to decide "with complete documents" vs "without or incomplete documents"?</t>
        </is>
      </c>
      <c r="E256" s="12" t="inlineStr">
        <is>
          <t>BRCLM.010 statuses 1-2</t>
        </is>
      </c>
      <c r="F256" s="32" t="inlineStr">
        <is>
          <t>Open</t>
        </is>
      </c>
      <c r="G256" s="12" t="inlineStr"/>
      <c r="H256" s="12" t="inlineStr">
        <is>
          <t>XQ05</t>
        </is>
      </c>
      <c r="I256" s="12" t="inlineStr"/>
      <c r="J256" s="12" t="inlineStr">
        <is>
          <t>DCR-148</t>
        </is>
      </c>
    </row>
    <row r="257" ht="16.6" customHeight="1">
      <c r="A257" s="12" t="inlineStr">
        <is>
          <t>CLQ27</t>
        </is>
      </c>
      <c r="B257" s="12" t="inlineStr">
        <is>
          <t>BRD-7 CLM</t>
        </is>
      </c>
      <c r="C257" s="12" t="inlineStr">
        <is>
          <t>Branch scope</t>
        </is>
      </c>
      <c r="D257" s="12" t="inlineStr">
        <is>
          <t>Do branch claims users see only their branch's claims, or all claims?</t>
        </is>
      </c>
      <c r="E257" s="12" t="inlineStr">
        <is>
          <t>NFR p.37, BRCLM.003</t>
        </is>
      </c>
      <c r="F257" s="32" t="inlineStr">
        <is>
          <t>Open</t>
        </is>
      </c>
      <c r="G257" s="12" t="inlineStr"/>
      <c r="H257" s="12" t="inlineStr"/>
      <c r="I257" s="12" t="inlineStr"/>
      <c r="J257" s="12" t="inlineStr"/>
    </row>
    <row r="258" ht="54.4" customHeight="1">
      <c r="A258" s="12" t="inlineStr">
        <is>
          <t>CLQ28</t>
        </is>
      </c>
      <c r="B258" s="12" t="inlineStr">
        <is>
          <t>BRD-7 CLM</t>
        </is>
      </c>
      <c r="C258" s="12" t="inlineStr">
        <is>
          <t>Total loss</t>
        </is>
      </c>
      <c r="D258" s="12" t="inlineStr">
        <is>
          <t>The Renewal BRD uses "Total Loss Claim" as a non-renewal reason (RN p.82) and needs the number and status of claims per account (RN p.50, 86). Should Claims record a total-loss indicator (a settlement type, a loss nature or a flag)?</t>
        </is>
      </c>
      <c r="E258" s="12" t="inlineStr">
        <is>
          <t>Renewal BRD, BRCLM.014</t>
        </is>
      </c>
      <c r="F258" s="32" t="inlineStr">
        <is>
          <t>Open</t>
        </is>
      </c>
      <c r="G258" s="12" t="inlineStr"/>
      <c r="H258" s="12" t="inlineStr">
        <is>
          <t>XQ10</t>
        </is>
      </c>
      <c r="I258" s="12" t="inlineStr"/>
      <c r="J258" s="12" t="inlineStr">
        <is>
          <t>DCR-078, DCR-150</t>
        </is>
      </c>
    </row>
    <row r="259" ht="54.4" customHeight="1">
      <c r="A259" s="12" t="inlineStr">
        <is>
          <t>EBQ01</t>
        </is>
      </c>
      <c r="B259" s="12" t="inlineStr">
        <is>
          <t>BRD-8 EB</t>
        </is>
      </c>
      <c r="C259" s="12" t="inlineStr">
        <is>
          <t>Lines and catalog</t>
        </is>
      </c>
      <c r="D259" s="12" t="inlineStr">
        <is>
          <t>Full list of EB benefit lines (HMO, GLI, GPA; also dental, rider benefits?). Are HMO providers panel "insurers" in the catalog (party type INSURER) although they are not insurance companies? Commission rates per provider and line</t>
        </is>
      </c>
      <c r="E259" s="12" t="inlineStr">
        <is>
          <t>BRID-013, catalog</t>
        </is>
      </c>
      <c r="F259" s="32" t="inlineStr">
        <is>
          <t>Open</t>
        </is>
      </c>
      <c r="G259" s="12" t="inlineStr"/>
      <c r="H259" s="12" t="inlineStr"/>
      <c r="I259" s="12" t="inlineStr"/>
      <c r="J259" s="12" t="inlineStr">
        <is>
          <t>DCR-097</t>
        </is>
      </c>
    </row>
    <row r="260" ht="41.8" customHeight="1">
      <c r="A260" s="12" t="inlineStr">
        <is>
          <t>EBQ02</t>
        </is>
      </c>
      <c r="B260" s="12" t="inlineStr">
        <is>
          <t>BRD-8 EB</t>
        </is>
      </c>
      <c r="C260" s="12" t="inlineStr">
        <is>
          <t>RA timing</t>
        </is>
      </c>
      <c r="D260" s="12" t="inlineStr">
        <is>
          <t>RA lead time: 180 days (BRID-001 example) or 135 days (TAT annex)? Reminder frequency and number; feedback request content; recipients (HR contacts)</t>
        </is>
      </c>
      <c r="E260" s="12" t="inlineStr">
        <is>
          <t>BRID-001</t>
        </is>
      </c>
      <c r="F260" s="32" t="inlineStr">
        <is>
          <t>Open</t>
        </is>
      </c>
      <c r="G260" s="12" t="inlineStr"/>
      <c r="H260" s="12" t="inlineStr"/>
      <c r="I260" s="12" t="inlineStr"/>
      <c r="J260" s="12" t="inlineStr">
        <is>
          <t>DCR-087</t>
        </is>
      </c>
    </row>
    <row r="261" ht="29.2" customHeight="1">
      <c r="A261" s="12" t="inlineStr">
        <is>
          <t>EBQ03</t>
        </is>
      </c>
      <c r="B261" s="12" t="inlineStr">
        <is>
          <t>BRD-8 EB</t>
        </is>
      </c>
      <c r="C261" s="12" t="inlineStr">
        <is>
          <t>Renewal flag</t>
        </is>
      </c>
      <c r="D261" s="12" t="inlineStr">
        <is>
          <t>Who flags a programme "for renewal" and when? Relation to the Renewal BRD dispositions (For Renewal / Not for Renewal, NAL / NFR letters)</t>
        </is>
      </c>
      <c r="E261" s="12" t="inlineStr">
        <is>
          <t>BRID-001, 003, 004</t>
        </is>
      </c>
      <c r="F261" s="32" t="inlineStr">
        <is>
          <t>Open</t>
        </is>
      </c>
      <c r="G261" s="12" t="inlineStr"/>
      <c r="H261" s="12" t="inlineStr"/>
      <c r="I261" s="12" t="inlineStr"/>
      <c r="J261" s="12" t="inlineStr">
        <is>
          <t>DCR-151</t>
        </is>
      </c>
    </row>
    <row r="262" ht="41.8" customHeight="1">
      <c r="A262" s="12" t="inlineStr">
        <is>
          <t>EBQ04</t>
        </is>
      </c>
      <c r="B262" s="12" t="inlineStr">
        <is>
          <t>BRD-8 EB</t>
        </is>
      </c>
      <c r="C262" s="12" t="inlineStr">
        <is>
          <t>Incumbent proposal</t>
        </is>
      </c>
      <c r="D262" s="12" t="inlineStr">
        <is>
          <t>Does the incumbent submit the indicative renewal terms through the portal, or does the AO encode them? Which rates are "latest incumbent rates"?</t>
        </is>
      </c>
      <c r="E262" s="12" t="inlineStr">
        <is>
          <t>BRID-003</t>
        </is>
      </c>
      <c r="F262" s="32" t="inlineStr">
        <is>
          <t>Open</t>
        </is>
      </c>
      <c r="G262" s="12" t="inlineStr"/>
      <c r="H262" s="12" t="inlineStr"/>
      <c r="I262" s="12" t="inlineStr"/>
      <c r="J262" s="12" t="inlineStr"/>
    </row>
    <row r="263" ht="41.8" customHeight="1">
      <c r="A263" s="12" t="inlineStr">
        <is>
          <t>EBQ05</t>
        </is>
      </c>
      <c r="B263" s="12" t="inlineStr">
        <is>
          <t>BRD-8 EB</t>
        </is>
      </c>
      <c r="C263" s="12" t="inlineStr">
        <is>
          <t>BOR on renewal</t>
        </is>
      </c>
      <c r="D263" s="12" t="inlineStr">
        <is>
          <t>The renewal lane of the flow requests a BOR, while the BRID-008 negative scenario rejects a BOR for a renewal. Is a BOR needed for renewals when remarketing, never, or always?</t>
        </is>
      </c>
      <c r="E263" s="12" t="inlineStr">
        <is>
          <t>BRID-008, flow</t>
        </is>
      </c>
      <c r="F263" s="32" t="inlineStr">
        <is>
          <t>Open</t>
        </is>
      </c>
      <c r="G263" s="12" t="inlineStr"/>
      <c r="H263" s="12" t="inlineStr"/>
      <c r="I263" s="12" t="inlineStr"/>
      <c r="J263" s="12" t="inlineStr">
        <is>
          <t>DCR-088</t>
        </is>
      </c>
    </row>
    <row r="264" ht="29.2" customHeight="1">
      <c r="A264" s="12" t="inlineStr">
        <is>
          <t>EBQ06</t>
        </is>
      </c>
      <c r="B264" s="12" t="inlineStr">
        <is>
          <t>BRD-8 EB</t>
        </is>
      </c>
      <c r="C264" s="12" t="inlineStr">
        <is>
          <t>BOR validation</t>
        </is>
      </c>
      <c r="D264" s="12" t="inlineStr">
        <is>
          <t>"System validates that the BOR is signed": is an AO attestation acceptable, or is an e-signature expected? BOR template and validity period</t>
        </is>
      </c>
      <c r="E264" s="12" t="inlineStr">
        <is>
          <t>BRID-008</t>
        </is>
      </c>
      <c r="F264" s="32" t="inlineStr">
        <is>
          <t>Open</t>
        </is>
      </c>
      <c r="G264" s="12" t="inlineStr"/>
      <c r="H264" s="12" t="inlineStr"/>
      <c r="I264" s="12" t="inlineStr"/>
      <c r="J264" s="12" t="inlineStr">
        <is>
          <t>DCR-088</t>
        </is>
      </c>
    </row>
    <row r="265" ht="54.4" customHeight="1">
      <c r="A265" s="12" t="inlineStr">
        <is>
          <t>EBQ07</t>
        </is>
      </c>
      <c r="B265" s="12" t="inlineStr">
        <is>
          <t>BRD-8 EB</t>
        </is>
      </c>
      <c r="C265" s="12" t="inlineStr">
        <is>
          <t>Franchise</t>
        </is>
      </c>
      <c r="D265" s="12" t="inlineStr">
        <is>
          <t>Definition of "franchise" (the insurer's accreditation of BDOI for the account?); is it needed for the incumbent; per insurer or once per cycle; content of the ISO franchise form; "high-value triggers" in the TAT annex</t>
        </is>
      </c>
      <c r="E265" s="12" t="inlineStr">
        <is>
          <t>BRID-026, 027, 029</t>
        </is>
      </c>
      <c r="F265" s="32" t="inlineStr">
        <is>
          <t>Open</t>
        </is>
      </c>
      <c r="G265" s="12" t="inlineStr"/>
      <c r="H265" s="12" t="inlineStr"/>
      <c r="I265" s="12" t="inlineStr"/>
      <c r="J265" s="12" t="inlineStr">
        <is>
          <t>DCR-090</t>
        </is>
      </c>
    </row>
    <row r="266" ht="29.2" customHeight="1">
      <c r="A266" s="12" t="inlineStr">
        <is>
          <t>EBQ08</t>
        </is>
      </c>
      <c r="B266" s="12" t="inlineStr">
        <is>
          <t>BRD-8 EB</t>
        </is>
      </c>
      <c r="C266" s="12" t="inlineStr">
        <is>
          <t>TOR structure</t>
        </is>
      </c>
      <c r="D266" s="12" t="inlineStr">
        <is>
          <t>Standard TOR template per benefit line (benefit schedule items) so that the portal proposal form can be structured "aligned to TOR items"</t>
        </is>
      </c>
      <c r="E266" s="12" t="inlineStr">
        <is>
          <t>BRID-005.02, 009</t>
        </is>
      </c>
      <c r="F266" s="32" t="inlineStr">
        <is>
          <t>Open</t>
        </is>
      </c>
      <c r="G266" s="12" t="inlineStr"/>
      <c r="H266" s="12" t="inlineStr">
        <is>
          <t>Q03</t>
        </is>
      </c>
      <c r="I266" s="12" t="inlineStr"/>
      <c r="J266" s="12" t="inlineStr"/>
    </row>
    <row r="267" ht="29.2" customHeight="1">
      <c r="A267" s="12" t="inlineStr">
        <is>
          <t>EBQ09</t>
        </is>
      </c>
      <c r="B267" s="12" t="inlineStr">
        <is>
          <t>BRD-8 EB</t>
        </is>
      </c>
      <c r="C267" s="12" t="inlineStr">
        <is>
          <t>Password convention</t>
        </is>
      </c>
      <c r="D267" s="12" t="inlineStr">
        <is>
          <t>The documented convention (standard value or syntax) for EB documents to insurers and clients</t>
        </is>
      </c>
      <c r="E267" s="12" t="inlineStr">
        <is>
          <t>BRID-007, Q07</t>
        </is>
      </c>
      <c r="F267" s="32" t="inlineStr">
        <is>
          <t>Open</t>
        </is>
      </c>
      <c r="G267" s="12" t="inlineStr"/>
      <c r="H267" s="12" t="inlineStr">
        <is>
          <t>Q07</t>
        </is>
      </c>
      <c r="I267" s="12" t="inlineStr"/>
      <c r="J267" s="12" t="inlineStr">
        <is>
          <t>DCR-153</t>
        </is>
      </c>
    </row>
    <row r="268" ht="54.4" customHeight="1">
      <c r="A268" s="12" t="inlineStr">
        <is>
          <t>EBQ10</t>
        </is>
      </c>
      <c r="B268" s="12" t="inlineStr">
        <is>
          <t>BRD-8 EB</t>
        </is>
      </c>
      <c r="C268" s="12" t="inlineStr">
        <is>
          <t>Comparative</t>
        </is>
      </c>
      <c r="D268" s="12" t="inlineStr">
        <is>
          <t>Factors and scoring (coverage, premium, exclusions, capabilities: company stability, clinic providers, hospitals, technology); "within three days"; who are the authorised signatories; is this approval separate from the value-threshold approval?</t>
        </is>
      </c>
      <c r="E268" s="12" t="inlineStr">
        <is>
          <t>BRID-010, 016</t>
        </is>
      </c>
      <c r="F268" s="32" t="inlineStr">
        <is>
          <t>Open</t>
        </is>
      </c>
      <c r="G268" s="12" t="inlineStr"/>
      <c r="H268" s="12" t="inlineStr"/>
      <c r="I268" s="12" t="inlineStr"/>
      <c r="J268" s="12" t="inlineStr"/>
    </row>
    <row r="269" ht="41.8" customHeight="1">
      <c r="A269" s="12" t="inlineStr">
        <is>
          <t>EBQ11</t>
        </is>
      </c>
      <c r="B269" s="12" t="inlineStr">
        <is>
          <t>BRD-8 EB</t>
        </is>
      </c>
      <c r="C269" s="12" t="inlineStr">
        <is>
          <t>Threshold</t>
        </is>
      </c>
      <c r="D269" s="12" t="inlineStr">
        <is>
          <t>Threshold values (TSI &gt;= 500M, premium &gt;= 20M are examples); measured per benefit line or per programme; annual premium or total; approver levels ("level of authority", BDOI Management)</t>
        </is>
      </c>
      <c r="E269" s="12" t="inlineStr">
        <is>
          <t>BRID-016</t>
        </is>
      </c>
      <c r="F269" s="32" t="inlineStr">
        <is>
          <t>Open</t>
        </is>
      </c>
      <c r="G269" s="12" t="inlineStr"/>
      <c r="H269" s="12" t="inlineStr"/>
      <c r="I269" s="12" t="inlineStr"/>
      <c r="J269" s="12" t="inlineStr"/>
    </row>
    <row r="270" ht="41.8" customHeight="1">
      <c r="A270" s="12" t="inlineStr">
        <is>
          <t>EBQ12</t>
        </is>
      </c>
      <c r="B270" s="12" t="inlineStr">
        <is>
          <t>BRD-8 EB</t>
        </is>
      </c>
      <c r="C270" s="12" t="inlineStr">
        <is>
          <t>Client decision</t>
        </is>
      </c>
      <c r="D270" s="12" t="inlineStr">
        <is>
          <t>Accepted evidence of client confirmation (portal click, e-mail, signed document); does the client approve placement separately from the proposal (Add. p.16 note)?</t>
        </is>
      </c>
      <c r="E270" s="12" t="inlineStr">
        <is>
          <t>BRID-011, 017</t>
        </is>
      </c>
      <c r="F270" s="32" t="inlineStr">
        <is>
          <t>Open</t>
        </is>
      </c>
      <c r="G270" s="12" t="inlineStr"/>
      <c r="H270" s="12" t="inlineStr"/>
      <c r="I270" s="12" t="inlineStr"/>
      <c r="J270" s="12" t="inlineStr"/>
    </row>
    <row r="271" ht="67" customHeight="1">
      <c r="A271" s="12" t="inlineStr">
        <is>
          <t>EBQ13</t>
        </is>
      </c>
      <c r="B271" s="12" t="inlineStr">
        <is>
          <t>BRD-8 EB</t>
        </is>
      </c>
      <c r="C271" s="12" t="inlineStr">
        <is>
          <t>Portal</t>
        </is>
      </c>
      <c r="D271" s="12" t="inlineStr">
        <is>
          <t>Hosting (internet-facing, DMZ) and BDO Information Security approval; authentication (MFA, password policy, SSO for insurers?); who creates and approves insurer and client users (BDOI admin or delegated insurer / HR admin); several users per insurer / client; API for insurers now or later; virus scanning product</t>
        </is>
      </c>
      <c r="E271" s="12" t="inlineStr">
        <is>
          <t>BRID-005, 005.01-005.03, 014</t>
        </is>
      </c>
      <c r="F271" s="32" t="inlineStr">
        <is>
          <t>Partially answered</t>
        </is>
      </c>
      <c r="G271" s="12" t="inlineStr">
        <is>
          <t>Portal users requested and approved through User Access as external users (project decision). Hosting, MFA and identity provider open. (Decision D7 on BRD-11 request flow)</t>
        </is>
      </c>
      <c r="H271" s="12" t="inlineStr"/>
      <c r="I271" s="12" t="inlineStr"/>
      <c r="J271" s="12" t="inlineStr">
        <is>
          <t>DCR-092, DCR-096</t>
        </is>
      </c>
    </row>
    <row r="272" ht="29.2" customHeight="1">
      <c r="A272" s="12" t="inlineStr">
        <is>
          <t>EBQ14</t>
        </is>
      </c>
      <c r="B272" s="12" t="inlineStr">
        <is>
          <t>BRD-8 EB</t>
        </is>
      </c>
      <c r="C272" s="12" t="inlineStr">
        <is>
          <t>Client portal scope</t>
        </is>
      </c>
      <c r="D272" s="12" t="inlineStr">
        <is>
          <t>BRID-014 limits clients to viewing and uploading, while the target matrix says "view / upload / manage policy": what does "manage" include?</t>
        </is>
      </c>
      <c r="E272" s="12" t="inlineStr">
        <is>
          <t>BRID-014, Add. p.15</t>
        </is>
      </c>
      <c r="F272" s="32" t="inlineStr">
        <is>
          <t>Open</t>
        </is>
      </c>
      <c r="G272" s="12" t="inlineStr"/>
      <c r="H272" s="12" t="inlineStr"/>
      <c r="I272" s="12" t="inlineStr"/>
      <c r="J272" s="12" t="inlineStr">
        <is>
          <t>DCR-096</t>
        </is>
      </c>
    </row>
    <row r="273" ht="54.4" customHeight="1">
      <c r="A273" s="12" t="inlineStr">
        <is>
          <t>EBQ15</t>
        </is>
      </c>
      <c r="B273" s="12" t="inlineStr">
        <is>
          <t>BRD-8 EB</t>
        </is>
      </c>
      <c r="C273" s="12" t="inlineStr">
        <is>
          <t>Member data</t>
        </is>
      </c>
      <c r="D273" s="12" t="inlineStr">
        <is>
          <t>Master list fields; is the roster kept in BIBS per member (needed for BRID-013 / 030) or only as files? Health data in utilization reports: access, retention and masking rules under the Data Privacy Act; meaning of "unnamed master list will be submitted by the insurer"</t>
        </is>
      </c>
      <c r="E273" s="12" t="inlineStr">
        <is>
          <t>BRID-007, 013, 014, 030</t>
        </is>
      </c>
      <c r="F273" s="32" t="inlineStr">
        <is>
          <t>Open</t>
        </is>
      </c>
      <c r="G273" s="12" t="inlineStr"/>
      <c r="H273" s="12" t="inlineStr">
        <is>
          <t>XQ04</t>
        </is>
      </c>
      <c r="I273" s="12" t="inlineStr"/>
      <c r="J273" s="12" t="inlineStr">
        <is>
          <t>DCR-094, DCR-148</t>
        </is>
      </c>
    </row>
    <row r="274" ht="54.4" customHeight="1">
      <c r="A274" s="12" t="inlineStr">
        <is>
          <t>EBQ16</t>
        </is>
      </c>
      <c r="B274" s="12" t="inlineStr">
        <is>
          <t>BRD-8 EB</t>
        </is>
      </c>
      <c r="C274" s="12" t="inlineStr">
        <is>
          <t>Member movements</t>
        </is>
      </c>
      <c r="D274" s="12" t="inlineStr">
        <is>
          <t>Movement types (inclusion, deletion, plan change, salary change for GLI); pro-rata basis; financial effect booked as endorsement per movement or per monthly billing; meaning of "MIS Credit" and "no payment no booking on adjustment" (p.3)</t>
        </is>
      </c>
      <c r="E274" s="12" t="inlineStr">
        <is>
          <t>BRID-013, exec summary</t>
        </is>
      </c>
      <c r="F274" s="32" t="inlineStr">
        <is>
          <t>Open</t>
        </is>
      </c>
      <c r="G274" s="12" t="inlineStr"/>
      <c r="H274" s="12" t="inlineStr"/>
      <c r="I274" s="12" t="inlineStr"/>
      <c r="J274" s="12" t="inlineStr">
        <is>
          <t>DCR-093</t>
        </is>
      </c>
    </row>
    <row r="275" ht="41.8" customHeight="1">
      <c r="A275" s="12" t="inlineStr">
        <is>
          <t>EBQ17</t>
        </is>
      </c>
      <c r="B275" s="12" t="inlineStr">
        <is>
          <t>BRD-8 EB</t>
        </is>
      </c>
      <c r="C275" s="12" t="inlineStr">
        <is>
          <t>Direct billing</t>
        </is>
      </c>
      <c r="D275" s="12" t="inlineStr">
        <is>
          <t>For EB changes billed directly by the insurer, who collects from the client (insurer or BDOI)? Is BDOI's commission then a receivable from the insurer (direct payment)?</t>
        </is>
      </c>
      <c r="E275" s="12" t="inlineStr">
        <is>
          <t>BRID-025, OQ38</t>
        </is>
      </c>
      <c r="F275" s="32" t="inlineStr">
        <is>
          <t>Open</t>
        </is>
      </c>
      <c r="G275" s="12" t="inlineStr"/>
      <c r="H275" s="12" t="inlineStr">
        <is>
          <t>OQ38</t>
        </is>
      </c>
      <c r="I275" s="12" t="inlineStr"/>
      <c r="J275" s="12" t="inlineStr"/>
    </row>
    <row r="276" ht="41.8" customHeight="1">
      <c r="A276" s="12" t="inlineStr">
        <is>
          <t>EBQ18</t>
        </is>
      </c>
      <c r="B276" s="12" t="inlineStr">
        <is>
          <t>BRD-8 EB</t>
        </is>
      </c>
      <c r="C276" s="12" t="inlineStr">
        <is>
          <t>Billing number</t>
        </is>
      </c>
      <c r="D276" s="12" t="inlineStr">
        <is>
          <t>Which number is the "billing number" (insurer SOA / billing no.)? Duplicate key scope: per insurer or global? Is it mandatory for every EB booking?</t>
        </is>
      </c>
      <c r="E276" s="12" t="inlineStr">
        <is>
          <t>BRID-020</t>
        </is>
      </c>
      <c r="F276" s="32" t="inlineStr">
        <is>
          <t>Open</t>
        </is>
      </c>
      <c r="G276" s="12" t="inlineStr"/>
      <c r="H276" s="12" t="inlineStr"/>
      <c r="I276" s="12" t="inlineStr"/>
      <c r="J276" s="12" t="inlineStr"/>
    </row>
    <row r="277" ht="29.2" customHeight="1">
      <c r="A277" s="12" t="inlineStr">
        <is>
          <t>EBQ19</t>
        </is>
      </c>
      <c r="B277" s="12" t="inlineStr">
        <is>
          <t>BRD-8 EB</t>
        </is>
      </c>
      <c r="C277" s="12" t="inlineStr">
        <is>
          <t>SOA</t>
        </is>
      </c>
      <c r="D277" s="12" t="inlineStr">
        <is>
          <t>SOA formats per insurer; validation rules (against placement terms, headcount); recipients of the released SOA (client HR, Collection)</t>
        </is>
      </c>
      <c r="E277" s="12" t="inlineStr">
        <is>
          <t>BRID-021</t>
        </is>
      </c>
      <c r="F277" s="32" t="inlineStr">
        <is>
          <t>Open</t>
        </is>
      </c>
      <c r="G277" s="12" t="inlineStr"/>
      <c r="H277" s="12" t="inlineStr"/>
      <c r="I277" s="12" t="inlineStr"/>
      <c r="J277" s="12" t="inlineStr"/>
    </row>
    <row r="278" ht="41.8" customHeight="1">
      <c r="A278" s="12" t="inlineStr">
        <is>
          <t>EBQ20</t>
        </is>
      </c>
      <c r="B278" s="12" t="inlineStr">
        <is>
          <t>BRD-8 EB</t>
        </is>
      </c>
      <c r="C278" s="12" t="inlineStr">
        <is>
          <t>Monitoring</t>
        </is>
      </c>
      <c r="D278" s="12" t="inlineStr">
        <is>
          <t>Statuses of contracts, HMO cards (loss / replacement) and billing; follow-up dates and thresholds; recipients of automatic follow-ups (insurer, client, internal)</t>
        </is>
      </c>
      <c r="E278" s="12" t="inlineStr">
        <is>
          <t>BRID-030</t>
        </is>
      </c>
      <c r="F278" s="32" t="inlineStr">
        <is>
          <t>Open</t>
        </is>
      </c>
      <c r="G278" s="12" t="inlineStr"/>
      <c r="H278" s="12" t="inlineStr"/>
      <c r="I278" s="12" t="inlineStr"/>
      <c r="J278" s="12" t="inlineStr"/>
    </row>
    <row r="279" ht="41.8" customHeight="1">
      <c r="A279" s="12" t="inlineStr">
        <is>
          <t>EBQ21</t>
        </is>
      </c>
      <c r="B279" s="12" t="inlineStr">
        <is>
          <t>BRD-8 EB</t>
        </is>
      </c>
      <c r="C279" s="12" t="inlineStr">
        <is>
          <t>Reports and TAT</t>
        </is>
      </c>
      <c r="D279" s="12" t="inlineStr">
        <is>
          <t>Layouts of Production, Renewal, Placement and NB reports; TAT definitions per activity (start and stop events); is Word export required for all reports or for NB only; meaning of "COG"</t>
        </is>
      </c>
      <c r="E279" s="12" t="inlineStr">
        <is>
          <t>BRID-022, 022.01, p.42</t>
        </is>
      </c>
      <c r="F279" s="32" t="inlineStr">
        <is>
          <t>Open</t>
        </is>
      </c>
      <c r="G279" s="12" t="inlineStr"/>
      <c r="H279" s="12" t="inlineStr">
        <is>
          <t>OQ42</t>
        </is>
      </c>
      <c r="I279" s="12" t="inlineStr"/>
      <c r="J279" s="12" t="inlineStr">
        <is>
          <t>DCR-161</t>
        </is>
      </c>
    </row>
    <row r="280" ht="29.2" customHeight="1">
      <c r="A280" s="12" t="inlineStr">
        <is>
          <t>EBQ22</t>
        </is>
      </c>
      <c r="B280" s="12" t="inlineStr">
        <is>
          <t>BRD-8 EB</t>
        </is>
      </c>
      <c r="C280" s="12" t="inlineStr">
        <is>
          <t>Teams</t>
        </is>
      </c>
      <c r="D280" s="12" t="inlineStr">
        <is>
          <t>Are the five teams (BDO, SM, Voluntary, Solicited, New Business) a programme attribute or units of the sales organisation?</t>
        </is>
      </c>
      <c r="E280" s="12" t="inlineStr">
        <is>
          <t>Add. p.14</t>
        </is>
      </c>
      <c r="F280" s="32" t="inlineStr">
        <is>
          <t>Open</t>
        </is>
      </c>
      <c r="G280" s="12" t="inlineStr"/>
      <c r="H280" s="12" t="inlineStr"/>
      <c r="I280" s="12" t="inlineStr"/>
      <c r="J280" s="12" t="inlineStr"/>
    </row>
    <row r="281" ht="16.6" customHeight="1">
      <c r="A281" s="12" t="inlineStr">
        <is>
          <t>EBQ23</t>
        </is>
      </c>
      <c r="B281" s="12" t="inlineStr">
        <is>
          <t>BRD-8 EB</t>
        </is>
      </c>
      <c r="C281" s="12" t="inlineStr">
        <is>
          <t>Processing supervisor</t>
        </is>
      </c>
      <c r="D281" s="12" t="inlineStr">
        <is>
          <t>When does the Processing Supervisor approve ("if applicable")?</t>
        </is>
      </c>
      <c r="E281" s="12" t="inlineStr">
        <is>
          <t>Add. p.15, BRID-018</t>
        </is>
      </c>
      <c r="F281" s="32" t="inlineStr">
        <is>
          <t>Open</t>
        </is>
      </c>
      <c r="G281" s="12" t="inlineStr"/>
      <c r="H281" s="12" t="inlineStr"/>
      <c r="I281" s="12" t="inlineStr"/>
      <c r="J281" s="12" t="inlineStr"/>
    </row>
    <row r="282" ht="41.8" customHeight="1">
      <c r="A282" s="12" t="inlineStr">
        <is>
          <t>EBQ24</t>
        </is>
      </c>
      <c r="B282" s="12" t="inlineStr">
        <is>
          <t>BRD-8 EB</t>
        </is>
      </c>
      <c r="C282" s="12" t="inlineStr">
        <is>
          <t>ISACOM</t>
        </is>
      </c>
      <c r="D282" s="12" t="inlineStr">
        <is>
          <t>What is ISACOM, and when is its approval needed ("if the policy will be awarded to a non-accredited provider", Add. p.4)? Document and approver</t>
        </is>
      </c>
      <c r="E282" s="12" t="inlineStr">
        <is>
          <t>Flow</t>
        </is>
      </c>
      <c r="F282" s="32" t="inlineStr">
        <is>
          <t>Open</t>
        </is>
      </c>
      <c r="G282" s="12" t="inlineStr"/>
      <c r="H282" s="12" t="inlineStr"/>
      <c r="I282" s="12" t="inlineStr"/>
      <c r="J282" s="12" t="inlineStr">
        <is>
          <t>DCR-090</t>
        </is>
      </c>
    </row>
    <row r="283" ht="41.8" customHeight="1">
      <c r="A283" s="12" t="inlineStr">
        <is>
          <t>EBQ25</t>
        </is>
      </c>
      <c r="B283" s="12" t="inlineStr">
        <is>
          <t>BRD-8 EB</t>
        </is>
      </c>
      <c r="C283" s="12" t="inlineStr">
        <is>
          <t>NFR</t>
        </is>
      </c>
      <c r="D283" s="12" t="inlineStr">
        <is>
          <t>99.99% availability vs 99.9% elsewhere; RPO 24 h with 4-hourly backups; hours 08:30-19:00 vs other BRDs; portal availability for insurers and clients</t>
        </is>
      </c>
      <c r="E283" s="12" t="inlineStr">
        <is>
          <t>NFR, OQ44</t>
        </is>
      </c>
      <c r="F283" s="32" t="inlineStr">
        <is>
          <t>Open</t>
        </is>
      </c>
      <c r="G283" s="12" t="inlineStr"/>
      <c r="H283" s="12" t="inlineStr">
        <is>
          <t>XQ08</t>
        </is>
      </c>
      <c r="I283" s="12" t="inlineStr"/>
      <c r="J283" s="12" t="inlineStr">
        <is>
          <t>DCR-092, DCR-133, DCR-134</t>
        </is>
      </c>
    </row>
    <row r="284" ht="29.2" customHeight="1">
      <c r="A284" s="12" t="inlineStr">
        <is>
          <t>EBQ26</t>
        </is>
      </c>
      <c r="B284" s="12" t="inlineStr">
        <is>
          <t>BRD-8 EB</t>
        </is>
      </c>
      <c r="C284" s="12" t="inlineStr">
        <is>
          <t>High-risk accounts</t>
        </is>
      </c>
      <c r="D284" s="12" t="inlineStr">
        <is>
          <t>Confirm that no high-risk handling applies to EB (BRID-028 OUT) although the current role matrix still lists it</t>
        </is>
      </c>
      <c r="E284" s="12" t="inlineStr">
        <is>
          <t>BRID-028</t>
        </is>
      </c>
      <c r="F284" s="32" t="inlineStr">
        <is>
          <t>Open</t>
        </is>
      </c>
      <c r="G284" s="12" t="inlineStr"/>
      <c r="H284" s="12" t="inlineStr"/>
      <c r="I284" s="12" t="inlineStr"/>
      <c r="J284" s="12" t="inlineStr">
        <is>
          <t>DCR-089</t>
        </is>
      </c>
    </row>
    <row r="285" ht="29.2" customHeight="1">
      <c r="A285" s="12" t="inlineStr">
        <is>
          <t>EBQ27</t>
        </is>
      </c>
      <c r="B285" s="12" t="inlineStr">
        <is>
          <t>BRD-8 EB</t>
        </is>
      </c>
      <c r="C285" s="12" t="inlineStr">
        <is>
          <t>Voluntary plans</t>
        </is>
      </c>
      <c r="D285" s="12" t="inlineStr">
        <is>
          <t>Team 3 Voluntary: do employees pay individually (billing and collection per member), or does the employer pay?</t>
        </is>
      </c>
      <c r="E285" s="12" t="inlineStr">
        <is>
          <t>Add. p.14</t>
        </is>
      </c>
      <c r="F285" s="32" t="inlineStr">
        <is>
          <t>Open</t>
        </is>
      </c>
      <c r="G285" s="12" t="inlineStr"/>
      <c r="H285" s="12" t="inlineStr"/>
      <c r="I285" s="12" t="inlineStr"/>
      <c r="J285" s="12" t="inlineStr"/>
    </row>
    <row r="286" ht="54.4" customHeight="1">
      <c r="A286" s="12" t="inlineStr">
        <is>
          <t>EBQ28</t>
        </is>
      </c>
      <c r="B286" s="12" t="inlineStr">
        <is>
          <t>BRD-8 EB</t>
        </is>
      </c>
      <c r="C286" s="12" t="inlineStr">
        <is>
          <t>Renewal BRD boundary</t>
        </is>
      </c>
      <c r="D286" s="12" t="inlineStr">
        <is>
          <t>Are EB renewals handled only by this BRD (own RA, own cycle), with the Renewal BRD covering the other lines? Shared RA template?</t>
        </is>
      </c>
      <c r="E286" s="12" t="inlineStr">
        <is>
          <t>BRID-001, Renewal BRD</t>
        </is>
      </c>
      <c r="F286" s="32" t="inlineStr">
        <is>
          <t>Partially answered</t>
        </is>
      </c>
      <c r="G286" s="12" t="inlineStr">
        <is>
          <t>The Renewal BRD covers no group benefit programmes; EB renewals stay in EB (project decision). Shared RA template open. (BRD-6 scope; decision D3)</t>
        </is>
      </c>
      <c r="H286" s="12" t="inlineStr"/>
      <c r="I286" s="12" t="inlineStr"/>
      <c r="J286" s="12" t="inlineStr">
        <is>
          <t>DCR-151</t>
        </is>
      </c>
    </row>
    <row r="287" ht="54.4" customHeight="1">
      <c r="A287" s="12" t="inlineStr">
        <is>
          <t>CSQ01</t>
        </is>
      </c>
      <c r="B287" s="12" t="inlineStr">
        <is>
          <t>BRD-9 CSF</t>
        </is>
      </c>
      <c r="C287" s="12" t="inlineStr">
        <is>
          <t>Data sources</t>
        </is>
      </c>
      <c r="D287" s="12" t="inlineStr">
        <is>
          <t>Until when do QPS and EBIX remain systems of record? Must contact updates made in BIBS be written back to them (direction, interface, frequency, owner), and does CSF need to show accounts that exist only in QPS / EBIX (not migrated)?</t>
        </is>
      </c>
      <c r="E287" s="12" t="inlineStr">
        <is>
          <t>BRCSF-002, p.3</t>
        </is>
      </c>
      <c r="F287" s="32" t="inlineStr">
        <is>
          <t>Partially answered</t>
        </is>
      </c>
      <c r="G287" s="12" t="inlineStr">
        <is>
          <t>Legacy read-only after cutover; the new Core is the system of record for the migrated client master; no write-back required by BRD-13 (conflict with BRD-9, DCR-202). (BRD-13 p.5, BRID 2.1)</t>
        </is>
      </c>
      <c r="H287" s="12" t="inlineStr">
        <is>
          <t>Q37</t>
        </is>
      </c>
      <c r="I287" s="12" t="inlineStr"/>
      <c r="J287" s="12" t="inlineStr">
        <is>
          <t>DCR-104, DCR-202</t>
        </is>
      </c>
    </row>
    <row r="288" ht="54.4" customHeight="1">
      <c r="A288" s="12" t="inlineStr">
        <is>
          <t>CSQ02</t>
        </is>
      </c>
      <c r="B288" s="12" t="inlineStr">
        <is>
          <t>BRD-9 CSF</t>
        </is>
      </c>
      <c r="C288" s="12" t="inlineStr">
        <is>
          <t>Search keys</t>
        </is>
      </c>
      <c r="D288" s="12" t="inlineStr">
        <is>
          <t>"Client ID Number" = BIBS client code or a government ID number? "Account Number" = ARN, policy number or the legacy account number? PN and application numbers come from the loan system (LOS): is an LOS lookup needed for accounts not in BIBS (e-mail open item 2)?</t>
        </is>
      </c>
      <c r="E288" s="12" t="inlineStr">
        <is>
          <t>BRCSF-003</t>
        </is>
      </c>
      <c r="F288" s="32" t="inlineStr">
        <is>
          <t>Partially answered</t>
        </is>
      </c>
      <c r="G288" s="12" t="inlineStr">
        <is>
          <t>Legacy references are retained and searchable. (BRD-13 BRID 4.1, 11.1)</t>
        </is>
      </c>
      <c r="H288" s="12" t="inlineStr"/>
      <c r="I288" s="12" t="inlineStr"/>
      <c r="J288" s="12" t="inlineStr"/>
    </row>
    <row r="289" ht="41.8" customHeight="1">
      <c r="A289" s="12" t="inlineStr">
        <is>
          <t>CSQ03</t>
        </is>
      </c>
      <c r="B289" s="12" t="inlineStr">
        <is>
          <t>BRD-9 CSF</t>
        </is>
      </c>
      <c r="C289" s="12" t="inlineStr">
        <is>
          <t>Verification</t>
        </is>
      </c>
      <c r="D289" s="12" t="inlineStr">
        <is>
          <t>Which verification checks are mandatory before an update, how many must match, and what evidence is kept (e-mail open item 5)? Is verification also required before resending an RA or e-policy?</t>
        </is>
      </c>
      <c r="E289" s="12" t="inlineStr">
        <is>
          <t>BRCSF-004, e-mail topic 5</t>
        </is>
      </c>
      <c r="F289" s="32" t="inlineStr">
        <is>
          <t>Open</t>
        </is>
      </c>
      <c r="G289" s="12" t="inlineStr"/>
      <c r="H289" s="12" t="inlineStr"/>
      <c r="I289" s="12" t="inlineStr"/>
      <c r="J289" s="12" t="inlineStr"/>
    </row>
    <row r="290" ht="41.8" customHeight="1">
      <c r="A290" s="12" t="inlineStr">
        <is>
          <t>CSQ04</t>
        </is>
      </c>
      <c r="B290" s="12" t="inlineStr">
        <is>
          <t>BRD-9 CSF</t>
        </is>
      </c>
      <c r="C290" s="12" t="inlineStr">
        <is>
          <t>Statuses</t>
        </is>
      </c>
      <c r="D290" s="12" t="inlineStr">
        <is>
          <t>Definitions of Pending, Awaiting, Booked, Open and Closed agreed by Marketing, Processing and Operations (e-mail open item 3), and their mapping to BIBS account and invoice states</t>
        </is>
      </c>
      <c r="E290" s="12" t="inlineStr">
        <is>
          <t>BRCSF-005.001, e-mail item 7</t>
        </is>
      </c>
      <c r="F290" s="32" t="inlineStr">
        <is>
          <t>Open</t>
        </is>
      </c>
      <c r="G290" s="12" t="inlineStr"/>
      <c r="H290" s="12" t="inlineStr"/>
      <c r="I290" s="12" t="inlineStr"/>
      <c r="J290" s="12" t="inlineStr">
        <is>
          <t>DCR-101</t>
        </is>
      </c>
    </row>
    <row r="291" ht="29.2" customHeight="1">
      <c r="A291" s="12" t="inlineStr">
        <is>
          <t>CSQ05</t>
        </is>
      </c>
      <c r="B291" s="12" t="inlineStr">
        <is>
          <t>BRD-9 CSF</t>
        </is>
      </c>
      <c r="C291" s="12" t="inlineStr">
        <is>
          <t>Payment history</t>
        </is>
      </c>
      <c r="D291" s="12" t="inlineStr">
        <is>
          <t>Content (receipts, applications, remittances to insurers?) and depth (11-12 months online, older on request?)</t>
        </is>
      </c>
      <c r="E291" s="12" t="inlineStr">
        <is>
          <t>BRCSF-005, e-mail topic 6</t>
        </is>
      </c>
      <c r="F291" s="32" t="inlineStr">
        <is>
          <t>Open</t>
        </is>
      </c>
      <c r="G291" s="12" t="inlineStr"/>
      <c r="H291" s="12" t="inlineStr"/>
      <c r="I291" s="12" t="inlineStr"/>
      <c r="J291" s="12" t="inlineStr"/>
    </row>
    <row r="292" ht="41.8" customHeight="1">
      <c r="A292" s="12" t="inlineStr">
        <is>
          <t>CSQ06</t>
        </is>
      </c>
      <c r="B292" s="12" t="inlineStr">
        <is>
          <t>BRD-9 CSF</t>
        </is>
      </c>
      <c r="C292" s="12" t="inlineStr">
        <is>
          <t>RA resend</t>
        </is>
      </c>
      <c r="D292" s="12" t="inlineStr">
        <is>
          <t>Are legacy RAs (IT text files) to be viewable in CSF? May an agent resend to an address other than the registered e-mail? Password convention of RA files</t>
        </is>
      </c>
      <c r="E292" s="12" t="inlineStr">
        <is>
          <t>BRCSF-006, e-mail topic 8</t>
        </is>
      </c>
      <c r="F292" s="32" t="inlineStr">
        <is>
          <t>Partially answered</t>
        </is>
      </c>
      <c r="G292" s="12" t="inlineStr">
        <is>
          <t>Legacy RAs stay in read-only legacy or the archive. (BRD-13 BRID 11.1)</t>
        </is>
      </c>
      <c r="H292" s="12" t="inlineStr">
        <is>
          <t>Q07</t>
        </is>
      </c>
      <c r="I292" s="12" t="inlineStr"/>
      <c r="J292" s="12" t="inlineStr">
        <is>
          <t>DCR-153</t>
        </is>
      </c>
    </row>
    <row r="293" ht="41.8" customHeight="1">
      <c r="A293" s="12" t="inlineStr">
        <is>
          <t>CSQ07</t>
        </is>
      </c>
      <c r="B293" s="12" t="inlineStr">
        <is>
          <t>BRD-9 CSF</t>
        </is>
      </c>
      <c r="C293" s="12" t="inlineStr">
        <is>
          <t>Documents</t>
        </is>
      </c>
      <c r="D293" s="12" t="inlineStr">
        <is>
          <t>Answers to the e-mail of 22-Jan-2026: which document types, linked to a client or an account, retention, minimum requirements, may agents download / upload / replace, confidentiality matrix</t>
        </is>
      </c>
      <c r="E293" s="12" t="inlineStr">
        <is>
          <t>BRCSF-007, 009</t>
        </is>
      </c>
      <c r="F293" s="32" t="inlineStr">
        <is>
          <t>Open</t>
        </is>
      </c>
      <c r="G293" s="12" t="inlineStr"/>
      <c r="H293" s="12" t="inlineStr">
        <is>
          <t>XQ04</t>
        </is>
      </c>
      <c r="I293" s="12" t="inlineStr"/>
      <c r="J293" s="12" t="inlineStr">
        <is>
          <t>DCR-148</t>
        </is>
      </c>
    </row>
    <row r="294" ht="29.2" customHeight="1">
      <c r="A294" s="12" t="inlineStr">
        <is>
          <t>CSQ08</t>
        </is>
      </c>
      <c r="B294" s="12" t="inlineStr">
        <is>
          <t>BRD-9 CSF</t>
        </is>
      </c>
      <c r="C294" s="12" t="inlineStr">
        <is>
          <t>File limits</t>
        </is>
      </c>
      <c r="D294" s="12" t="inlineStr">
        <is>
          <t>Maximum file size; are HEIF photos from phones expected; virus scanning</t>
        </is>
      </c>
      <c r="E294" s="12" t="inlineStr">
        <is>
          <t>BRCSF-007</t>
        </is>
      </c>
      <c r="F294" s="32" t="inlineStr">
        <is>
          <t>Open</t>
        </is>
      </c>
      <c r="G294" s="12" t="inlineStr"/>
      <c r="H294" s="12" t="inlineStr">
        <is>
          <t>Q23</t>
        </is>
      </c>
      <c r="I294" s="12" t="inlineStr"/>
      <c r="J294" s="12" t="inlineStr">
        <is>
          <t>DCR-154</t>
        </is>
      </c>
    </row>
    <row r="295" ht="41.8" customHeight="1">
      <c r="A295" s="12" t="inlineStr">
        <is>
          <t>CSQ09</t>
        </is>
      </c>
      <c r="B295" s="12" t="inlineStr">
        <is>
          <t>BRD-9 CSF</t>
        </is>
      </c>
      <c r="C295" s="12" t="inlineStr">
        <is>
          <t>Case management</t>
        </is>
      </c>
      <c r="D295" s="12" t="inlineStr">
        <is>
          <t>Confirm that inquiry logging and case management (SharePoint today) are out of this phase, and whether a minimal interaction note per call is wanted now (e-mail topic 1 says CSF "will log client inquiries")</t>
        </is>
      </c>
      <c r="E295" s="12" t="inlineStr">
        <is>
          <t>E-mail items 1, 10</t>
        </is>
      </c>
      <c r="F295" s="32" t="inlineStr">
        <is>
          <t>Open</t>
        </is>
      </c>
      <c r="G295" s="12" t="inlineStr"/>
      <c r="H295" s="12" t="inlineStr">
        <is>
          <t>XQ12</t>
        </is>
      </c>
      <c r="I295" s="12" t="inlineStr"/>
      <c r="J295" s="12" t="inlineStr">
        <is>
          <t>DCR-100</t>
        </is>
      </c>
    </row>
    <row r="296" ht="41.8" customHeight="1">
      <c r="A296" s="12" t="inlineStr">
        <is>
          <t>CSQ10</t>
        </is>
      </c>
      <c r="B296" s="12" t="inlineStr">
        <is>
          <t>BRD-9 CSF</t>
        </is>
      </c>
      <c r="C296" s="12" t="inlineStr">
        <is>
          <t>Roles</t>
        </is>
      </c>
      <c r="D296" s="12" t="inlineStr">
        <is>
          <t>Role matrix for agents, supervisors, contact center personnel, management and leads / heads; who may upload documents and who may update contacts (the BRD asks for differentiated roles, p.4)</t>
        </is>
      </c>
      <c r="E296" s="12" t="inlineStr">
        <is>
          <t>BRCSF-001, p.4</t>
        </is>
      </c>
      <c r="F296" s="32" t="inlineStr">
        <is>
          <t>Open</t>
        </is>
      </c>
      <c r="G296" s="12" t="inlineStr"/>
      <c r="H296" s="12" t="inlineStr">
        <is>
          <t>XQ02</t>
        </is>
      </c>
      <c r="I296" s="12" t="inlineStr"/>
      <c r="J296" s="12" t="inlineStr">
        <is>
          <t>DCR-121, DCR-147</t>
        </is>
      </c>
    </row>
    <row r="297" ht="41.8" customHeight="1">
      <c r="A297" s="12" t="inlineStr">
        <is>
          <t>CSQ11</t>
        </is>
      </c>
      <c r="B297" s="12" t="inlineStr">
        <is>
          <t>BRD-9 CSF</t>
        </is>
      </c>
      <c r="C297" s="12" t="inlineStr">
        <is>
          <t>Backup</t>
        </is>
      </c>
      <c r="D297" s="12" t="inlineStr">
        <is>
          <t>Is the 15-minute backup a BIBS-wide infrastructure requirement (RPO 15 minutes) or specific to CSF data? The retention table says every 4 hours and the RPO is 4 hours</t>
        </is>
      </c>
      <c r="E297" s="12" t="inlineStr">
        <is>
          <t>BRCSF-011.001</t>
        </is>
      </c>
      <c r="F297" s="32" t="inlineStr">
        <is>
          <t>Open</t>
        </is>
      </c>
      <c r="G297" s="12" t="inlineStr"/>
      <c r="H297" s="12" t="inlineStr">
        <is>
          <t>XQ08</t>
        </is>
      </c>
      <c r="I297" s="12" t="inlineStr"/>
      <c r="J297" s="12" t="inlineStr">
        <is>
          <t>DCR-102, DCR-135</t>
        </is>
      </c>
    </row>
    <row r="298" ht="29.2" customHeight="1">
      <c r="A298" s="12" t="inlineStr">
        <is>
          <t>CSQ12</t>
        </is>
      </c>
      <c r="B298" s="12" t="inlineStr">
        <is>
          <t>BRD-9 CSF</t>
        </is>
      </c>
      <c r="C298" s="12" t="inlineStr">
        <is>
          <t>Service hours</t>
        </is>
      </c>
      <c r="D298" s="12" t="inlineStr">
        <is>
          <t>Usage 06:00-22:00 overlaps the maintenance window 21:00-05:00 on weekdays and Saturdays; Sunday usage?</t>
        </is>
      </c>
      <c r="E298" s="12" t="inlineStr">
        <is>
          <t>NFR</t>
        </is>
      </c>
      <c r="F298" s="32" t="inlineStr">
        <is>
          <t>Open</t>
        </is>
      </c>
      <c r="G298" s="12" t="inlineStr"/>
      <c r="H298" s="12" t="inlineStr">
        <is>
          <t>XQ08</t>
        </is>
      </c>
      <c r="I298" s="12" t="inlineStr"/>
      <c r="J298" s="12" t="inlineStr">
        <is>
          <t>DCR-103, DCR-133, DCR-138</t>
        </is>
      </c>
    </row>
    <row r="299" ht="29.2" customHeight="1">
      <c r="A299" s="12" t="inlineStr">
        <is>
          <t>CSQ13</t>
        </is>
      </c>
      <c r="B299" s="12" t="inlineStr">
        <is>
          <t>BRD-9 CSF</t>
        </is>
      </c>
      <c r="C299" s="12" t="inlineStr">
        <is>
          <t>E-policy resend</t>
        </is>
      </c>
      <c r="D299" s="12" t="inlineStr">
        <is>
          <t>Only the confirmed e-policy of the account to the registered e-mail? Password as for the original dispatch?</t>
        </is>
      </c>
      <c r="E299" s="12" t="inlineStr">
        <is>
          <t>E-mail item 9</t>
        </is>
      </c>
      <c r="F299" s="32" t="inlineStr">
        <is>
          <t>Open</t>
        </is>
      </c>
      <c r="G299" s="12" t="inlineStr"/>
      <c r="H299" s="12" t="inlineStr"/>
      <c r="I299" s="12" t="inlineStr"/>
      <c r="J299" s="12" t="inlineStr">
        <is>
          <t>DCR-100</t>
        </is>
      </c>
    </row>
    <row r="300" ht="41.8" customHeight="1">
      <c r="A300" s="12" t="inlineStr">
        <is>
          <t>CSQ14</t>
        </is>
      </c>
      <c r="B300" s="12" t="inlineStr">
        <is>
          <t>BRD-9 CSF</t>
        </is>
      </c>
      <c r="C300" s="12" t="inlineStr">
        <is>
          <t>Account contacts</t>
        </is>
      </c>
      <c r="D300" s="12" t="inlineStr">
        <is>
          <t>Accounts have their own contact data in BIBS: should a CSF contact update also change the contacts of open accounts, or only the client master?</t>
        </is>
      </c>
      <c r="E300" s="12" t="inlineStr">
        <is>
          <t>BRCSF-004</t>
        </is>
      </c>
      <c r="F300" s="32" t="inlineStr">
        <is>
          <t>Open</t>
        </is>
      </c>
      <c r="G300" s="12" t="inlineStr"/>
      <c r="H300" s="12" t="inlineStr"/>
      <c r="I300" s="12" t="inlineStr"/>
      <c r="J300" s="12" t="inlineStr"/>
    </row>
    <row r="301" ht="29.2" customHeight="1">
      <c r="A301" s="12" t="inlineStr">
        <is>
          <t>CSQ15</t>
        </is>
      </c>
      <c r="B301" s="12" t="inlineStr">
        <is>
          <t>BRD-9 CSF</t>
        </is>
      </c>
      <c r="C301" s="12" t="inlineStr">
        <is>
          <t>Additional contacts</t>
        </is>
      </c>
      <c r="D301" s="12" t="inlineStr">
        <is>
          <t>Does "add contact details" mean more than one e-mail / mobile per client (additional contacts with a primary flag)?</t>
        </is>
      </c>
      <c r="E301" s="12" t="inlineStr">
        <is>
          <t>BRCSF-004</t>
        </is>
      </c>
      <c r="F301" s="32" t="inlineStr">
        <is>
          <t>Open</t>
        </is>
      </c>
      <c r="G301" s="12" t="inlineStr"/>
      <c r="H301" s="12" t="inlineStr"/>
      <c r="I301" s="12" t="inlineStr"/>
      <c r="J301" s="12" t="inlineStr"/>
    </row>
    <row r="302" ht="41.8" customHeight="1">
      <c r="A302" s="12" t="inlineStr">
        <is>
          <t>CSQ16</t>
        </is>
      </c>
      <c r="B302" s="12" t="inlineStr">
        <is>
          <t>BRD-9 CSF</t>
        </is>
      </c>
      <c r="C302" s="12" t="inlineStr">
        <is>
          <t>Priorities</t>
        </is>
      </c>
      <c r="D302" s="12" t="inlineStr">
        <is>
          <t>"Priority order for servicing (payments vs claims)" and "parameter alignment between the loan system and the insurance system" (e-mail open items): what is expected from CSF?</t>
        </is>
      </c>
      <c r="E302" s="12" t="inlineStr">
        <is>
          <t>E-mail topic 11</t>
        </is>
      </c>
      <c r="F302" s="32" t="inlineStr">
        <is>
          <t>Open</t>
        </is>
      </c>
      <c r="G302" s="12" t="inlineStr"/>
      <c r="H302" s="12" t="inlineStr"/>
      <c r="I302" s="12" t="inlineStr"/>
      <c r="J302" s="12" t="inlineStr"/>
    </row>
    <row r="303" ht="79.59999999999999" customHeight="1">
      <c r="A303" s="12" t="inlineStr">
        <is>
          <t>SANC-SQ01</t>
        </is>
      </c>
      <c r="B303" s="12" t="inlineStr">
        <is>
          <t>BRD-10 SANC</t>
        </is>
      </c>
      <c r="C303" s="12" t="inlineStr">
        <is>
          <t>List sources and transport</t>
        </is>
      </c>
      <c r="D303" s="12" t="inlineStr">
        <is>
          <t>Which lists are screened: the "AML" advisory (from the BDO AML unit? AMLC / UN Security Council consolidated list?), NLDS-PEP, OFAC, others? For each: format, frequency ("real time or agreed schedule"), and transport (e-mail file, SFTP, API, direct NLDS access). Who in BDOI may upload a list file? Who receives the SNSRP-202 alert, and on what schedule?</t>
        </is>
      </c>
      <c r="E303" s="12" t="inlineStr">
        <is>
          <t>SNSRP-201-202</t>
        </is>
      </c>
      <c r="F303" s="32" t="inlineStr">
        <is>
          <t>Open</t>
        </is>
      </c>
      <c r="G303" s="12" t="inlineStr"/>
      <c r="H303" s="12" t="inlineStr"/>
      <c r="I303" s="12" t="inlineStr"/>
      <c r="J303" s="12" t="inlineStr">
        <is>
          <t>DCR-109</t>
        </is>
      </c>
    </row>
    <row r="304" ht="54.4" customHeight="1">
      <c r="A304" s="12" t="inlineStr">
        <is>
          <t>SANC-SQ02</t>
        </is>
      </c>
      <c r="B304" s="12" t="inlineStr">
        <is>
          <t>BRD-10 SANC</t>
        </is>
      </c>
      <c r="C304" s="12" t="inlineStr">
        <is>
          <t>Matching thresholds</t>
        </is>
      </c>
      <c r="D304" s="12" t="inlineStr">
        <is>
          <t>Initial thresholds per method (exact / phonetic / fuzzy) and the fields compared (name only, or name + birth date / nationality / ID)? Is a hit on aliases the same as on the primary name? Are corporate names screened with the same rules?</t>
        </is>
      </c>
      <c r="E304" s="12" t="inlineStr">
        <is>
          <t>SNSRP-101, 301</t>
        </is>
      </c>
      <c r="F304" s="32" t="inlineStr">
        <is>
          <t>Open</t>
        </is>
      </c>
      <c r="G304" s="12" t="inlineStr"/>
      <c r="H304" s="12" t="inlineStr"/>
      <c r="I304" s="12" t="inlineStr"/>
      <c r="J304" s="12" t="inlineStr"/>
    </row>
    <row r="305" ht="41.8" customHeight="1">
      <c r="A305" s="12" t="inlineStr">
        <is>
          <t>SANC-SQ03</t>
        </is>
      </c>
      <c r="B305" s="12" t="inlineStr">
        <is>
          <t>BRD-10 SANC</t>
        </is>
      </c>
      <c r="C305" s="12" t="inlineStr">
        <is>
          <t>Risk categories</t>
        </is>
      </c>
      <c r="D305" s="12" t="inlineStr">
        <is>
          <t>The defined Risk Profile Category memo (pp.6-7): categories, criteria and the resulting rating; which categories require EDD; does "High-risk" equal KYC_RISK_RATING HIGH?</t>
        </is>
      </c>
      <c r="E305" s="12" t="inlineStr">
        <is>
          <t>SNSRP-102, 302</t>
        </is>
      </c>
      <c r="F305" s="32" t="inlineStr">
        <is>
          <t>Open</t>
        </is>
      </c>
      <c r="G305" s="12" t="inlineStr"/>
      <c r="H305" s="12" t="inlineStr">
        <is>
          <t>Q21</t>
        </is>
      </c>
      <c r="I305" s="12" t="inlineStr"/>
      <c r="J305" s="12" t="inlineStr"/>
    </row>
    <row r="306" ht="41.8" customHeight="1">
      <c r="A306" s="12" t="inlineStr">
        <is>
          <t>SANC-SQ04</t>
        </is>
      </c>
      <c r="B306" s="12" t="inlineStr">
        <is>
          <t>BRD-10 SANC</t>
        </is>
      </c>
      <c r="C306" s="12" t="inlineStr">
        <is>
          <t>Approval and assignment matrices</t>
        </is>
      </c>
      <c r="D306" s="12" t="inlineStr">
        <is>
          <t>Approval and assignment rules: by marketing unit, segment (Combank, Corbank, Retail), risk category, case type? Who is the "Approver": the Unit Head of the client's marketing unit?</t>
        </is>
      </c>
      <c r="E306" s="12" t="inlineStr">
        <is>
          <t>SNSRP-103, 106</t>
        </is>
      </c>
      <c r="F306" s="32" t="inlineStr">
        <is>
          <t>Open</t>
        </is>
      </c>
      <c r="G306" s="12" t="inlineStr"/>
      <c r="H306" s="12" t="inlineStr"/>
      <c r="I306" s="12" t="inlineStr"/>
      <c r="J306" s="12" t="inlineStr"/>
    </row>
    <row r="307" ht="29.2" customHeight="1">
      <c r="A307" s="12" t="inlineStr">
        <is>
          <t>SANC-SQ05</t>
        </is>
      </c>
      <c r="B307" s="12" t="inlineStr">
        <is>
          <t>BRD-10 SANC</t>
        </is>
      </c>
      <c r="C307" s="12" t="inlineStr">
        <is>
          <t>Templates</t>
        </is>
      </c>
      <c r="D307" s="12" t="inlineStr">
        <is>
          <t>Field lists of the KYC review, transaction review and EDD templates, and of the STR form</t>
        </is>
      </c>
      <c r="E307" s="12" t="inlineStr">
        <is>
          <t>SNSRP-104, 501, 705</t>
        </is>
      </c>
      <c r="F307" s="32" t="inlineStr">
        <is>
          <t>Open</t>
        </is>
      </c>
      <c r="G307" s="12" t="inlineStr"/>
      <c r="H307" s="12" t="inlineStr"/>
      <c r="I307" s="12" t="inlineStr"/>
      <c r="J307" s="12" t="inlineStr">
        <is>
          <t>DCR-111</t>
        </is>
      </c>
    </row>
    <row r="308" ht="29.2" customHeight="1">
      <c r="A308" s="12" t="inlineStr">
        <is>
          <t>SANC-SQ06</t>
        </is>
      </c>
      <c r="B308" s="12" t="inlineStr">
        <is>
          <t>BRD-10 SANC</t>
        </is>
      </c>
      <c r="C308" s="12" t="inlineStr">
        <is>
          <t>Dispositions and validation</t>
        </is>
      </c>
      <c r="D308" s="12" t="inlineStr">
        <is>
          <t>Dispositions per stage (Investigator, Approver, Compliance, AML Committee) and the validation criteria before approval (SNSRP-701)</t>
        </is>
      </c>
      <c r="E308" s="12" t="inlineStr">
        <is>
          <t>SNSRP-107, 701</t>
        </is>
      </c>
      <c r="F308" s="32" t="inlineStr">
        <is>
          <t>Open</t>
        </is>
      </c>
      <c r="G308" s="12" t="inlineStr"/>
      <c r="H308" s="12" t="inlineStr"/>
      <c r="I308" s="12" t="inlineStr"/>
      <c r="J308" s="12" t="inlineStr"/>
    </row>
    <row r="309" ht="41.8" customHeight="1">
      <c r="A309" s="12" t="inlineStr">
        <is>
          <t>SANC-SQ07</t>
        </is>
      </c>
      <c r="B309" s="12" t="inlineStr">
        <is>
          <t>BRD-10 SANC</t>
        </is>
      </c>
      <c r="C309" s="12" t="inlineStr">
        <is>
          <t>Business gate</t>
        </is>
      </c>
      <c r="D309" s="12" t="inlineStr">
        <is>
          <t>While a potential or true match is open, must BIBS block or warn on quotation, account submission, placement or booking for the client? (The BRD is silent; default: warn by banner only.)</t>
        </is>
      </c>
      <c r="E309" s="12" t="inlineStr">
        <is>
          <t>SNSRP-303</t>
        </is>
      </c>
      <c r="F309" s="32" t="inlineStr">
        <is>
          <t>Open</t>
        </is>
      </c>
      <c r="G309" s="12" t="inlineStr"/>
      <c r="H309" s="12" t="inlineStr">
        <is>
          <t>Q18</t>
        </is>
      </c>
      <c r="I309" s="12" t="inlineStr"/>
      <c r="J309" s="12" t="inlineStr">
        <is>
          <t>DCR-112</t>
        </is>
      </c>
    </row>
    <row r="310" ht="29.2" customHeight="1">
      <c r="A310" s="12" t="inlineStr">
        <is>
          <t>SANC-SQ08</t>
        </is>
      </c>
      <c r="B310" s="12" t="inlineStr">
        <is>
          <t>BRD-10 SANC</t>
        </is>
      </c>
      <c r="C310" s="12" t="inlineStr">
        <is>
          <t>SLA matrix</t>
        </is>
      </c>
      <c r="D310" s="12" t="inlineStr">
        <is>
          <t>SLA hours per stage, reminder lead time and escalation targets; working hours or calendar hours; the holiday calendar</t>
        </is>
      </c>
      <c r="E310" s="12" t="inlineStr">
        <is>
          <t>SNSRP-108, 405, 802</t>
        </is>
      </c>
      <c r="F310" s="32" t="inlineStr">
        <is>
          <t>Open</t>
        </is>
      </c>
      <c r="G310" s="12" t="inlineStr"/>
      <c r="H310" s="12" t="inlineStr"/>
      <c r="I310" s="12" t="inlineStr"/>
      <c r="J310" s="12" t="inlineStr"/>
    </row>
    <row r="311" ht="41.8" customHeight="1">
      <c r="A311" s="12" t="inlineStr">
        <is>
          <t>SANC-SQ09</t>
        </is>
      </c>
      <c r="B311" s="12" t="inlineStr">
        <is>
          <t>BRD-10 SANC</t>
        </is>
      </c>
      <c r="C311" s="12" t="inlineStr">
        <is>
          <t>STR format</t>
        </is>
      </c>
      <c r="D311" s="12" t="inlineStr">
        <is>
          <t>The AMLC prescribed format for the STR extraction (file type, fields, codes); are covered transactions (CTR) in scope? Who approves the STR before extraction (AML Committee only)?</t>
        </is>
      </c>
      <c r="E311" s="12" t="inlineStr">
        <is>
          <t>SNSRP-105, 705, 706</t>
        </is>
      </c>
      <c r="F311" s="32" t="inlineStr">
        <is>
          <t>Open</t>
        </is>
      </c>
      <c r="G311" s="12" t="inlineStr"/>
      <c r="H311" s="12" t="inlineStr"/>
      <c r="I311" s="12" t="inlineStr"/>
      <c r="J311" s="12" t="inlineStr"/>
    </row>
    <row r="312" ht="41.8" customHeight="1">
      <c r="A312" s="12" t="inlineStr">
        <is>
          <t>SANC-SQ10</t>
        </is>
      </c>
      <c r="B312" s="12" t="inlineStr">
        <is>
          <t>BRD-10 SANC</t>
        </is>
      </c>
      <c r="C312" s="12" t="inlineStr">
        <is>
          <t>Active policy</t>
        </is>
      </c>
      <c r="D312" s="12" t="inlineStr">
        <is>
          <t>Definition of "client with an active policy": booked account with policy period covering today? Includes renewals in progress and endorsements?</t>
        </is>
      </c>
      <c r="E312" s="12" t="inlineStr">
        <is>
          <t>SNSRP-303</t>
        </is>
      </c>
      <c r="F312" s="32" t="inlineStr">
        <is>
          <t>Open</t>
        </is>
      </c>
      <c r="G312" s="12" t="inlineStr"/>
      <c r="H312" s="12" t="inlineStr"/>
      <c r="I312" s="12" t="inlineStr"/>
      <c r="J312" s="12" t="inlineStr"/>
    </row>
    <row r="313" ht="54.4" customHeight="1">
      <c r="A313" s="12" t="inlineStr">
        <is>
          <t>SANC-SQ11</t>
        </is>
      </c>
      <c r="B313" s="12" t="inlineStr">
        <is>
          <t>BRD-10 SANC</t>
        </is>
      </c>
      <c r="C313" s="12" t="inlineStr">
        <is>
          <t>Screening scope and window</t>
        </is>
      </c>
      <c r="D313" s="12" t="inlineStr">
        <is>
          <t>Which clients are screened in the periodic run (prospects, confirmed, inactive, bank clients already screened by BDO)? Batch window and frequency; also screen other parties (beneficial owners, authorised signatories, beneficiaries, insurers) which BIBS does not hold today?</t>
        </is>
      </c>
      <c r="E313" s="12" t="inlineStr">
        <is>
          <t>SNSRP-602</t>
        </is>
      </c>
      <c r="F313" s="32" t="inlineStr">
        <is>
          <t>Open</t>
        </is>
      </c>
      <c r="G313" s="12" t="inlineStr"/>
      <c r="H313" s="12" t="inlineStr"/>
      <c r="I313" s="12" t="inlineStr"/>
      <c r="J313" s="12" t="inlineStr">
        <is>
          <t>DCR-106</t>
        </is>
      </c>
    </row>
    <row r="314" ht="29.2" customHeight="1">
      <c r="A314" s="12" t="inlineStr">
        <is>
          <t>SANC-SQ12</t>
        </is>
      </c>
      <c r="B314" s="12" t="inlineStr">
        <is>
          <t>BRD-10 SANC</t>
        </is>
      </c>
      <c r="C314" s="12" t="inlineStr">
        <is>
          <t>False-positive suppression</t>
        </is>
      </c>
      <c r="D314" s="12" t="inlineStr">
        <is>
          <t>After a validated false positive, is the client exempt from the same entry until the entry changes, or re-screened each run?</t>
        </is>
      </c>
      <c r="E314" s="12" t="inlineStr">
        <is>
          <t>SNSRP-304</t>
        </is>
      </c>
      <c r="F314" s="32" t="inlineStr">
        <is>
          <t>Open</t>
        </is>
      </c>
      <c r="G314" s="12" t="inlineStr"/>
      <c r="H314" s="12" t="inlineStr"/>
      <c r="I314" s="12" t="inlineStr"/>
      <c r="J314" s="12" t="inlineStr"/>
    </row>
    <row r="315" ht="29.2" customHeight="1">
      <c r="A315" s="12" t="inlineStr">
        <is>
          <t>SANC-SQ13</t>
        </is>
      </c>
      <c r="B315" s="12" t="inlineStr">
        <is>
          <t>BRD-10 SANC</t>
        </is>
      </c>
      <c r="C315" s="12" t="inlineStr">
        <is>
          <t>Re-assignment rights</t>
        </is>
      </c>
      <c r="D315" s="12" t="inlineStr">
        <is>
          <t>SNSRP-404 persona is Investigator: may investigators re-assign their own cases, or only the UCC / team lead?</t>
        </is>
      </c>
      <c r="E315" s="12" t="inlineStr">
        <is>
          <t>SNSRP-404</t>
        </is>
      </c>
      <c r="F315" s="32" t="inlineStr">
        <is>
          <t>Open</t>
        </is>
      </c>
      <c r="G315" s="12" t="inlineStr"/>
      <c r="H315" s="12" t="inlineStr"/>
      <c r="I315" s="12" t="inlineStr"/>
      <c r="J315" s="12" t="inlineStr">
        <is>
          <t>DCR-107</t>
        </is>
      </c>
    </row>
    <row r="316" ht="29.2" customHeight="1">
      <c r="A316" s="12" t="inlineStr">
        <is>
          <t>SANC-SQ14</t>
        </is>
      </c>
      <c r="B316" s="12" t="inlineStr">
        <is>
          <t>BRD-10 SANC</t>
        </is>
      </c>
      <c r="C316" s="12" t="inlineStr">
        <is>
          <t>Form Type</t>
        </is>
      </c>
      <c r="D316" s="12" t="inlineStr">
        <is>
          <t>Meaning of "Form Type" in the naming convention (review template type? KYC form code?)</t>
        </is>
      </c>
      <c r="E316" s="12" t="inlineStr">
        <is>
          <t>SNSRP-601</t>
        </is>
      </c>
      <c r="F316" s="32" t="inlineStr">
        <is>
          <t>Open</t>
        </is>
      </c>
      <c r="G316" s="12" t="inlineStr"/>
      <c r="H316" s="12" t="inlineStr"/>
      <c r="I316" s="12" t="inlineStr"/>
      <c r="J316" s="12" t="inlineStr">
        <is>
          <t>DCR-154</t>
        </is>
      </c>
    </row>
    <row r="317" ht="29.2" customHeight="1">
      <c r="A317" s="12" t="inlineStr">
        <is>
          <t>SANC-SQ15</t>
        </is>
      </c>
      <c r="B317" s="12" t="inlineStr">
        <is>
          <t>BRD-10 SANC</t>
        </is>
      </c>
      <c r="C317" s="12" t="inlineStr">
        <is>
          <t>AML Committee</t>
        </is>
      </c>
      <c r="D317" s="12" t="inlineStr">
        <is>
          <t>Decision rule (any member, majority, all, quorum) and whether members vote separately</t>
        </is>
      </c>
      <c r="E317" s="12" t="inlineStr">
        <is>
          <t>SNSRP-704</t>
        </is>
      </c>
      <c r="F317" s="32" t="inlineStr">
        <is>
          <t>Open</t>
        </is>
      </c>
      <c r="G317" s="12" t="inlineStr"/>
      <c r="H317" s="12" t="inlineStr"/>
      <c r="I317" s="12" t="inlineStr"/>
      <c r="J317" s="12" t="inlineStr">
        <is>
          <t>DCR-108</t>
        </is>
      </c>
    </row>
    <row r="318" ht="29.2" customHeight="1">
      <c r="A318" s="12" t="inlineStr">
        <is>
          <t>SANC-SQ16</t>
        </is>
      </c>
      <c r="B318" s="12" t="inlineStr">
        <is>
          <t>BRD-10 SANC</t>
        </is>
      </c>
      <c r="C318" s="12" t="inlineStr">
        <is>
          <t>Designated folder</t>
        </is>
      </c>
      <c r="D318" s="12" t="inlineStr">
        <is>
          <t>Where the STR file must be saved ("designated folder path": shared drive, SFTP)? Is the in-system archive with download acceptable?</t>
        </is>
      </c>
      <c r="E318" s="12" t="inlineStr">
        <is>
          <t>SNSRP-706</t>
        </is>
      </c>
      <c r="F318" s="32" t="inlineStr">
        <is>
          <t>Open</t>
        </is>
      </c>
      <c r="G318" s="12" t="inlineStr"/>
      <c r="H318" s="12" t="inlineStr">
        <is>
          <t>OQ17</t>
        </is>
      </c>
      <c r="I318" s="12" t="inlineStr"/>
      <c r="J318" s="12" t="inlineStr">
        <is>
          <t>DCR-152</t>
        </is>
      </c>
    </row>
    <row r="319" ht="29.2" customHeight="1">
      <c r="A319" s="12" t="inlineStr">
        <is>
          <t>SANC-SQ17</t>
        </is>
      </c>
      <c r="B319" s="12" t="inlineStr">
        <is>
          <t>BRD-10 SANC</t>
        </is>
      </c>
      <c r="C319" s="12" t="inlineStr">
        <is>
          <t>Report layouts</t>
        </is>
      </c>
      <c r="D319" s="12" t="inlineStr">
        <is>
          <t>Columns of the status monitoring and audit reports; content of "List of High-risk Profiles"</t>
        </is>
      </c>
      <c r="E319" s="12" t="inlineStr">
        <is>
          <t>SNSRP-901, 903</t>
        </is>
      </c>
      <c r="F319" s="32" t="inlineStr">
        <is>
          <t>Open</t>
        </is>
      </c>
      <c r="G319" s="12" t="inlineStr"/>
      <c r="H319" s="12" t="inlineStr">
        <is>
          <t>OQ42</t>
        </is>
      </c>
      <c r="I319" s="12" t="inlineStr"/>
      <c r="J319" s="12" t="inlineStr"/>
    </row>
    <row r="320" ht="41.8" customHeight="1">
      <c r="A320" s="12" t="inlineStr">
        <is>
          <t>SANC-SQ18</t>
        </is>
      </c>
      <c r="B320" s="12" t="inlineStr">
        <is>
          <t>BRD-10 SANC</t>
        </is>
      </c>
      <c r="C320" s="12" t="inlineStr">
        <is>
          <t>Audit retention</t>
        </is>
      </c>
      <c r="D320" s="12" t="inlineStr">
        <is>
          <t>"Retained per regulatory and internal retention policies": 5 + 5 years as the data table, or longer (AMLA record keeping 5 years from account closure)?</t>
        </is>
      </c>
      <c r="E320" s="12" t="inlineStr">
        <is>
          <t>SNSRP-902</t>
        </is>
      </c>
      <c r="F320" s="32" t="inlineStr">
        <is>
          <t>Open</t>
        </is>
      </c>
      <c r="G320" s="12" t="inlineStr"/>
      <c r="H320" s="12" t="inlineStr">
        <is>
          <t>XQ08</t>
        </is>
      </c>
      <c r="I320" s="12" t="inlineStr"/>
      <c r="J320" s="12" t="inlineStr">
        <is>
          <t>DCR-136</t>
        </is>
      </c>
    </row>
    <row r="321" ht="41.8" customHeight="1">
      <c r="A321" s="12" t="inlineStr">
        <is>
          <t>SANC-SQ19</t>
        </is>
      </c>
      <c r="B321" s="12" t="inlineStr">
        <is>
          <t>BRD-10 SANC</t>
        </is>
      </c>
      <c r="C321" s="12" t="inlineStr">
        <is>
          <t>Investigators</t>
        </is>
      </c>
      <c r="D321" s="12" t="inlineStr">
        <is>
          <t>Who are the 287 investigators (Marketing Account Officers, branch staff)? Do they already have BIBS roles? "287 concurrent" as a load target?</t>
        </is>
      </c>
      <c r="E321" s="12" t="inlineStr">
        <is>
          <t>NFR</t>
        </is>
      </c>
      <c r="F321" s="32" t="inlineStr">
        <is>
          <t>Open</t>
        </is>
      </c>
      <c r="G321" s="12" t="inlineStr"/>
      <c r="H321" s="12" t="inlineStr"/>
      <c r="I321" s="12" t="inlineStr"/>
      <c r="J321" s="12" t="inlineStr">
        <is>
          <t>DCR-110</t>
        </is>
      </c>
    </row>
    <row r="322" ht="29.2" customHeight="1">
      <c r="A322" s="12" t="inlineStr">
        <is>
          <t>SANC-SQ20</t>
        </is>
      </c>
      <c r="B322" s="12" t="inlineStr">
        <is>
          <t>BRD-10 SANC</t>
        </is>
      </c>
      <c r="C322" s="12" t="inlineStr">
        <is>
          <t>Adverse media</t>
        </is>
      </c>
      <c r="D322" s="12" t="inlineStr">
        <is>
          <t>BSP M-2025-017 (adverse / negative media) is cited: is adverse-media screening in scope (list type ADVERSE_MEDIA as a manual source only)?</t>
        </is>
      </c>
      <c r="E322" s="12" t="inlineStr">
        <is>
          <t>p.3</t>
        </is>
      </c>
      <c r="F322" s="32" t="inlineStr">
        <is>
          <t>Open</t>
        </is>
      </c>
      <c r="G322" s="12" t="inlineStr"/>
      <c r="H322" s="12" t="inlineStr"/>
      <c r="I322" s="12" t="inlineStr"/>
      <c r="J322" s="12" t="inlineStr">
        <is>
          <t>DCR-111</t>
        </is>
      </c>
    </row>
    <row r="323" ht="54.4" customHeight="1">
      <c r="A323" s="12" t="inlineStr">
        <is>
          <t>UQ01</t>
        </is>
      </c>
      <c r="B323" s="12" t="inlineStr">
        <is>
          <t>BRD-11 UAM</t>
        </is>
      </c>
      <c r="C323" s="12" t="inlineStr">
        <is>
          <t>Personas</t>
        </is>
      </c>
      <c r="D323" s="12" t="inlineStr">
        <is>
          <t>Who are the 14 Requestors: unit heads, BU administrators, or any user for himself? Is the Requestor separate from the Business Administrator (in BIBS today the Business Administrator raises access requests)? Who are the 8 Approvers (per unit, or Information Security)?</t>
        </is>
      </c>
      <c r="E323" s="12" t="inlineStr">
        <is>
          <t>1.001, 2.001, 4.002.1</t>
        </is>
      </c>
      <c r="F323" s="32" t="inlineStr">
        <is>
          <t>Open</t>
        </is>
      </c>
      <c r="G323" s="12" t="inlineStr"/>
      <c r="H323" s="12" t="inlineStr">
        <is>
          <t>OQ48</t>
        </is>
      </c>
      <c r="I323" s="12" t="inlineStr"/>
      <c r="J323" s="12" t="inlineStr">
        <is>
          <t>DCR-121</t>
        </is>
      </c>
    </row>
    <row r="324" ht="41.8" customHeight="1">
      <c r="A324" s="12" t="inlineStr">
        <is>
          <t>UQ02</t>
        </is>
      </c>
      <c r="B324" s="12" t="inlineStr">
        <is>
          <t>BRD-11 UAM</t>
        </is>
      </c>
      <c r="C324" s="12" t="inlineStr">
        <is>
          <t>Approver choice</t>
        </is>
      </c>
      <c r="D324" s="12" t="inlineStr">
        <is>
          <t>Which users may be chosen as approver (any holder of the approve right, or the approver of the requester's unit)? For group profiles, "approver/s": several in sequence or in parallel, all required?</t>
        </is>
      </c>
      <c r="E324" s="12" t="inlineStr">
        <is>
          <t>1.00x "select approver", 3.002.x</t>
        </is>
      </c>
      <c r="F324" s="32" t="inlineStr">
        <is>
          <t>Open</t>
        </is>
      </c>
      <c r="G324" s="12" t="inlineStr"/>
      <c r="H324" s="12" t="inlineStr"/>
      <c r="I324" s="12" t="inlineStr"/>
      <c r="J324" s="12" t="inlineStr"/>
    </row>
    <row r="325" ht="41.8" customHeight="1">
      <c r="A325" s="12" t="inlineStr">
        <is>
          <t>UQ03</t>
        </is>
      </c>
      <c r="B325" s="12" t="inlineStr">
        <is>
          <t>BRD-11 UAM</t>
        </is>
      </c>
      <c r="C325" s="12" t="inlineStr">
        <is>
          <t>Group profile execution</t>
        </is>
      </c>
      <c r="D325" s="12" t="inlineStr">
        <is>
          <t>After approval, must the System Administrator implement the group profile by hand (as in the p.6 diagram), or may BIBS apply it on approval, as it does today for role-permission changes (PMADD05)?</t>
        </is>
      </c>
      <c r="E325" s="12" t="inlineStr">
        <is>
          <t>3.002, 4.002.1, PQ17</t>
        </is>
      </c>
      <c r="F325" s="32" t="inlineStr">
        <is>
          <t>Open</t>
        </is>
      </c>
      <c r="G325" s="12" t="inlineStr"/>
      <c r="H325" s="12" t="inlineStr"/>
      <c r="I325" s="12" t="inlineStr"/>
      <c r="J325" s="12" t="inlineStr">
        <is>
          <t>DCR-117</t>
        </is>
      </c>
    </row>
    <row r="326" ht="54.4" customHeight="1">
      <c r="A326" s="12" t="inlineStr">
        <is>
          <t>UQ04</t>
        </is>
      </c>
      <c r="B326" s="12" t="inlineStr">
        <is>
          <t>BRD-11 UAM</t>
        </is>
      </c>
      <c r="C326" s="12" t="inlineStr">
        <is>
          <t>EUA</t>
        </is>
      </c>
      <c r="D326" s="12" t="inlineStr">
        <is>
          <t>Interface of BDO EUA: protocol (LDAP bind, Kerberos, SAML / OIDC, web service), host, Windows ID format, error codes and messages; is every BIBS user in the BDO directory; is a local break-glass administrator allowed; does password policy then belong to EUA only?</t>
        </is>
      </c>
      <c r="E326" s="12" t="inlineStr">
        <is>
          <t>NFR 1.h, EUA, SSO, Q42</t>
        </is>
      </c>
      <c r="F326" s="32" t="inlineStr">
        <is>
          <t>Open</t>
        </is>
      </c>
      <c r="G326" s="12" t="inlineStr"/>
      <c r="H326" s="12" t="inlineStr">
        <is>
          <t>Q42</t>
        </is>
      </c>
      <c r="I326" s="12" t="inlineStr"/>
      <c r="J326" s="12" t="inlineStr">
        <is>
          <t>DCR-143, DCR-230</t>
        </is>
      </c>
    </row>
    <row r="327" ht="41.8" customHeight="1">
      <c r="A327" s="12" t="inlineStr">
        <is>
          <t>UQ05</t>
        </is>
      </c>
      <c r="B327" s="12" t="inlineStr">
        <is>
          <t>BRD-11 UAM</t>
        </is>
      </c>
      <c r="C327" s="12" t="inlineStr">
        <is>
          <t>User attributes</t>
        </is>
      </c>
      <c r="D327" s="12" t="inlineStr">
        <is>
          <t>Values of "Business Unit Group" and "User Level"; is the user ID the employee number in the a999999999 format, and how does it relate to the Windows ID?</t>
        </is>
      </c>
      <c r="E327" s="12" t="inlineStr">
        <is>
          <t>1.002.1.1.1, NFR 1.j, user ID maintenance</t>
        </is>
      </c>
      <c r="F327" s="32" t="inlineStr">
        <is>
          <t>Open</t>
        </is>
      </c>
      <c r="G327" s="12" t="inlineStr"/>
      <c r="H327" s="12" t="inlineStr"/>
      <c r="I327" s="12" t="inlineStr"/>
      <c r="J327" s="12" t="inlineStr">
        <is>
          <t>DCR-118</t>
        </is>
      </c>
    </row>
    <row r="328" ht="29.2" customHeight="1">
      <c r="A328" s="12" t="inlineStr">
        <is>
          <t>UQ06</t>
        </is>
      </c>
      <c r="B328" s="12" t="inlineStr">
        <is>
          <t>BRD-11 UAM</t>
        </is>
      </c>
      <c r="C328" s="12" t="inlineStr">
        <is>
          <t>Effective date</t>
        </is>
      </c>
      <c r="D328" s="12" t="inlineStr">
        <is>
          <t>Future start only, or also an end date (temporary access)? May an approved future-dated request be cancelled before its date?</t>
        </is>
      </c>
      <c r="E328" s="12" t="inlineStr">
        <is>
          <t>NFR 1.k, 1.004</t>
        </is>
      </c>
      <c r="F328" s="32" t="inlineStr">
        <is>
          <t>Open</t>
        </is>
      </c>
      <c r="G328" s="12" t="inlineStr"/>
      <c r="H328" s="12" t="inlineStr"/>
      <c r="I328" s="12" t="inlineStr"/>
      <c r="J328" s="12" t="inlineStr"/>
    </row>
    <row r="329" ht="29.2" customHeight="1">
      <c r="A329" s="12" t="inlineStr">
        <is>
          <t>UQ07</t>
        </is>
      </c>
      <c r="B329" s="12" t="inlineStr">
        <is>
          <t>BRD-11 UAM</t>
        </is>
      </c>
      <c r="C329" s="12" t="inlineStr">
        <is>
          <t>Risky changes</t>
        </is>
      </c>
      <c r="D329" s="12" t="inlineStr">
        <is>
          <t>Definition of "low to high privilege" (which profiles are high privilege), working hours, and who does the additional review</t>
        </is>
      </c>
      <c r="E329" s="12" t="inlineStr">
        <is>
          <t>NFR 11</t>
        </is>
      </c>
      <c r="F329" s="32" t="inlineStr">
        <is>
          <t>Open</t>
        </is>
      </c>
      <c r="G329" s="12" t="inlineStr"/>
      <c r="H329" s="12" t="inlineStr"/>
      <c r="I329" s="12" t="inlineStr"/>
      <c r="J329" s="12" t="inlineStr"/>
    </row>
    <row r="330" ht="54.4" customHeight="1">
      <c r="A330" s="12" t="inlineStr">
        <is>
          <t>UQ08</t>
        </is>
      </c>
      <c r="B330" s="12" t="inlineStr">
        <is>
          <t>BRD-11 UAM</t>
        </is>
      </c>
      <c r="C330" s="12" t="inlineStr">
        <is>
          <t>Password policy</t>
        </is>
      </c>
      <c r="D330" s="12" t="inlineStr">
        <is>
          <t>For local accounts: confirm the CLXN NFR values (length, history 8, 90-day expiry, 1-day minimum age, 8 / 12 minimum for admins) for all BIBS users; channel of the self-service reset (e-mail link, OTP); not needed if all users authenticate with EUA</t>
        </is>
      </c>
      <c r="E330" s="12" t="inlineStr">
        <is>
          <t>NFR 7-8</t>
        </is>
      </c>
      <c r="F330" s="32" t="inlineStr">
        <is>
          <t>Open</t>
        </is>
      </c>
      <c r="G330" s="12" t="inlineStr"/>
      <c r="H330" s="12" t="inlineStr"/>
      <c r="I330" s="12" t="inlineStr"/>
      <c r="J330" s="12" t="inlineStr">
        <is>
          <t>DCR-144</t>
        </is>
      </c>
    </row>
    <row r="331" ht="54.4" customHeight="1">
      <c r="A331" s="12" t="inlineStr">
        <is>
          <t>UQ09</t>
        </is>
      </c>
      <c r="B331" s="12" t="inlineStr">
        <is>
          <t>BRD-11 UAM</t>
        </is>
      </c>
      <c r="C331" s="12" t="inlineStr">
        <is>
          <t>Single session / single role (rest of CQ23)</t>
        </is>
      </c>
      <c r="D331" s="12" t="inlineStr">
        <is>
          <t>The CLXN BRD asks for one role per user and one session per device. BRD-11 allows several roles per user. Confirm that the single-role rule is dropped (or limited to incompatible role pairs) and whether single session per device applies to all users</t>
        </is>
      </c>
      <c r="E331" s="12" t="inlineStr">
        <is>
          <t>NFR 1.c-d, CQ23</t>
        </is>
      </c>
      <c r="F331" s="32" t="inlineStr">
        <is>
          <t>Open</t>
        </is>
      </c>
      <c r="G331" s="12" t="inlineStr"/>
      <c r="H331" s="12" t="inlineStr">
        <is>
          <t>XQ11</t>
        </is>
      </c>
      <c r="I331" s="12" t="inlineStr"/>
      <c r="J331" s="12" t="inlineStr">
        <is>
          <t>DCR-044, DCR-045, DCR-141</t>
        </is>
      </c>
    </row>
    <row r="332" ht="29.2" customHeight="1">
      <c r="A332" s="12" t="inlineStr">
        <is>
          <t>UQ10</t>
        </is>
      </c>
      <c r="B332" s="12" t="inlineStr">
        <is>
          <t>BRD-11 UAM</t>
        </is>
      </c>
      <c r="C332" s="12" t="inlineStr">
        <is>
          <t>Bulk</t>
        </is>
      </c>
      <c r="D332" s="12" t="inlineStr">
        <is>
          <t>Bulk file layout, maximum rows; is the batch approved as a whole or line by line; may one file mix creations and deactivations?</t>
        </is>
      </c>
      <c r="E332" s="12" t="inlineStr">
        <is>
          <t>1.009</t>
        </is>
      </c>
      <c r="F332" s="32" t="inlineStr">
        <is>
          <t>Open</t>
        </is>
      </c>
      <c r="G332" s="12" t="inlineStr"/>
      <c r="H332" s="12" t="inlineStr"/>
      <c r="I332" s="12" t="inlineStr"/>
      <c r="J332" s="12" t="inlineStr"/>
    </row>
    <row r="333" ht="41.8" customHeight="1">
      <c r="A333" s="12" t="inlineStr">
        <is>
          <t>UQ11</t>
        </is>
      </c>
      <c r="B333" s="12" t="inlineStr">
        <is>
          <t>BRD-11 UAM</t>
        </is>
      </c>
      <c r="C333" s="12" t="inlineStr">
        <is>
          <t>Reports</t>
        </is>
      </c>
      <c r="D333" s="12" t="inlineStr">
        <is>
          <t>Is "Module / Task" of sample B the BIBS menu area and function (permission areas and action classes), or a QPS task list? "Date Coverage as of" semantics (state at a past date)</t>
        </is>
      </c>
      <c r="E333" s="12" t="inlineStr">
        <is>
          <t>3.003</t>
        </is>
      </c>
      <c r="F333" s="32" t="inlineStr">
        <is>
          <t>Open</t>
        </is>
      </c>
      <c r="G333" s="12" t="inlineStr"/>
      <c r="H333" s="12" t="inlineStr"/>
      <c r="I333" s="12" t="inlineStr"/>
      <c r="J333" s="12" t="inlineStr">
        <is>
          <t>DCR-116</t>
        </is>
      </c>
    </row>
    <row r="334" ht="29.2" customHeight="1">
      <c r="A334" s="12" t="inlineStr">
        <is>
          <t>UQ12</t>
        </is>
      </c>
      <c r="B334" s="12" t="inlineStr">
        <is>
          <t>BRD-11 UAM</t>
        </is>
      </c>
      <c r="C334" s="12" t="inlineStr">
        <is>
          <t>Retention</t>
        </is>
      </c>
      <c r="D334" s="12" t="inlineStr">
        <is>
          <t>The "QPS retention policy" values for access requests, audit logs and login logs</t>
        </is>
      </c>
      <c r="E334" s="12" t="inlineStr">
        <is>
          <t>NFR retention</t>
        </is>
      </c>
      <c r="F334" s="32" t="inlineStr">
        <is>
          <t>Open</t>
        </is>
      </c>
      <c r="G334" s="12" t="inlineStr"/>
      <c r="H334" s="12" t="inlineStr">
        <is>
          <t>XQ08</t>
        </is>
      </c>
      <c r="I334" s="12" t="inlineStr"/>
      <c r="J334" s="12" t="inlineStr">
        <is>
          <t>DCR-115, DCR-136, DCR-139</t>
        </is>
      </c>
    </row>
    <row r="335" ht="29.2" customHeight="1">
      <c r="A335" s="12" t="inlineStr">
        <is>
          <t>UQ13</t>
        </is>
      </c>
      <c r="B335" s="12" t="inlineStr">
        <is>
          <t>BRD-11 UAM</t>
        </is>
      </c>
      <c r="C335" s="12" t="inlineStr">
        <is>
          <t>Online status</t>
        </is>
      </c>
      <c r="D335" s="12" t="inlineStr">
        <is>
          <t>Must the user list show who is online in real time (active session), and must an administrator be able to end a session?</t>
        </is>
      </c>
      <c r="E335" s="12" t="inlineStr">
        <is>
          <t>User ID maintenance</t>
        </is>
      </c>
      <c r="F335" s="32" t="inlineStr">
        <is>
          <t>Open</t>
        </is>
      </c>
      <c r="G335" s="12" t="inlineStr"/>
      <c r="H335" s="12" t="inlineStr"/>
      <c r="I335" s="12" t="inlineStr"/>
      <c r="J335" s="12" t="inlineStr">
        <is>
          <t>DCR-119</t>
        </is>
      </c>
    </row>
    <row r="336" ht="16.6" customHeight="1">
      <c r="A336" s="12" t="inlineStr">
        <is>
          <t>UQ14</t>
        </is>
      </c>
      <c r="B336" s="12" t="inlineStr">
        <is>
          <t>BRD-11 UAM</t>
        </is>
      </c>
      <c r="C336" s="12" t="inlineStr">
        <is>
          <t>External ACL</t>
        </is>
      </c>
      <c r="D336" s="12" t="inlineStr">
        <is>
          <t>Which external ACL system is meant (NFR 1.i)?</t>
        </is>
      </c>
      <c r="E336" s="12" t="inlineStr">
        <is>
          <t>NFR 1.i</t>
        </is>
      </c>
      <c r="F336" s="32" t="inlineStr">
        <is>
          <t>Open</t>
        </is>
      </c>
      <c r="G336" s="12" t="inlineStr"/>
      <c r="H336" s="12" t="inlineStr"/>
      <c r="I336" s="12" t="inlineStr"/>
      <c r="J336" s="12" t="inlineStr">
        <is>
          <t>DCR-120</t>
        </is>
      </c>
    </row>
    <row r="337" ht="29.2" customHeight="1">
      <c r="A337" s="12" t="inlineStr">
        <is>
          <t>UQ15</t>
        </is>
      </c>
      <c r="B337" s="12" t="inlineStr">
        <is>
          <t>BRD-11 UAM</t>
        </is>
      </c>
      <c r="C337" s="12" t="inlineStr">
        <is>
          <t>Automatic save</t>
        </is>
      </c>
      <c r="D337" s="12" t="inlineStr">
        <is>
          <t>Meaning of "Allow automatic save option" in the audit-trail requirement (auto-save of drafts?)</t>
        </is>
      </c>
      <c r="E337" s="12" t="inlineStr">
        <is>
          <t>Transaction logging</t>
        </is>
      </c>
      <c r="F337" s="32" t="inlineStr">
        <is>
          <t>Open</t>
        </is>
      </c>
      <c r="G337" s="12" t="inlineStr"/>
      <c r="H337" s="12" t="inlineStr"/>
      <c r="I337" s="12" t="inlineStr"/>
      <c r="J337" s="12" t="inlineStr"/>
    </row>
    <row r="338" ht="29.2" customHeight="1">
      <c r="A338" s="12" t="inlineStr">
        <is>
          <t>UQ16</t>
        </is>
      </c>
      <c r="B338" s="12" t="inlineStr">
        <is>
          <t>BRD-11 UAM</t>
        </is>
      </c>
      <c r="C338" s="12" t="inlineStr">
        <is>
          <t>Profile deactivation</t>
        </is>
      </c>
      <c r="D338" s="12" t="inlineStr">
        <is>
          <t>May a group profile with active members be deactivated (members lose its rights) or must members be moved first?</t>
        </is>
      </c>
      <c r="E338" s="12" t="inlineStr">
        <is>
          <t>3.002.3</t>
        </is>
      </c>
      <c r="F338" s="32" t="inlineStr">
        <is>
          <t>Open</t>
        </is>
      </c>
      <c r="G338" s="12" t="inlineStr"/>
      <c r="H338" s="12" t="inlineStr"/>
      <c r="I338" s="12" t="inlineStr"/>
      <c r="J338" s="12" t="inlineStr"/>
    </row>
    <row r="339" ht="29.2" customHeight="1">
      <c r="A339" s="12" t="inlineStr">
        <is>
          <t>UQ17</t>
        </is>
      </c>
      <c r="B339" s="12" t="inlineStr">
        <is>
          <t>BRD-11 UAM</t>
        </is>
      </c>
      <c r="C339" s="12" t="inlineStr">
        <is>
          <t>Own profile</t>
        </is>
      </c>
      <c r="D339" s="12" t="inlineStr">
        <is>
          <t>Which profile fields may users update themselves (e-mail, mobile, display name)? Is the change approved?</t>
        </is>
      </c>
      <c r="E339" s="12" t="inlineStr">
        <is>
          <t>NFR 8</t>
        </is>
      </c>
      <c r="F339" s="32" t="inlineStr">
        <is>
          <t>Open</t>
        </is>
      </c>
      <c r="G339" s="12" t="inlineStr"/>
      <c r="H339" s="12" t="inlineStr"/>
      <c r="I339" s="12" t="inlineStr"/>
      <c r="J339" s="12" t="inlineStr"/>
    </row>
    <row r="340" ht="29.2" customHeight="1">
      <c r="A340" s="12" t="inlineStr">
        <is>
          <t>UQ18</t>
        </is>
      </c>
      <c r="B340" s="12" t="inlineStr">
        <is>
          <t>BRD-11 UAM</t>
        </is>
      </c>
      <c r="C340" s="12" t="inlineStr">
        <is>
          <t>Documentation</t>
        </is>
      </c>
      <c r="D340" s="12" t="inlineStr">
        <is>
          <t>The sentence "instruction guide on how to manage users and extract users list and group profile list for" is cut off (p.17)</t>
        </is>
      </c>
      <c r="E340" s="12" t="inlineStr">
        <is>
          <t>NFR documentation</t>
        </is>
      </c>
      <c r="F340" s="32" t="inlineStr">
        <is>
          <t>Open</t>
        </is>
      </c>
      <c r="G340" s="12" t="inlineStr"/>
      <c r="H340" s="12" t="inlineStr"/>
      <c r="I340" s="12" t="inlineStr"/>
      <c r="J340" s="12" t="inlineStr">
        <is>
          <t>DCR-120</t>
        </is>
      </c>
    </row>
    <row r="341" ht="29.2" customHeight="1">
      <c r="A341" s="12" t="inlineStr">
        <is>
          <t>UQ19</t>
        </is>
      </c>
      <c r="B341" s="12" t="inlineStr">
        <is>
          <t>BRD-11 UAM</t>
        </is>
      </c>
      <c r="C341" s="12" t="inlineStr">
        <is>
          <t>Scope</t>
        </is>
      </c>
      <c r="D341" s="12" t="inlineStr">
        <is>
          <t>Confirm that this QPS BRD applies to BIBS as a whole (every module and persona), not only to the quotation and pre-processing screens</t>
        </is>
      </c>
      <c r="E341" s="12" t="inlineStr">
        <is>
          <t>whole BRD</t>
        </is>
      </c>
      <c r="F341" s="32" t="inlineStr">
        <is>
          <t>Open</t>
        </is>
      </c>
      <c r="G341" s="12" t="inlineStr"/>
      <c r="H341" s="12" t="inlineStr"/>
      <c r="I341" s="12" t="inlineStr"/>
      <c r="J341" s="12" t="inlineStr">
        <is>
          <t>DCR-114</t>
        </is>
      </c>
    </row>
    <row r="342" ht="54.4" customHeight="1">
      <c r="A342" s="12" t="inlineStr">
        <is>
          <t>SP-SQ01</t>
        </is>
      </c>
      <c r="B342" s="12" t="inlineStr">
        <is>
          <t>BRD-12 SP</t>
        </is>
      </c>
      <c r="C342" s="12" t="inlineStr">
        <is>
          <t>Sources</t>
        </is>
      </c>
      <c r="D342" s="12" t="inlineStr">
        <is>
          <t>Definition, owner, layout, frequency and transport of each source: LFS insurance report, HLS daily insurance report, CIU report, SPI list, LAMD report, Loan Booking Report, IBG / Leasing documents, IA masterlist. Is the list complete ("etc.")?</t>
        </is>
      </c>
      <c r="E342" s="12" t="inlineStr">
        <is>
          <t>BRIDSP-01</t>
        </is>
      </c>
      <c r="F342" s="32" t="inlineStr">
        <is>
          <t>Open</t>
        </is>
      </c>
      <c r="G342" s="12" t="inlineStr"/>
      <c r="H342" s="12" t="inlineStr">
        <is>
          <t>Q11</t>
        </is>
      </c>
      <c r="I342" s="12" t="inlineStr"/>
      <c r="J342" s="12" t="inlineStr"/>
    </row>
    <row r="343" ht="29.2" customHeight="1">
      <c r="A343" s="12" t="inlineStr">
        <is>
          <t>SP-SQ02</t>
        </is>
      </c>
      <c r="B343" s="12" t="inlineStr">
        <is>
          <t>BRD-12 SP</t>
        </is>
      </c>
      <c r="C343" s="12" t="inlineStr">
        <is>
          <t>Formats</t>
        </is>
      </c>
      <c r="D343" s="12" t="inlineStr">
        <is>
          <t>The "prescribed submission formats" (KC 1): templates per segment and business type</t>
        </is>
      </c>
      <c r="E343" s="12" t="inlineStr">
        <is>
          <t>BRIDSP-01</t>
        </is>
      </c>
      <c r="F343" s="32" t="inlineStr">
        <is>
          <t>Open</t>
        </is>
      </c>
      <c r="G343" s="12" t="inlineStr"/>
      <c r="H343" s="12" t="inlineStr"/>
      <c r="I343" s="12" t="inlineStr"/>
      <c r="J343" s="12" t="inlineStr"/>
    </row>
    <row r="344" ht="29.2" customHeight="1">
      <c r="A344" s="12" t="inlineStr">
        <is>
          <t>SP-SQ03</t>
        </is>
      </c>
      <c r="B344" s="12" t="inlineStr">
        <is>
          <t>BRD-12 SP</t>
        </is>
      </c>
      <c r="C344" s="12" t="inlineStr">
        <is>
          <t>Extraction</t>
        </is>
      </c>
      <c r="D344" s="12" t="inlineStr">
        <is>
          <t>Document types, share of scanned vs text PDFs (OCR?), mandatory fields and accepted accuracy</t>
        </is>
      </c>
      <c r="E344" s="12" t="inlineStr">
        <is>
          <t>BRIDSP-02</t>
        </is>
      </c>
      <c r="F344" s="32" t="inlineStr">
        <is>
          <t>Open</t>
        </is>
      </c>
      <c r="G344" s="12" t="inlineStr"/>
      <c r="H344" s="12" t="inlineStr">
        <is>
          <t>Q24</t>
        </is>
      </c>
      <c r="I344" s="12" t="inlineStr"/>
      <c r="J344" s="12" t="inlineStr"/>
    </row>
    <row r="345" ht="41.8" customHeight="1">
      <c r="A345" s="12" t="inlineStr">
        <is>
          <t>SP-SQ04</t>
        </is>
      </c>
      <c r="B345" s="12" t="inlineStr">
        <is>
          <t>BRD-12 SP</t>
        </is>
      </c>
      <c r="C345" s="12" t="inlineStr">
        <is>
          <t>Classification</t>
        </is>
      </c>
      <c r="D345" s="12" t="inlineStr">
        <is>
          <t>Definitions of Inforced and Submitted. BRIDSP-12 says Submitted = matched PN vs LAMD and BRIDSP-15 says Inforced = unmatched PN; is "Inforced" a policy placed by BDOI?</t>
        </is>
      </c>
      <c r="E345" s="12" t="inlineStr">
        <is>
          <t>BRIDSP-11/12/15</t>
        </is>
      </c>
      <c r="F345" s="32" t="inlineStr">
        <is>
          <t>Open</t>
        </is>
      </c>
      <c r="G345" s="12" t="inlineStr"/>
      <c r="H345" s="12" t="inlineStr"/>
      <c r="I345" s="12" t="inlineStr"/>
      <c r="J345" s="12" t="inlineStr">
        <is>
          <t>DCR-124</t>
        </is>
      </c>
    </row>
    <row r="346" ht="54.4" customHeight="1">
      <c r="A346" s="12" t="inlineStr">
        <is>
          <t>SP-SQ05</t>
        </is>
      </c>
      <c r="B346" s="12" t="inlineStr">
        <is>
          <t>BRD-12 SP</t>
        </is>
      </c>
      <c r="C346" s="12" t="inlineStr">
        <is>
          <t>Buckets</t>
        </is>
      </c>
      <c r="D346" s="12" t="inlineStr">
        <is>
          <t>Complete bucket list, precedence and meaning: RMU is a renewal bucket in the Sanitation report and a non-renewal bucket in BRIDSP-14; FFY likewise; Fully Paid is both an inforced renewal bucket (BRIDSP-15) and "not for renewal" (RL #156); CARI, Bonds, BDOFC, OPM, Sold definitions</t>
        </is>
      </c>
      <c r="E346" s="12" t="inlineStr">
        <is>
          <t>BRIDSP-12/14/15, RL #156</t>
        </is>
      </c>
      <c r="F346" s="32" t="inlineStr">
        <is>
          <t>Open</t>
        </is>
      </c>
      <c r="G346" s="12" t="inlineStr"/>
      <c r="H346" s="12" t="inlineStr"/>
      <c r="I346" s="12" t="inlineStr"/>
      <c r="J346" s="12" t="inlineStr">
        <is>
          <t>DCR-124</t>
        </is>
      </c>
    </row>
    <row r="347" ht="29.2" customHeight="1">
      <c r="A347" s="12" t="inlineStr">
        <is>
          <t>SP-SQ06</t>
        </is>
      </c>
      <c r="B347" s="12" t="inlineStr">
        <is>
          <t>BRD-12 SP</t>
        </is>
      </c>
      <c r="C347" s="12" t="inlineStr">
        <is>
          <t>LAMD</t>
        </is>
      </c>
      <c r="D347" s="12" t="inlineStr">
        <is>
          <t>What LAMD is, its fields (loan status, amortised flag, maturity), refresh frequency; rule for Generic vs FFY RA</t>
        </is>
      </c>
      <c r="E347" s="12" t="inlineStr">
        <is>
          <t>BRIDSP-13</t>
        </is>
      </c>
      <c r="F347" s="32" t="inlineStr">
        <is>
          <t>Open</t>
        </is>
      </c>
      <c r="G347" s="12" t="inlineStr"/>
      <c r="H347" s="12" t="inlineStr">
        <is>
          <t>XQ01</t>
        </is>
      </c>
      <c r="I347" s="12" t="inlineStr"/>
      <c r="J347" s="12" t="inlineStr">
        <is>
          <t>DCR-146</t>
        </is>
      </c>
    </row>
    <row r="348" ht="41.8" customHeight="1">
      <c r="A348" s="12" t="inlineStr">
        <is>
          <t>SP-SQ07</t>
        </is>
      </c>
      <c r="B348" s="12" t="inlineStr">
        <is>
          <t>BRD-12 SP</t>
        </is>
      </c>
      <c r="C348" s="12" t="inlineStr">
        <is>
          <t>IAAF</t>
        </is>
      </c>
      <c r="D348" s="12" t="inlineStr">
        <is>
          <t>Approval matrix (levels, criteria, signatories), signature method (the pack title mentions "e-sig"), template; one IAAF per policy (BRIDSP-05) vs "one IAAF may consist of multiple policies" (p.4)</t>
        </is>
      </c>
      <c r="E348" s="12" t="inlineStr">
        <is>
          <t>BRIDSP-05-07</t>
        </is>
      </c>
      <c r="F348" s="32" t="inlineStr">
        <is>
          <t>Open</t>
        </is>
      </c>
      <c r="G348" s="12" t="inlineStr"/>
      <c r="H348" s="12" t="inlineStr"/>
      <c r="I348" s="12" t="inlineStr"/>
      <c r="J348" s="12" t="inlineStr">
        <is>
          <t>DCR-125</t>
        </is>
      </c>
    </row>
    <row r="349" ht="41.8" customHeight="1">
      <c r="A349" s="12" t="inlineStr">
        <is>
          <t>SP-SQ08</t>
        </is>
      </c>
      <c r="B349" s="12" t="inlineStr">
        <is>
          <t>BRD-12 SP</t>
        </is>
      </c>
      <c r="C349" s="12" t="inlineStr">
        <is>
          <t>TOR</t>
        </is>
      </c>
      <c r="D349" s="12" t="inlineStr">
        <is>
          <t>TSU approval matrix; acceptance and coverage limits per insurer / product and who maintains them (Product Maintenance?); TOR template; meaning of Released</t>
        </is>
      </c>
      <c r="E349" s="12" t="inlineStr">
        <is>
          <t>BRIDSP-16-19</t>
        </is>
      </c>
      <c r="F349" s="32" t="inlineStr">
        <is>
          <t>Open</t>
        </is>
      </c>
      <c r="G349" s="12" t="inlineStr"/>
      <c r="H349" s="12" t="inlineStr"/>
      <c r="I349" s="12" t="inlineStr"/>
      <c r="J349" s="12" t="inlineStr"/>
    </row>
    <row r="350" ht="54.4" customHeight="1">
      <c r="A350" s="12" t="inlineStr">
        <is>
          <t>SP-SQ09</t>
        </is>
      </c>
      <c r="B350" s="12" t="inlineStr">
        <is>
          <t>BRD-12 SP</t>
        </is>
      </c>
      <c r="C350" s="12" t="inlineStr">
        <is>
          <t>Letters</t>
        </is>
      </c>
      <c r="D350" s="12" t="inlineStr">
        <is>
          <t>Templates and triggers for RA (generic / FFY), NRNS, NAL, SFU, reminders, renewal notices and proposals; lead days per segment; channels (e-mail, snail mail through COG, c/o bank counterpart); COG hand-off format</t>
        </is>
      </c>
      <c r="E350" s="12" t="inlineStr">
        <is>
          <t>BRIDSP-22/24</t>
        </is>
      </c>
      <c r="F350" s="32" t="inlineStr">
        <is>
          <t>Open</t>
        </is>
      </c>
      <c r="G350" s="12" t="inlineStr"/>
      <c r="H350" s="12" t="inlineStr">
        <is>
          <t>XQ03</t>
        </is>
      </c>
      <c r="I350" s="12" t="inlineStr"/>
      <c r="J350" s="12" t="inlineStr">
        <is>
          <t>DCR-129</t>
        </is>
      </c>
    </row>
    <row r="351" ht="54.4" customHeight="1">
      <c r="A351" s="12" t="inlineStr">
        <is>
          <t>SP-SQ10</t>
        </is>
      </c>
      <c r="B351" s="12" t="inlineStr">
        <is>
          <t>BRD-12 SP</t>
        </is>
      </c>
      <c r="C351" s="12" t="inlineStr">
        <is>
          <t>Renewal boundary</t>
        </is>
      </c>
      <c r="D351" s="12" t="inlineStr">
        <is>
          <t>After classification, does the Renewal BRD own the renewal of submitted policies (expiry list, RA, quotation, placement), or does this BRD? Who is the Placement / Booking user for submitted renewals?</t>
        </is>
      </c>
      <c r="E351" s="12" t="inlineStr">
        <is>
          <t>BRIDSP-23/25/26</t>
        </is>
      </c>
      <c r="F351" s="32" t="inlineStr">
        <is>
          <t>Partially answered</t>
        </is>
      </c>
      <c r="G351" s="12" t="inlineStr">
        <is>
          <t>Renewal owns the renewal of submitted policies from the hand-off (project decision, BDOI to confirm). Users who place and book submitted renewals open. (Decision D2 (Renewal design))</t>
        </is>
      </c>
      <c r="H351" s="12" t="inlineStr"/>
      <c r="I351" s="12" t="inlineStr"/>
      <c r="J351" s="12" t="inlineStr">
        <is>
          <t>DCR-129</t>
        </is>
      </c>
    </row>
    <row r="352" ht="29.2" customHeight="1">
      <c r="A352" s="12" t="inlineStr">
        <is>
          <t>SP-SQ11</t>
        </is>
      </c>
      <c r="B352" s="12" t="inlineStr">
        <is>
          <t>BRD-12 SP</t>
        </is>
      </c>
      <c r="C352" s="12" t="inlineStr">
        <is>
          <t>Insurer assignment</t>
        </is>
      </c>
      <c r="D352" s="12" t="inlineStr">
        <is>
          <t>Rules: by vehicle type (CBG Motor); "must be different from the expiring policy" (CBG Fire); insurer panel per segment</t>
        </is>
      </c>
      <c r="E352" s="12" t="inlineStr">
        <is>
          <t>p.5</t>
        </is>
      </c>
      <c r="F352" s="32" t="inlineStr">
        <is>
          <t>Open</t>
        </is>
      </c>
      <c r="G352" s="12" t="inlineStr"/>
      <c r="H352" s="12" t="inlineStr"/>
      <c r="I352" s="12" t="inlineStr"/>
      <c r="J352" s="12" t="inlineStr"/>
    </row>
    <row r="353" ht="29.2" customHeight="1">
      <c r="A353" s="12" t="inlineStr">
        <is>
          <t>SP-SQ12</t>
        </is>
      </c>
      <c r="B353" s="12" t="inlineStr">
        <is>
          <t>BRD-12 SP</t>
        </is>
      </c>
      <c r="C353" s="12" t="inlineStr">
        <is>
          <t>Hold cover</t>
        </is>
      </c>
      <c r="D353" s="12" t="inlineStr">
        <is>
          <t>Acceptance window "3-5 days": which value, calendar or working days; outcome when no insurer accepts; alert lead days for unbooked accounts</t>
        </is>
      </c>
      <c r="E353" s="12" t="inlineStr">
        <is>
          <t>BRIDSP-24/32</t>
        </is>
      </c>
      <c r="F353" s="32" t="inlineStr">
        <is>
          <t>Open</t>
        </is>
      </c>
      <c r="G353" s="12" t="inlineStr"/>
      <c r="H353" s="12" t="inlineStr">
        <is>
          <t>Q27</t>
        </is>
      </c>
      <c r="I353" s="12" t="inlineStr"/>
      <c r="J353" s="12" t="inlineStr">
        <is>
          <t>DCR-155</t>
        </is>
      </c>
    </row>
    <row r="354" ht="41.8" customHeight="1">
      <c r="A354" s="12" t="inlineStr">
        <is>
          <t>SP-SQ13</t>
        </is>
      </c>
      <c r="B354" s="12" t="inlineStr">
        <is>
          <t>BRD-12 SP</t>
        </is>
      </c>
      <c r="C354" s="12" t="inlineStr">
        <is>
          <t>Handling fee</t>
        </is>
      </c>
      <c r="D354" s="12" t="inlineStr">
        <is>
          <t>What the handling fee is, who pays it, amount or rate, VAT and OR, GL account, how the Handling Fee record is created (billing list), CBG Motor only?</t>
        </is>
      </c>
      <c r="E354" s="12" t="inlineStr">
        <is>
          <t>BRIDSP-31</t>
        </is>
      </c>
      <c r="F354" s="32" t="inlineStr">
        <is>
          <t>Open</t>
        </is>
      </c>
      <c r="G354" s="12" t="inlineStr"/>
      <c r="H354" s="12" t="inlineStr"/>
      <c r="I354" s="12" t="inlineStr"/>
      <c r="J354" s="12" t="inlineStr">
        <is>
          <t>DCR-126</t>
        </is>
      </c>
    </row>
    <row r="355" ht="41.8" customHeight="1">
      <c r="A355" s="12" t="inlineStr">
        <is>
          <t>SP-SQ14</t>
        </is>
      </c>
      <c r="B355" s="12" t="inlineStr">
        <is>
          <t>BRD-12 SP</t>
        </is>
      </c>
      <c r="C355" s="12" t="inlineStr">
        <is>
          <t>No Touch billing</t>
        </is>
      </c>
      <c r="D355" s="12" t="inlineStr">
        <is>
          <t>Service-fee basis and rates (12% VAT, 15% WTax as written), billing statement format, OR / service invoice, relation to the No Touch incentive of CMRID.005</t>
        </is>
      </c>
      <c r="E355" s="12" t="inlineStr">
        <is>
          <t>RL #164, OQ39</t>
        </is>
      </c>
      <c r="F355" s="32" t="inlineStr">
        <is>
          <t>Open</t>
        </is>
      </c>
      <c r="G355" s="12" t="inlineStr"/>
      <c r="H355" s="12" t="inlineStr">
        <is>
          <t>OQ39</t>
        </is>
      </c>
      <c r="I355" s="12" t="inlineStr"/>
      <c r="J355" s="12" t="inlineStr">
        <is>
          <t>DCR-037</t>
        </is>
      </c>
    </row>
    <row r="356" ht="54.4" customHeight="1">
      <c r="A356" s="12" t="inlineStr">
        <is>
          <t>SP-SQ15</t>
        </is>
      </c>
      <c r="B356" s="12" t="inlineStr">
        <is>
          <t>BRD-12 SP</t>
        </is>
      </c>
      <c r="C356" s="12" t="inlineStr">
        <is>
          <t>Roles and scope</t>
        </is>
      </c>
      <c r="D356" s="12" t="inlineStr">
        <is>
          <t>Access matrix for CBG Admin / Mktg, Submitted Handler, Submitted Checker, Sanitation Handler, Team Lead, Policy Reviewer, Marketing AO, Admin Team UPP handler, NB TL, Processing, COG; data visible per segment / AO</t>
        </is>
      </c>
      <c r="E356" s="12" t="inlineStr">
        <is>
          <t>BRIDSP-28</t>
        </is>
      </c>
      <c r="F356" s="32" t="inlineStr">
        <is>
          <t>Open</t>
        </is>
      </c>
      <c r="G356" s="12" t="inlineStr"/>
      <c r="H356" s="12" t="inlineStr">
        <is>
          <t>OQ48</t>
        </is>
      </c>
      <c r="I356" s="12" t="inlineStr"/>
      <c r="J356" s="12" t="inlineStr">
        <is>
          <t>DCR-121</t>
        </is>
      </c>
    </row>
    <row r="357" ht="29.2" customHeight="1">
      <c r="A357" s="12" t="inlineStr">
        <is>
          <t>SP-SQ16</t>
        </is>
      </c>
      <c r="B357" s="12" t="inlineStr">
        <is>
          <t>BRD-12 SP</t>
        </is>
      </c>
      <c r="C357" s="12" t="inlineStr">
        <is>
          <t>Migration</t>
        </is>
      </c>
      <c r="D357" s="12" t="inlineStr">
        <is>
          <t>Files, volumes, legacy status values, reference IDs, cut-over date and whether history (reviews, letters) is migrated</t>
        </is>
      </c>
      <c r="E357" s="12" t="inlineStr">
        <is>
          <t>BRIDSP-33</t>
        </is>
      </c>
      <c r="F357" s="32" t="inlineStr">
        <is>
          <t>Open</t>
        </is>
      </c>
      <c r="G357" s="12" t="inlineStr"/>
      <c r="H357" s="12" t="inlineStr">
        <is>
          <t>CQ07</t>
        </is>
      </c>
      <c r="I357" s="12" t="inlineStr"/>
      <c r="J357" s="12" t="inlineStr">
        <is>
          <t>DCR-157, DCR-196</t>
        </is>
      </c>
    </row>
    <row r="358" ht="29.2" customHeight="1">
      <c r="A358" s="12" t="inlineStr">
        <is>
          <t>SP-SQ17</t>
        </is>
      </c>
      <c r="B358" s="12" t="inlineStr">
        <is>
          <t>BRD-12 SP</t>
        </is>
      </c>
      <c r="C358" s="12" t="inlineStr">
        <is>
          <t>Tags</t>
        </is>
      </c>
      <c r="D358" s="12" t="inlineStr">
        <is>
          <t>Meaning of "opportunity tag" and "conversion" in the policy review reports; who may override a rule-set tag</t>
        </is>
      </c>
      <c r="E358" s="12" t="inlineStr">
        <is>
          <t>BRIDSP-03, RL #133/#134</t>
        </is>
      </c>
      <c r="F358" s="32" t="inlineStr">
        <is>
          <t>Open</t>
        </is>
      </c>
      <c r="G358" s="12" t="inlineStr"/>
      <c r="H358" s="12" t="inlineStr"/>
      <c r="I358" s="12" t="inlineStr"/>
      <c r="J358" s="12" t="inlineStr"/>
    </row>
    <row r="359" ht="41.8" customHeight="1">
      <c r="A359" s="12" t="inlineStr">
        <is>
          <t>SP-SQ18</t>
        </is>
      </c>
      <c r="B359" s="12" t="inlineStr">
        <is>
          <t>BRD-12 SP</t>
        </is>
      </c>
      <c r="C359" s="12" t="inlineStr">
        <is>
          <t>Penetration</t>
        </is>
      </c>
      <c r="D359" s="12" t="inlineStr">
        <is>
          <t>Inputs (LFS Loan Booking Report detailed, IA masterlist), the channel rule (Branch, Dealer, Broker / Direct), the exemption box and the "Hold Cover with Gap" report</t>
        </is>
      </c>
      <c r="E359" s="12" t="inlineStr">
        <is>
          <t>RL #138</t>
        </is>
      </c>
      <c r="F359" s="32" t="inlineStr">
        <is>
          <t>Open</t>
        </is>
      </c>
      <c r="G359" s="12" t="inlineStr"/>
      <c r="H359" s="12" t="inlineStr"/>
      <c r="I359" s="12" t="inlineStr"/>
      <c r="J359" s="12" t="inlineStr"/>
    </row>
    <row r="360" ht="29.2" customHeight="1">
      <c r="A360" s="12" t="inlineStr">
        <is>
          <t>SP-SQ19</t>
        </is>
      </c>
      <c r="B360" s="12" t="inlineStr">
        <is>
          <t>BRD-12 SP</t>
        </is>
      </c>
      <c r="C360" s="12" t="inlineStr">
        <is>
          <t>Glossary</t>
        </is>
      </c>
      <c r="D360" s="12" t="inlineStr">
        <is>
          <t>Expansions of IAAF (given), TOR, RA, NRNS, NAL, SFU, RMEL, RMU, OPM, BDOFC, CARI, FFYMI, SPI, CIU, LAMD, COG, UPP</t>
        </is>
      </c>
      <c r="E360" s="12" t="inlineStr">
        <is>
          <t>whole BRD</t>
        </is>
      </c>
      <c r="F360" s="32" t="inlineStr">
        <is>
          <t>Open</t>
        </is>
      </c>
      <c r="G360" s="12" t="inlineStr"/>
      <c r="H360" s="12" t="inlineStr"/>
      <c r="I360" s="12" t="inlineStr"/>
      <c r="J360" s="12" t="inlineStr">
        <is>
          <t>DCR-160</t>
        </is>
      </c>
    </row>
    <row r="361" ht="29.2" customHeight="1">
      <c r="A361" s="12" t="inlineStr">
        <is>
          <t>SP-SQ20</t>
        </is>
      </c>
      <c r="B361" s="12" t="inlineStr">
        <is>
          <t>BRD-12 SP</t>
        </is>
      </c>
      <c r="C361" s="12" t="inlineStr">
        <is>
          <t>ISYS</t>
        </is>
      </c>
      <c r="D361" s="12" t="inlineStr">
        <is>
          <t>BIBS replaces the "ISYS reference" and the ARF: confirm that the BIBS ARN is the renewal reference and ISYS is not fed</t>
        </is>
      </c>
      <c r="E361" s="12" t="inlineStr">
        <is>
          <t>p.5</t>
        </is>
      </c>
      <c r="F361" s="32" t="inlineStr">
        <is>
          <t>Open</t>
        </is>
      </c>
      <c r="G361" s="12" t="inlineStr"/>
      <c r="H361" s="12" t="inlineStr">
        <is>
          <t>Q15</t>
        </is>
      </c>
      <c r="I361" s="12" t="inlineStr"/>
      <c r="J361" s="12" t="inlineStr">
        <is>
          <t>DCR-156</t>
        </is>
      </c>
    </row>
    <row r="362" ht="29.2" customHeight="1">
      <c r="A362" s="12" t="inlineStr">
        <is>
          <t>SP-SQ21</t>
        </is>
      </c>
      <c r="B362" s="12" t="inlineStr">
        <is>
          <t>BRD-12 SP</t>
        </is>
      </c>
      <c r="C362" s="12" t="inlineStr">
        <is>
          <t>NFR</t>
        </is>
      </c>
      <c r="D362" s="12" t="inlineStr">
        <is>
          <t>2 s response for all transactions vs BRD-1 10 s and Operations 5 s; user counts for CBG Fire, Non-CBG Retail and handling-fee users</t>
        </is>
      </c>
      <c r="E362" s="12" t="inlineStr">
        <is>
          <t>NFR</t>
        </is>
      </c>
      <c r="F362" s="32" t="inlineStr">
        <is>
          <t>Open</t>
        </is>
      </c>
      <c r="G362" s="12" t="inlineStr"/>
      <c r="H362" s="12" t="inlineStr">
        <is>
          <t>XQ08</t>
        </is>
      </c>
      <c r="I362" s="12" t="inlineStr"/>
      <c r="J362" s="12" t="inlineStr">
        <is>
          <t>DCR-127, DCR-137</t>
        </is>
      </c>
    </row>
    <row r="363" ht="16.6" customHeight="1">
      <c r="A363" s="12" t="inlineStr">
        <is>
          <t>SP-SQ22</t>
        </is>
      </c>
      <c r="B363" s="12" t="inlineStr">
        <is>
          <t>BRD-12 SP</t>
        </is>
      </c>
      <c r="C363" s="12" t="inlineStr">
        <is>
          <t>Retention</t>
        </is>
      </c>
      <c r="D363" s="12" t="inlineStr">
        <is>
          <t>5 years online + 5 years archive here vs 5 / 15 in BRD-1</t>
        </is>
      </c>
      <c r="E363" s="12" t="inlineStr">
        <is>
          <t>NFR</t>
        </is>
      </c>
      <c r="F363" s="32" t="inlineStr">
        <is>
          <t>Open</t>
        </is>
      </c>
      <c r="G363" s="12" t="inlineStr"/>
      <c r="H363" s="12" t="inlineStr">
        <is>
          <t>XQ08</t>
        </is>
      </c>
      <c r="I363" s="12" t="inlineStr"/>
      <c r="J363" s="12" t="inlineStr">
        <is>
          <t>DCR-136</t>
        </is>
      </c>
    </row>
    <row r="364" ht="29.2" customHeight="1">
      <c r="A364" s="12" t="inlineStr">
        <is>
          <t>SP-SQ23</t>
        </is>
      </c>
      <c r="B364" s="12" t="inlineStr">
        <is>
          <t>BRD-12 SP</t>
        </is>
      </c>
      <c r="C364" s="12" t="inlineStr">
        <is>
          <t>Non-CBG Retail</t>
        </is>
      </c>
      <c r="D364" s="12" t="inlineStr">
        <is>
          <t>Employee accounts: quotation by the MAO in BIBS quotation module; NRNS "to client (employee)" by e-mail</t>
        </is>
      </c>
      <c r="E364" s="12" t="inlineStr">
        <is>
          <t>p.5</t>
        </is>
      </c>
      <c r="F364" s="32" t="inlineStr">
        <is>
          <t>Open</t>
        </is>
      </c>
      <c r="G364" s="12" t="inlineStr"/>
      <c r="H364" s="12" t="inlineStr"/>
      <c r="I364" s="12" t="inlineStr"/>
      <c r="J364" s="12" t="inlineStr"/>
    </row>
    <row r="365" ht="29.2" customHeight="1">
      <c r="A365" s="12" t="inlineStr">
        <is>
          <t>SP-SQ24</t>
        </is>
      </c>
      <c r="B365" s="12" t="inlineStr">
        <is>
          <t>BRD-12 SP</t>
        </is>
      </c>
      <c r="C365" s="12" t="inlineStr">
        <is>
          <t>Policy review ageing</t>
        </is>
      </c>
      <c r="D365" s="12" t="inlineStr">
        <is>
          <t>Start and end events of the "aging from date of request from the bank to endorsement of BDOI"</t>
        </is>
      </c>
      <c r="E365" s="12" t="inlineStr">
        <is>
          <t>RL #134</t>
        </is>
      </c>
      <c r="F365" s="32" t="inlineStr">
        <is>
          <t>Open</t>
        </is>
      </c>
      <c r="G365" s="12" t="inlineStr"/>
      <c r="H365" s="12" t="inlineStr"/>
      <c r="I365" s="12" t="inlineStr"/>
      <c r="J365" s="12" t="inlineStr"/>
    </row>
    <row r="366" ht="41.8" customHeight="1">
      <c r="A366" s="12" t="inlineStr">
        <is>
          <t>SP-SQ25</t>
        </is>
      </c>
      <c r="B366" s="12" t="inlineStr">
        <is>
          <t>BRD-12 SP</t>
        </is>
      </c>
      <c r="C366" s="12" t="inlineStr">
        <is>
          <t>Report layouts</t>
        </is>
      </c>
      <c r="D366" s="12" t="inlineStr">
        <is>
          <t>Final fields of the rows marked "for editing" (Sanitation, fallout, Conversion summary) and of rows without fields (#152, #154, #155, #157-#162)</t>
        </is>
      </c>
      <c r="E366" s="12" t="inlineStr">
        <is>
          <t>BRIDSP-20</t>
        </is>
      </c>
      <c r="F366" s="32" t="inlineStr">
        <is>
          <t>Open</t>
        </is>
      </c>
      <c r="G366" s="12" t="inlineStr"/>
      <c r="H366" s="12" t="inlineStr">
        <is>
          <t>OQ42</t>
        </is>
      </c>
      <c r="I366" s="12" t="inlineStr"/>
      <c r="J366" s="12" t="inlineStr"/>
    </row>
    <row r="367" ht="41.8" customHeight="1">
      <c r="A367" s="12" t="inlineStr">
        <is>
          <t>DMQ01</t>
        </is>
      </c>
      <c r="B367" s="12" t="inlineStr">
        <is>
          <t>BRD-13 DM</t>
        </is>
      </c>
      <c r="C367" s="12" t="inlineStr">
        <is>
          <t>Data objects</t>
        </is>
      </c>
      <c r="D367" s="12" t="inlineStr">
        <is>
          <t>Confirm the data object inventory and the proposed class of each object (design section 2): which objects, in which source system, with which business owner and data steward. The BRD names no object list</t>
        </is>
      </c>
      <c r="E367" s="12" t="inlineStr">
        <is>
          <t>BRID 1.1a</t>
        </is>
      </c>
      <c r="F367" s="32" t="inlineStr">
        <is>
          <t>Open</t>
        </is>
      </c>
      <c r="G367" s="12" t="inlineStr"/>
      <c r="H367" s="12" t="inlineStr"/>
      <c r="I367" s="12" t="inlineStr"/>
      <c r="J367" s="12" t="inlineStr">
        <is>
          <t>DCR-192, DCR-195</t>
        </is>
      </c>
    </row>
    <row r="368" ht="67" customHeight="1">
      <c r="A368" s="12" t="inlineStr">
        <is>
          <t>DMQ02</t>
        </is>
      </c>
      <c r="B368" s="12" t="inlineStr">
        <is>
          <t>BRD-13 DM</t>
        </is>
      </c>
      <c r="C368" s="12" t="inlineStr">
        <is>
          <t>Decision gates</t>
        </is>
      </c>
      <c r="D368" s="12" t="inlineStr">
        <is>
          <t>How are the four criteria rated (Day-1 need, compliance need, read-only / archival option, data trust), who assigns them, who approves the decision, and what rule turns the ratings into Migrate / Carry-Forward / Archive / Excluded? The acceptance criterion is incomplete ("Then it data objects been actioned upon", p.7)</t>
        </is>
      </c>
      <c r="E368" s="12" t="inlineStr">
        <is>
          <t>BRID 1.1a</t>
        </is>
      </c>
      <c r="F368" s="32" t="inlineStr">
        <is>
          <t>Open</t>
        </is>
      </c>
      <c r="G368" s="12" t="inlineStr"/>
      <c r="H368" s="12" t="inlineStr"/>
      <c r="I368" s="12" t="inlineStr"/>
      <c r="J368" s="12" t="inlineStr">
        <is>
          <t>DCR-192</t>
        </is>
      </c>
    </row>
    <row r="369" ht="41.8" customHeight="1">
      <c r="A369" s="12" t="inlineStr">
        <is>
          <t>DMQ03</t>
        </is>
      </c>
      <c r="B369" s="12" t="inlineStr">
        <is>
          <t>BRD-13 DM</t>
        </is>
      </c>
      <c r="C369" s="12" t="inlineStr">
        <is>
          <t>Source systems</t>
        </is>
      </c>
      <c r="D369" s="12" t="inlineStr">
        <is>
          <t>Which legacy systems are in scope: EBIX, QPS (p.3), ISYS, Excel masterlists, the CMS, LOS / LAMD, others? Which is the system of record for each object when two hold it?</t>
        </is>
      </c>
      <c r="E369" s="12" t="inlineStr">
        <is>
          <t>p.3, BRID 1.1a</t>
        </is>
      </c>
      <c r="F369" s="32" t="inlineStr">
        <is>
          <t>Open</t>
        </is>
      </c>
      <c r="G369" s="12" t="inlineStr"/>
      <c r="H369" s="12" t="inlineStr"/>
      <c r="I369" s="12" t="inlineStr"/>
      <c r="J369" s="12" t="inlineStr">
        <is>
          <t>DCR-195</t>
        </is>
      </c>
    </row>
    <row r="370" ht="67" customHeight="1">
      <c r="A370" s="12" t="inlineStr">
        <is>
          <t>DMQ04</t>
        </is>
      </c>
      <c r="B370" s="12" t="inlineStr">
        <is>
          <t>BRD-13 DM</t>
        </is>
      </c>
      <c r="C370" s="12" t="inlineStr">
        <is>
          <t>Client dedupe</t>
        </is>
      </c>
      <c r="D370" s="12" t="inlineStr">
        <is>
          <t>What are the "agreed keys" (BRID 2.1)? BIBS blocks on TIN, ID type and number, and name with birth date, and warns on e-mail, mobile and corporate name; is the bank CIF a key? Survivorship rules when two legacy records merge (which system wins per field)? Who reviews doubtful matches and in what time?</t>
        </is>
      </c>
      <c r="E370" s="12" t="inlineStr">
        <is>
          <t>BRID 2.1, Q37</t>
        </is>
      </c>
      <c r="F370" s="32" t="inlineStr">
        <is>
          <t>Open</t>
        </is>
      </c>
      <c r="G370" s="12" t="inlineStr"/>
      <c r="H370" s="12" t="inlineStr"/>
      <c r="I370" s="12" t="inlineStr"/>
      <c r="J370" s="12" t="inlineStr"/>
    </row>
    <row r="371" ht="54.4" customHeight="1">
      <c r="A371" s="12" t="inlineStr">
        <is>
          <t>DMQ05</t>
        </is>
      </c>
      <c r="B371" s="12" t="inlineStr">
        <is>
          <t>BRD-13 DM</t>
        </is>
      </c>
      <c r="C371" s="12" t="inlineStr">
        <is>
          <t>Client scope</t>
        </is>
      </c>
      <c r="D371" s="12" t="inlineStr">
        <is>
          <t>The umbrella BRD says clients "2020 to present" (p.43). All clients since 2020, or only clients with an in-force policy, an open item or activity since a date? Are prospects migrated? Corporate contacts and addresses?</t>
        </is>
      </c>
      <c r="E371" s="12" t="inlineStr">
        <is>
          <t>BRID 2.1</t>
        </is>
      </c>
      <c r="F371" s="32" t="inlineStr">
        <is>
          <t>Open</t>
        </is>
      </c>
      <c r="G371" s="12" t="inlineStr"/>
      <c r="H371" s="12" t="inlineStr"/>
      <c r="I371" s="12" t="inlineStr">
        <is>
          <t>CRQ19</t>
        </is>
      </c>
      <c r="J371" s="12" t="inlineStr"/>
    </row>
    <row r="372" ht="41.8" customHeight="1">
      <c r="A372" s="12" t="inlineStr">
        <is>
          <t>DMQ06</t>
        </is>
      </c>
      <c r="B372" s="12" t="inlineStr">
        <is>
          <t>BRD-13 DM</t>
        </is>
      </c>
      <c r="C372" s="12" t="inlineStr">
        <is>
          <t>Screening</t>
        </is>
      </c>
      <c r="D372" s="12" t="inlineStr">
        <is>
          <t>Are migrated clients screened once after the load (full run) instead of one by one? Are legacy risk ratings and screening results migrated or recomputed?</t>
        </is>
      </c>
      <c r="E372" s="12" t="inlineStr">
        <is>
          <t>BRID 2.1, BRD-10</t>
        </is>
      </c>
      <c r="F372" s="32" t="inlineStr">
        <is>
          <t>Open</t>
        </is>
      </c>
      <c r="G372" s="12" t="inlineStr"/>
      <c r="H372" s="12" t="inlineStr"/>
      <c r="I372" s="12" t="inlineStr"/>
      <c r="J372" s="12" t="inlineStr">
        <is>
          <t>DCR-208</t>
        </is>
      </c>
    </row>
    <row r="373" ht="29.2" customHeight="1">
      <c r="A373" s="12" t="inlineStr">
        <is>
          <t>DMQ07</t>
        </is>
      </c>
      <c r="B373" s="12" t="inlineStr">
        <is>
          <t>BRD-13 DM</t>
        </is>
      </c>
      <c r="C373" s="12" t="inlineStr">
        <is>
          <t>KYC and client documents</t>
        </is>
      </c>
      <c r="D373" s="12" t="inlineStr">
        <is>
          <t>Are KYC documents and IDs migrated as attachments, or archived (BRID 11.1)? KYC status and review dates of migrated clients?</t>
        </is>
      </c>
      <c r="E373" s="12" t="inlineStr">
        <is>
          <t>BRID 2.1, 11.1</t>
        </is>
      </c>
      <c r="F373" s="32" t="inlineStr">
        <is>
          <t>Open</t>
        </is>
      </c>
      <c r="G373" s="12" t="inlineStr"/>
      <c r="H373" s="12" t="inlineStr"/>
      <c r="I373" s="12" t="inlineStr"/>
      <c r="J373" s="12" t="inlineStr"/>
    </row>
    <row r="374" ht="67" customHeight="1">
      <c r="A374" s="12" t="inlineStr">
        <is>
          <t>DMQ08</t>
        </is>
      </c>
      <c r="B374" s="12" t="inlineStr">
        <is>
          <t>BRD-13 DM</t>
        </is>
      </c>
      <c r="C374" s="12" t="inlineStr">
        <is>
          <t>Reference mapping</t>
        </is>
      </c>
      <c r="D374" s="12" t="inlineStr">
        <is>
          <t>Who owns each code map (LOV types, insurer, product / risk code, package, line, branch, sales unit, AO, MIS fields)? Which MIS fields are required (the umbrella BRD lists market segment, department, unit head, AO, region, area, branch, business origin, customer segment, p.40)? Who signs off each map version?</t>
        </is>
      </c>
      <c r="E374" s="12" t="inlineStr">
        <is>
          <t>BRID 3.1</t>
        </is>
      </c>
      <c r="F374" s="32" t="inlineStr">
        <is>
          <t>Open</t>
        </is>
      </c>
      <c r="G374" s="12" t="inlineStr"/>
      <c r="H374" s="12" t="inlineStr"/>
      <c r="I374" s="12" t="inlineStr"/>
      <c r="J374" s="12" t="inlineStr">
        <is>
          <t>DCR-241</t>
        </is>
      </c>
    </row>
    <row r="375" ht="67" customHeight="1">
      <c r="A375" s="12" t="inlineStr">
        <is>
          <t>DMQ09</t>
        </is>
      </c>
      <c r="B375" s="12" t="inlineStr">
        <is>
          <t>BRD-13 DM</t>
        </is>
      </c>
      <c r="C375" s="12" t="inlineStr">
        <is>
          <t>In-force header</t>
        </is>
      </c>
      <c r="D375" s="12" t="inlineStr">
        <is>
          <t>What is the condition of the header migration: all in-force policies, only those with open legacy invoices, only those that may be endorsed or claimed? Which "key header details" beyond status, key dates, insurer and line of business (policy no., sum insured, premium, AO, PN, mortgagee, DP flag, insurer shares)?</t>
        </is>
      </c>
      <c r="E375" s="12" t="inlineStr">
        <is>
          <t>BRID 4.1, 9.x</t>
        </is>
      </c>
      <c r="F375" s="32" t="inlineStr">
        <is>
          <t>Open</t>
        </is>
      </c>
      <c r="G375" s="12" t="inlineStr"/>
      <c r="H375" s="12" t="inlineStr"/>
      <c r="I375" s="12" t="inlineStr"/>
      <c r="J375" s="12" t="inlineStr">
        <is>
          <t>DCR-194</t>
        </is>
      </c>
    </row>
    <row r="376" ht="54.4" customHeight="1">
      <c r="A376" s="12" t="inlineStr">
        <is>
          <t>DMQ10</t>
        </is>
      </c>
      <c r="B376" s="12" t="inlineStr">
        <is>
          <t>BRD-13 DM</t>
        </is>
      </c>
      <c r="C376" s="12" t="inlineStr">
        <is>
          <t>Legacy invoice scope</t>
        </is>
      </c>
      <c r="D376" s="12" t="inlineStr">
        <is>
          <t>Which invoices are carried forward: open PR, paid but not remitted (DTIP open), open commission receivable, open PR2307? Are fully paid and remitted invoices of in-force policies carried as zero-balance legacy invoices so they can be endorsed? Historic depth?</t>
        </is>
      </c>
      <c r="E376" s="12" t="inlineStr">
        <is>
          <t>BRID 5-9</t>
        </is>
      </c>
      <c r="F376" s="32" t="inlineStr">
        <is>
          <t>Open</t>
        </is>
      </c>
      <c r="G376" s="12" t="inlineStr"/>
      <c r="H376" s="12" t="inlineStr"/>
      <c r="I376" s="12" t="inlineStr"/>
      <c r="J376" s="12" t="inlineStr"/>
    </row>
    <row r="377" ht="41.8" customHeight="1">
      <c r="A377" s="12" t="inlineStr">
        <is>
          <t>DMQ11</t>
        </is>
      </c>
      <c r="B377" s="12" t="inlineStr">
        <is>
          <t>BRD-13 DM</t>
        </is>
      </c>
      <c r="C377" s="12" t="inlineStr">
        <is>
          <t>Invoice numbers</t>
        </is>
      </c>
      <c r="D377" s="12" t="inlineStr">
        <is>
          <t>Are EBIX and QPS invoice numbers unique across both systems? QPS invoice format? The legacy number is kept as the BIBS invoice number of the legacy invoice unless it collides</t>
        </is>
      </c>
      <c r="E377" s="12" t="inlineStr">
        <is>
          <t>BRID 6.1, 6.2, CQ13</t>
        </is>
      </c>
      <c r="F377" s="32" t="inlineStr">
        <is>
          <t>Open</t>
        </is>
      </c>
      <c r="G377" s="12" t="inlineStr"/>
      <c r="H377" s="12" t="inlineStr"/>
      <c r="I377" s="12" t="inlineStr"/>
      <c r="J377" s="12" t="inlineStr">
        <is>
          <t>DCR-207</t>
        </is>
      </c>
    </row>
    <row r="378" ht="54.4" customHeight="1">
      <c r="A378" s="12" t="inlineStr">
        <is>
          <t>DMQ12</t>
        </is>
      </c>
      <c r="B378" s="12" t="inlineStr">
        <is>
          <t>BRD-13 DM</t>
        </is>
      </c>
      <c r="C378" s="12" t="inlineStr">
        <is>
          <t>Components</t>
        </is>
      </c>
      <c r="D378" s="12" t="inlineStr">
        <is>
          <t>Can the legacy extract give open balances per component (basic, DST, premium tax / VAT, LGT, FST, other charges, DTIP, commission, VAT on commission, WTAX, PR2307) and per insurer share? If not, which split rule applies?</t>
        </is>
      </c>
      <c r="E378" s="12" t="inlineStr">
        <is>
          <t>BRID 5-8</t>
        </is>
      </c>
      <c r="F378" s="32" t="inlineStr">
        <is>
          <t>Open</t>
        </is>
      </c>
      <c r="G378" s="12" t="inlineStr"/>
      <c r="H378" s="12" t="inlineStr"/>
      <c r="I378" s="12" t="inlineStr"/>
      <c r="J378" s="12" t="inlineStr">
        <is>
          <t>DCR-207</t>
        </is>
      </c>
    </row>
    <row r="379" ht="54.4" customHeight="1">
      <c r="A379" s="12" t="inlineStr">
        <is>
          <t>DMQ13</t>
        </is>
      </c>
      <c r="B379" s="12" t="inlineStr">
        <is>
          <t>BRD-13 DM</t>
        </is>
      </c>
      <c r="C379" s="12" t="inlineStr">
        <is>
          <t>Commission state</t>
        </is>
      </c>
      <c r="D379" s="12" t="inlineStr">
        <is>
          <t>For each legacy invoice: commission realised or unrealised, deferred output VAT, and commission collected by remittance before cutover (needed for the opening entries and for commission realisation on later collections)</t>
        </is>
      </c>
      <c r="E379" s="12" t="inlineStr">
        <is>
          <t>BRID 5.2, 8.1</t>
        </is>
      </c>
      <c r="F379" s="32" t="inlineStr">
        <is>
          <t>Open</t>
        </is>
      </c>
      <c r="G379" s="12" t="inlineStr"/>
      <c r="H379" s="12" t="inlineStr"/>
      <c r="I379" s="12" t="inlineStr"/>
      <c r="J379" s="12" t="inlineStr"/>
    </row>
    <row r="380" ht="67" customHeight="1">
      <c r="A380" s="12" t="inlineStr">
        <is>
          <t>DMQ14</t>
        </is>
      </c>
      <c r="B380" s="12" t="inlineStr">
        <is>
          <t>BRD-13 DM</t>
        </is>
      </c>
      <c r="C380" s="12" t="inlineStr">
        <is>
          <t>UPP receipt</t>
        </is>
      </c>
      <c r="D380" s="12" t="inlineStr">
        <is>
          <t>BRID 5.1 says the system "can issue acknowledgment receipt" for a migrated UPP. The cash was acknowledged in legacy with an AR: must BIBS issue a new AR, reprint the legacy AR number, or issue nothing until application? Which UPP statuses and dispositions in progress exist, and how do they map?</t>
        </is>
      </c>
      <c r="E380" s="12" t="inlineStr">
        <is>
          <t>BRID 5.1</t>
        </is>
      </c>
      <c r="F380" s="32" t="inlineStr">
        <is>
          <t>Open</t>
        </is>
      </c>
      <c r="G380" s="12" t="inlineStr"/>
      <c r="H380" s="12" t="inlineStr"/>
      <c r="I380" s="12" t="inlineStr"/>
      <c r="J380" s="12" t="inlineStr">
        <is>
          <t>DCR-204</t>
        </is>
      </c>
    </row>
    <row r="381" ht="41.8" customHeight="1">
      <c r="A381" s="12" t="inlineStr">
        <is>
          <t>DMQ15</t>
        </is>
      </c>
      <c r="B381" s="12" t="inlineStr">
        <is>
          <t>BRD-13 DM</t>
        </is>
      </c>
      <c r="C381" s="12" t="inlineStr">
        <is>
          <t>UPP matching</t>
        </is>
      </c>
      <c r="D381" s="12" t="inlineStr">
        <is>
          <t>Which references does legacy hold per UPP (invoice no., cover no., PN, payor, bank reference) for the automatch rerun? How often does the rerun run after cutover (with every payment upload, hourly, daily)?</t>
        </is>
      </c>
      <c r="E381" s="12" t="inlineStr">
        <is>
          <t>BRID 5.2, 6.3</t>
        </is>
      </c>
      <c r="F381" s="32" t="inlineStr">
        <is>
          <t>Open</t>
        </is>
      </c>
      <c r="G381" s="12" t="inlineStr"/>
      <c r="H381" s="12" t="inlineStr"/>
      <c r="I381" s="12" t="inlineStr"/>
      <c r="J381" s="12" t="inlineStr"/>
    </row>
    <row r="382" ht="54.4" customHeight="1">
      <c r="A382" s="12" t="inlineStr">
        <is>
          <t>DMQ16</t>
        </is>
      </c>
      <c r="B382" s="12" t="inlineStr">
        <is>
          <t>BRD-13 DM</t>
        </is>
      </c>
      <c r="C382" s="12" t="inlineStr">
        <is>
          <t>Reclass to income</t>
        </is>
      </c>
      <c r="D382" s="12" t="inlineStr">
        <is>
          <t>Who is "top management" (role, names, delegation)? Criteria for reclassifying UPP to other income (age, amount, client not found, unclaimed), batch frequency, GL account, customer notification, reversal if the client later claims the money</t>
        </is>
      </c>
      <c r="E382" s="12" t="inlineStr">
        <is>
          <t>BRID 5.5</t>
        </is>
      </c>
      <c r="F382" s="32" t="inlineStr">
        <is>
          <t>Open</t>
        </is>
      </c>
      <c r="G382" s="12" t="inlineStr"/>
      <c r="H382" s="12" t="inlineStr"/>
      <c r="I382" s="12" t="inlineStr"/>
      <c r="J382" s="12" t="inlineStr">
        <is>
          <t>DCR-198, DCR-205</t>
        </is>
      </c>
    </row>
    <row r="383" ht="29.2" customHeight="1">
      <c r="A383" s="12" t="inlineStr">
        <is>
          <t>DMQ17</t>
        </is>
      </c>
      <c r="B383" s="12" t="inlineStr">
        <is>
          <t>BRD-13 DM</t>
        </is>
      </c>
      <c r="C383" s="12" t="inlineStr">
        <is>
          <t>Refund</t>
        </is>
      </c>
      <c r="D383" s="12" t="inlineStr">
        <is>
          <t>Same approvers and Disbursement flow for legacy UPP refunds as for new UPP refunds?</t>
        </is>
      </c>
      <c r="E383" s="12" t="inlineStr">
        <is>
          <t>BRID 5.4</t>
        </is>
      </c>
      <c r="F383" s="32" t="inlineStr">
        <is>
          <t>Open</t>
        </is>
      </c>
      <c r="G383" s="12" t="inlineStr"/>
      <c r="H383" s="12" t="inlineStr"/>
      <c r="I383" s="12" t="inlineStr"/>
      <c r="J383" s="12" t="inlineStr"/>
    </row>
    <row r="384" ht="79.59999999999999" customHeight="1">
      <c r="A384" s="12" t="inlineStr">
        <is>
          <t>DMQ18</t>
        </is>
      </c>
      <c r="B384" s="12" t="inlineStr">
        <is>
          <t>BRD-13 DM</t>
        </is>
      </c>
      <c r="C384" s="12" t="inlineStr">
        <is>
          <t>Legacy sub-ledgers and GL</t>
        </is>
      </c>
      <c r="D384" s="12" t="inlineStr">
        <is>
          <t>Are legacy Premium Receivable, Commission Receivable, DTIP and UPP separate GL control accounts (the design proposes separate legacy control accounts plus a migration clearing account), and PR2307, unrealised commission and deferred VAT too? What is the end state when run-off completes (legacy accounts closed or merged)? Is the whole GL opening trial balance migrated at cutover, per branch and currency?</t>
        </is>
      </c>
      <c r="E384" s="12" t="inlineStr">
        <is>
          <t>BRID 5-8, AQ01</t>
        </is>
      </c>
      <c r="F384" s="32" t="inlineStr">
        <is>
          <t>Open</t>
        </is>
      </c>
      <c r="G384" s="12" t="inlineStr"/>
      <c r="H384" s="12" t="inlineStr">
        <is>
          <t>OQ07</t>
        </is>
      </c>
      <c r="I384" s="12" t="inlineStr"/>
      <c r="J384" s="12" t="inlineStr">
        <is>
          <t>DCR-197, DCR-217, DCR-242</t>
        </is>
      </c>
    </row>
    <row r="385" ht="67" customHeight="1">
      <c r="A385" s="12" t="inlineStr">
        <is>
          <t>DMQ19</t>
        </is>
      </c>
      <c r="B385" s="12" t="inlineStr">
        <is>
          <t>BRD-13 DM</t>
        </is>
      </c>
      <c r="C385" s="12" t="inlineStr">
        <is>
          <t>DPPR</t>
        </is>
      </c>
      <c r="D385" s="12" t="inlineStr">
        <is>
          <t>Definition of a "DPPR legacy invoice" (direct-payment premium receivable?), the entries of its reversal including the Commission Receivable effect, the source of the "list approved for reversal" (Collections DP PR for Reversal report, Comptrollership list) and who approves the batch</t>
        </is>
      </c>
      <c r="E385" s="12" t="inlineStr">
        <is>
          <t>BRID 7.1</t>
        </is>
      </c>
      <c r="F385" s="32" t="inlineStr">
        <is>
          <t>Open</t>
        </is>
      </c>
      <c r="G385" s="12" t="inlineStr"/>
      <c r="H385" s="12" t="inlineStr"/>
      <c r="I385" s="12" t="inlineStr"/>
      <c r="J385" s="12" t="inlineStr">
        <is>
          <t>DCR-198, DCR-206</t>
        </is>
      </c>
    </row>
    <row r="386" ht="29.2" customHeight="1">
      <c r="A386" s="12" t="inlineStr">
        <is>
          <t>DMQ20</t>
        </is>
      </c>
      <c r="B386" s="12" t="inlineStr">
        <is>
          <t>BRD-13 DM</t>
        </is>
      </c>
      <c r="C386" s="12" t="inlineStr">
        <is>
          <t>PR2307</t>
        </is>
      </c>
      <c r="D386" s="12" t="inlineStr">
        <is>
          <t>Entries of the PR2307 legacy reversal (DTIP offset, Commission Receivable effect), evidence required (certificate), approver of the batch</t>
        </is>
      </c>
      <c r="E386" s="12" t="inlineStr">
        <is>
          <t>BRID 7.2</t>
        </is>
      </c>
      <c r="F386" s="32" t="inlineStr">
        <is>
          <t>Open</t>
        </is>
      </c>
      <c r="G386" s="12" t="inlineStr"/>
      <c r="H386" s="12" t="inlineStr"/>
      <c r="I386" s="12" t="inlineStr"/>
      <c r="J386" s="12" t="inlineStr">
        <is>
          <t>DCR-206</t>
        </is>
      </c>
    </row>
    <row r="387" ht="41.8" customHeight="1">
      <c r="A387" s="12" t="inlineStr">
        <is>
          <t>DMQ21</t>
        </is>
      </c>
      <c r="B387" s="12" t="inlineStr">
        <is>
          <t>BRD-13 DM</t>
        </is>
      </c>
      <c r="C387" s="12" t="inlineStr">
        <is>
          <t>Remittance positions</t>
        </is>
      </c>
      <c r="D387" s="12" t="inlineStr">
        <is>
          <t>Remittance batches in process, holds and special remittances at cutover: completed in legacy before the freeze, or carried into BIBS? Insurer ORs not yet received for remitted legacy batches?</t>
        </is>
      </c>
      <c r="E387" s="12" t="inlineStr">
        <is>
          <t>BRID 8.1</t>
        </is>
      </c>
      <c r="F387" s="32" t="inlineStr">
        <is>
          <t>Open</t>
        </is>
      </c>
      <c r="G387" s="12" t="inlineStr"/>
      <c r="H387" s="12" t="inlineStr"/>
      <c r="I387" s="12" t="inlineStr"/>
      <c r="J387" s="12" t="inlineStr"/>
    </row>
    <row r="388" ht="67" customHeight="1">
      <c r="A388" s="12" t="inlineStr">
        <is>
          <t>DMQ22</t>
        </is>
      </c>
      <c r="B388" s="12" t="inlineStr">
        <is>
          <t>BRD-13 DM</t>
        </is>
      </c>
      <c r="C388" s="12" t="inlineStr">
        <is>
          <t>Coexistence decision</t>
        </is>
      </c>
      <c r="D388" s="12" t="inlineStr">
        <is>
          <t>Capability 9 is "subject to coexistence decision" (p.6): confirm that endorsements of legacy invoices are processed in BIBS (not in legacy) from cutover, which endorsement types, how service invoices are numbered for them, and that the renewal of an endorsed legacy policy uses the BIBS values</t>
        </is>
      </c>
      <c r="E388" s="12" t="inlineStr">
        <is>
          <t>BRID 9.1-9.3</t>
        </is>
      </c>
      <c r="F388" s="32" t="inlineStr">
        <is>
          <t>Open</t>
        </is>
      </c>
      <c r="G388" s="12" t="inlineStr"/>
      <c r="H388" s="12" t="inlineStr"/>
      <c r="I388" s="12" t="inlineStr"/>
      <c r="J388" s="12" t="inlineStr">
        <is>
          <t>DCR-194</t>
        </is>
      </c>
    </row>
    <row r="389" ht="41.8" customHeight="1">
      <c r="A389" s="12" t="inlineStr">
        <is>
          <t>DMQ23</t>
        </is>
      </c>
      <c r="B389" s="12" t="inlineStr">
        <is>
          <t>BRD-13 DM</t>
        </is>
      </c>
      <c r="C389" s="12" t="inlineStr">
        <is>
          <t>Legacy change report</t>
        </is>
      </c>
      <c r="D389" s="12" t="inlineStr">
        <is>
          <t>Which changes count as "changes made to legacy invoices" (endorsements, corrections, reversals, write-offs, non-financial changes, payments, remittances)? Fields, period, frequency and recipients of the report</t>
        </is>
      </c>
      <c r="E389" s="12" t="inlineStr">
        <is>
          <t>BRID 10.1</t>
        </is>
      </c>
      <c r="F389" s="32" t="inlineStr">
        <is>
          <t>Open</t>
        </is>
      </c>
      <c r="G389" s="12" t="inlineStr"/>
      <c r="H389" s="12" t="inlineStr"/>
      <c r="I389" s="12" t="inlineStr"/>
      <c r="J389" s="12" t="inlineStr"/>
    </row>
    <row r="390" ht="54.4" customHeight="1">
      <c r="A390" s="12" t="inlineStr">
        <is>
          <t>DMQ24</t>
        </is>
      </c>
      <c r="B390" s="12" t="inlineStr">
        <is>
          <t>BRD-13 DM</t>
        </is>
      </c>
      <c r="C390" s="12" t="inlineStr">
        <is>
          <t>Read-only vs archive</t>
        </is>
      </c>
      <c r="D390" s="12" t="inlineStr">
        <is>
          <t>For each legacy system: kept read-only (how long, hosted by whom, with what access logging) or archived into BIBS before decommissioning? Record types and documents to archive, search keys, who may search, who reviews the access log, retention period</t>
        </is>
      </c>
      <c r="E390" s="12" t="inlineStr">
        <is>
          <t>BRID 11.1</t>
        </is>
      </c>
      <c r="F390" s="32" t="inlineStr">
        <is>
          <t>Open</t>
        </is>
      </c>
      <c r="G390" s="12" t="inlineStr"/>
      <c r="H390" s="12" t="inlineStr"/>
      <c r="I390" s="12" t="inlineStr"/>
      <c r="J390" s="12" t="inlineStr">
        <is>
          <t>DCR-209</t>
        </is>
      </c>
    </row>
    <row r="391" ht="79.59999999999999" customHeight="1">
      <c r="A391" s="12" t="inlineStr">
        <is>
          <t>DMQ25</t>
        </is>
      </c>
      <c r="B391" s="12" t="inlineStr">
        <is>
          <t>BRD-13 DM</t>
        </is>
      </c>
      <c r="C391" s="12" t="inlineStr">
        <is>
          <t>Cutover date and window</t>
        </is>
      </c>
      <c r="D391" s="12" t="inlineStr">
        <is>
          <t>Go-live date and month; business freeze length; last legacy EOD; month-end alignment (cut over after a legacy month-end close so the GL trial balance is final?); blackout dates (15th / 30th peaks, year-end). Partly answered by the BDOI timeline (26-Sep-2026): go-live month January 2028, full migration and cut-over Nov 2027-Jan 2028. Still open: the exact date (proposed Monday 3 January 2028) and the window (DMQ39)</t>
        </is>
      </c>
      <c r="E391" s="12" t="inlineStr">
        <is>
          <t>BRID 12.1</t>
        </is>
      </c>
      <c r="F391" s="32" t="inlineStr">
        <is>
          <t>Partially answered</t>
        </is>
      </c>
      <c r="G391" s="12" t="inlineStr">
        <is>
          <t>Go-live of all modules together in January 2028; full migration and cut-over Nov 2027 - Jan 2028. Proposed T Monday 3 January 2028 after the legacy year-end close; freeze, window and year-end handling open (DMQ39, DCR-242). (BDOI timeline and answer A1 (26-Sep-2026))</t>
        </is>
      </c>
      <c r="H391" s="12" t="inlineStr"/>
      <c r="I391" s="12" t="inlineStr"/>
      <c r="J391" s="12" t="inlineStr">
        <is>
          <t>DCR-200, DCR-217, DCR-242</t>
        </is>
      </c>
    </row>
    <row r="392" ht="142.6" customHeight="1">
      <c r="A392" s="12" t="inlineStr">
        <is>
          <t>DMQ26</t>
        </is>
      </c>
      <c r="B392" s="12" t="inlineStr">
        <is>
          <t>BRD-13 DM</t>
        </is>
      </c>
      <c r="C392" s="12" t="inlineStr">
        <is>
          <t>RMEL transition</t>
        </is>
      </c>
      <c r="D392" s="12" t="inlineStr">
        <is>
          <t>At go-live the RMEL of the next months has already been extracted in legacy (BIBS extracts 140 days before expiry). Are those cohorts carried into BIBS in their current disposition, or finished in legacy? Which is the first cohort extracted by BIBS? Do legacy renewals take the new-business path (no BIBS rating data) or "renew as is" from the header? Partly answered: the cohorts concerned are the January-May 2028 expiries. The concept paper (06-Sep-2026) would have processed them in BIBS from August 2027; BDOI superseded it on 26-Sep-2026 (single go-live), so they are prepared in legacy or in BIBS after go-live (DMQ37). The first cohort extracted by BIBS from the migrated headers is expiry T + 141 days (23-May-2028 for T = 3-Jan-2028)</t>
        </is>
      </c>
      <c r="E392" s="12" t="inlineStr">
        <is>
          <t>BRID 12.1, RQ27</t>
        </is>
      </c>
      <c r="F392" s="32" t="inlineStr">
        <is>
          <t>Answered</t>
        </is>
      </c>
      <c r="G392" s="12" t="inlineStr">
        <is>
          <t>No carried cohorts: January-May 2028 expiries are processed in BIBS after go-live from a go-live extraction of every expiry up to 31-May-2028, January expiries flagged urgent; RAs already sent manually before go-live are recorded as sent. (BDOI answer 26-Sep-2026 (DMQ37))</t>
        </is>
      </c>
      <c r="H392" s="12" t="inlineStr">
        <is>
          <t>CQ07</t>
        </is>
      </c>
      <c r="I392" s="12" t="inlineStr"/>
      <c r="J392" s="12" t="inlineStr">
        <is>
          <t>DCR-199, DCR-219, DCR-220, DCR-240</t>
        </is>
      </c>
    </row>
    <row r="393" ht="41.8" customHeight="1">
      <c r="A393" s="12" t="inlineStr">
        <is>
          <t>DMQ27</t>
        </is>
      </c>
      <c r="B393" s="12" t="inlineStr">
        <is>
          <t>BRD-13 DM</t>
        </is>
      </c>
      <c r="C393" s="12" t="inlineStr">
        <is>
          <t>Decommissioning</t>
        </is>
      </c>
      <c r="D393" s="12" t="inlineStr">
        <is>
          <t>Criteria and owner for decommissioning each legacy system (legacy sub-ledgers at zero, last expiry passed, claims tail, archive verified, audit sign-off) and the retention of the legacy database itself</t>
        </is>
      </c>
      <c r="E393" s="12" t="inlineStr">
        <is>
          <t>BRID 12.1</t>
        </is>
      </c>
      <c r="F393" s="32" t="inlineStr">
        <is>
          <t>Open</t>
        </is>
      </c>
      <c r="G393" s="12" t="inlineStr"/>
      <c r="H393" s="12" t="inlineStr"/>
      <c r="I393" s="12" t="inlineStr"/>
      <c r="J393" s="12" t="inlineStr">
        <is>
          <t>DCR-209</t>
        </is>
      </c>
    </row>
    <row r="394" ht="41.8" customHeight="1">
      <c r="A394" s="12" t="inlineStr">
        <is>
          <t>DMQ28</t>
        </is>
      </c>
      <c r="B394" s="12" t="inlineStr">
        <is>
          <t>BRD-13 DM</t>
        </is>
      </c>
      <c r="C394" s="12" t="inlineStr">
        <is>
          <t>Volumes and quality</t>
        </is>
      </c>
      <c r="D394" s="12" t="inlineStr">
        <is>
          <t>Row counts per object and source, growth until go-live, known data-quality issues, historic depth, and the extract owner and frequency of delta extracts</t>
        </is>
      </c>
      <c r="E394" s="12" t="inlineStr">
        <is>
          <t>NFR, BRID 1.1b</t>
        </is>
      </c>
      <c r="F394" s="32" t="inlineStr">
        <is>
          <t>Open</t>
        </is>
      </c>
      <c r="G394" s="12" t="inlineStr"/>
      <c r="H394" s="12" t="inlineStr"/>
      <c r="I394" s="12" t="inlineStr"/>
      <c r="J394" s="12" t="inlineStr">
        <is>
          <t>DCR-193</t>
        </is>
      </c>
    </row>
    <row r="395" ht="41.8" customHeight="1">
      <c r="A395" s="12" t="inlineStr">
        <is>
          <t>DMQ29</t>
        </is>
      </c>
      <c r="B395" s="12" t="inlineStr">
        <is>
          <t>BRD-13 DM</t>
        </is>
      </c>
      <c r="C395" s="12" t="inlineStr">
        <is>
          <t>NFR</t>
        </is>
      </c>
      <c r="D395" s="12" t="inlineStr">
        <is>
          <t>Name, version and owner of the "consolidated NFR requirements" (p.13-14); migration-specific values: cutover window, load time, retention of migration evidence</t>
        </is>
      </c>
      <c r="E395" s="12" t="inlineStr">
        <is>
          <t>NFR, XQ08</t>
        </is>
      </c>
      <c r="F395" s="32" t="inlineStr">
        <is>
          <t>Open</t>
        </is>
      </c>
      <c r="G395" s="12" t="inlineStr"/>
      <c r="H395" s="12" t="inlineStr">
        <is>
          <t>XQ08</t>
        </is>
      </c>
      <c r="I395" s="12" t="inlineStr"/>
      <c r="J395" s="12" t="inlineStr">
        <is>
          <t>DCR-193</t>
        </is>
      </c>
    </row>
    <row r="396" ht="54.4" customHeight="1">
      <c r="A396" s="12" t="inlineStr">
        <is>
          <t>DMQ30</t>
        </is>
      </c>
      <c r="B396" s="12" t="inlineStr">
        <is>
          <t>BRD-13 DM</t>
        </is>
      </c>
      <c r="C396" s="12" t="inlineStr">
        <is>
          <t>Objects not in the BRD</t>
        </is>
      </c>
      <c r="D396" s="12" t="inlineStr">
        <is>
          <t>Are open claims (CLQ14), Employee Benefits programmes, the Excel submitted-policy masterlists (SP SQ16), payees (AQ11), open disbursements and check pick-ups, PDCs on hand, users and roles in scope of this migration?</t>
        </is>
      </c>
      <c r="E396" s="12" t="inlineStr">
        <is>
          <t>BRID 1.1a</t>
        </is>
      </c>
      <c r="F396" s="32" t="inlineStr">
        <is>
          <t>Open</t>
        </is>
      </c>
      <c r="G396" s="12" t="inlineStr"/>
      <c r="H396" s="12" t="inlineStr">
        <is>
          <t>CQ07</t>
        </is>
      </c>
      <c r="I396" s="12" t="inlineStr"/>
      <c r="J396" s="12" t="inlineStr">
        <is>
          <t>DCR-196</t>
        </is>
      </c>
    </row>
    <row r="397" ht="29.2" customHeight="1">
      <c r="A397" s="12" t="inlineStr">
        <is>
          <t>DMQ31</t>
        </is>
      </c>
      <c r="B397" s="12" t="inlineStr">
        <is>
          <t>BRD-13 DM</t>
        </is>
      </c>
      <c r="C397" s="12" t="inlineStr">
        <is>
          <t>Rehearsals and test data</t>
        </is>
      </c>
      <c r="D397" s="12" t="inlineStr">
        <is>
          <t>Number of mock runs and the dress rehearsal; may masked production extracts be used in SIT / UAT; who masks and who approves the use</t>
        </is>
      </c>
      <c r="E397" s="12" t="inlineStr">
        <is>
          <t>BRID 12.1, hosting appendix</t>
        </is>
      </c>
      <c r="F397" s="32" t="inlineStr">
        <is>
          <t>Open</t>
        </is>
      </c>
      <c r="G397" s="12" t="inlineStr"/>
      <c r="H397" s="12" t="inlineStr"/>
      <c r="I397" s="12" t="inlineStr"/>
      <c r="J397" s="12" t="inlineStr">
        <is>
          <t>DCR-200</t>
        </is>
      </c>
    </row>
    <row r="398" ht="29.2" customHeight="1">
      <c r="A398" s="12" t="inlineStr">
        <is>
          <t>DMQ32</t>
        </is>
      </c>
      <c r="B398" s="12" t="inlineStr">
        <is>
          <t>BRD-13 DM</t>
        </is>
      </c>
      <c r="C398" s="12" t="inlineStr">
        <is>
          <t>Fallback</t>
        </is>
      </c>
      <c r="D398" s="12" t="inlineStr">
        <is>
          <t>Point of no return; fallback to legacy after go-live (within which window, with re-keying of BIBS transactions); who decides</t>
        </is>
      </c>
      <c r="E398" s="12" t="inlineStr">
        <is>
          <t>BRID 12.1</t>
        </is>
      </c>
      <c r="F398" s="32" t="inlineStr">
        <is>
          <t>Open</t>
        </is>
      </c>
      <c r="G398" s="12" t="inlineStr"/>
      <c r="H398" s="12" t="inlineStr"/>
      <c r="I398" s="12" t="inlineStr"/>
      <c r="J398" s="12" t="inlineStr">
        <is>
          <t>DCR-200</t>
        </is>
      </c>
    </row>
    <row r="399" ht="41.8" customHeight="1">
      <c r="A399" s="12" t="inlineStr">
        <is>
          <t>DMQ33</t>
        </is>
      </c>
      <c r="B399" s="12" t="inlineStr">
        <is>
          <t>BRD-13 DM</t>
        </is>
      </c>
      <c r="C399" s="12" t="inlineStr">
        <is>
          <t>In-flight items</t>
        </is>
      </c>
      <c r="D399" s="12" t="inlineStr">
        <is>
          <t>Pending endorsements, un-booked accounts, placements in process, PDCs, check pick-ups and refunds in process in legacy at the freeze: completed before the freeze, carried forward or re-keyed?</t>
        </is>
      </c>
      <c r="E399" s="12" t="inlineStr">
        <is>
          <t>BRID 1.1a, 12.1</t>
        </is>
      </c>
      <c r="F399" s="32" t="inlineStr">
        <is>
          <t>Open</t>
        </is>
      </c>
      <c r="G399" s="12" t="inlineStr"/>
      <c r="H399" s="12" t="inlineStr"/>
      <c r="I399" s="12" t="inlineStr"/>
      <c r="J399" s="12" t="inlineStr">
        <is>
          <t>DCR-200, DCR-243</t>
        </is>
      </c>
    </row>
    <row r="400" ht="29.2" customHeight="1">
      <c r="A400" s="12" t="inlineStr">
        <is>
          <t>DMQ34</t>
        </is>
      </c>
      <c r="B400" s="12" t="inlineStr">
        <is>
          <t>BRD-13 DM</t>
        </is>
      </c>
      <c r="C400" s="12" t="inlineStr">
        <is>
          <t>Collection history</t>
        </is>
      </c>
      <c r="D400" s="12" t="inlineStr">
        <is>
          <t>Carry open dispositions, promises to pay, installment plans and collector assignments of legacy invoices (CQ07)?</t>
        </is>
      </c>
      <c r="E400" s="12" t="inlineStr">
        <is>
          <t>BRID 5, CQ07</t>
        </is>
      </c>
      <c r="F400" s="32" t="inlineStr">
        <is>
          <t>Open</t>
        </is>
      </c>
      <c r="G400" s="12" t="inlineStr"/>
      <c r="H400" s="12" t="inlineStr">
        <is>
          <t>CQ07</t>
        </is>
      </c>
      <c r="I400" s="12" t="inlineStr"/>
      <c r="J400" s="12" t="inlineStr">
        <is>
          <t>DCR-203</t>
        </is>
      </c>
    </row>
    <row r="401" ht="41.8" customHeight="1">
      <c r="A401" s="12" t="inlineStr">
        <is>
          <t>DMQ35</t>
        </is>
      </c>
      <c r="B401" s="12" t="inlineStr">
        <is>
          <t>BRD-13 DM</t>
        </is>
      </c>
      <c r="C401" s="12" t="inlineStr">
        <is>
          <t>Foreign currency</t>
        </is>
      </c>
      <c r="D401" s="12" t="inlineStr">
        <is>
          <t>USD legacy invoices and UPP: which rate for the opening entries (legacy booking rate, cutover BOOK rate) and how is the FX difference at collection treated?</t>
        </is>
      </c>
      <c r="E401" s="12" t="inlineStr">
        <is>
          <t>BRID 5-8, OQ08</t>
        </is>
      </c>
      <c r="F401" s="32" t="inlineStr">
        <is>
          <t>Open</t>
        </is>
      </c>
      <c r="G401" s="12" t="inlineStr"/>
      <c r="H401" s="12" t="inlineStr">
        <is>
          <t>OQ08</t>
        </is>
      </c>
      <c r="I401" s="12" t="inlineStr"/>
      <c r="J401" s="12" t="inlineStr"/>
    </row>
    <row r="402" ht="92.2" customHeight="1">
      <c r="A402" s="12" t="inlineStr">
        <is>
          <t>DMQ36</t>
        </is>
      </c>
      <c r="B402" s="12" t="inlineStr">
        <is>
          <t>BRD-13 DM</t>
        </is>
      </c>
      <c r="C402" s="12" t="inlineStr">
        <is>
          <t>Package remapping</t>
        </is>
      </c>
      <c r="D402" s="12" t="inlineStr">
        <is>
          <t>Legacy packages must map to the package names TSU maintains in BIBS (R06, P01, P03). Is the mapping done at upload, in the migration intake through an approved PACKAGE code map (proposal, with unresolved rows sent to a Renewal sanitation exception), or during Renewal sanitation per account? Who owns the decision and the map (proposal: TSU prepares, Product Owner MBS approves, MANCOM confirms)? Which legacy packages split into several BIBS packages, and on which attributes?</t>
        </is>
      </c>
      <c r="E402" s="12" t="inlineStr">
        <is>
          <t>BRID 3.1, 12.1; concept paper p.2, Annex B, Annex C</t>
        </is>
      </c>
      <c r="F402" s="32" t="inlineStr">
        <is>
          <t>Answered</t>
        </is>
      </c>
      <c r="G402" s="12" t="inlineStr">
        <is>
          <t>Remapping at sanitation: the Renewal check PACKAGE_REMAP routes unmapped packages to the Exception bucket for the Renewal processing team; the migration only loads the legacy package code and the PACKAGE code map. (BDOI answer 26-Sep-2026)</t>
        </is>
      </c>
      <c r="H402" s="12" t="inlineStr"/>
      <c r="I402" s="12" t="inlineStr"/>
      <c r="J402" s="12" t="inlineStr">
        <is>
          <t>DCR-241</t>
        </is>
      </c>
    </row>
    <row r="403" ht="79.59999999999999" customHeight="1">
      <c r="A403" s="12" t="inlineStr">
        <is>
          <t>DMQ37</t>
        </is>
      </c>
      <c r="B403" s="12" t="inlineStr">
        <is>
          <t>BRD-13 DM</t>
        </is>
      </c>
      <c r="C403" s="12" t="inlineStr">
        <is>
          <t>January-May 2028 renewals</t>
        </is>
      </c>
      <c r="D403" s="12" t="inlineStr">
        <is>
          <t>With the single go-live in January 2028, are the renewals of the January-May 2028 expiries (a) prepared in legacy from August 2027 as today and carried into BIBS at the freeze with their disposition, then placed and booked in BIBS (proposal), or (b) processed in BIBS only after go-live from a catch-up extraction? A renewal whose new term starts before go-live is placed and booked in legacy before the freeze: confirm</t>
        </is>
      </c>
      <c r="E403" s="12" t="inlineStr">
        <is>
          <t>BRID 12.1, DMQ26, RQ27</t>
        </is>
      </c>
      <c r="F403" s="32" t="inlineStr">
        <is>
          <t>Answered</t>
        </is>
      </c>
      <c r="G403" s="12" t="inlineStr">
        <is>
          <t>Option (b): processed in BIBS after go-live. Go-live extraction of every expiry from go-live to 31-May-2028, prioritised by expiry date, January expiries flagged urgent; RA already sent manually before go-live recorded, not re-sent. (BDOI answer 26-Sep-2026)</t>
        </is>
      </c>
      <c r="H403" s="12" t="inlineStr"/>
      <c r="I403" s="12" t="inlineStr"/>
      <c r="J403" s="12" t="inlineStr">
        <is>
          <t>DCR-240, DCR-243</t>
        </is>
      </c>
    </row>
    <row r="404" ht="79.59999999999999" customHeight="1">
      <c r="A404" s="12" t="inlineStr">
        <is>
          <t>DMQ38</t>
        </is>
      </c>
      <c r="B404" s="12" t="inlineStr">
        <is>
          <t>BRD-13 DM</t>
        </is>
      </c>
      <c r="C404" s="12" t="inlineStr">
        <is>
          <t>RMEL and disposition sources</t>
        </is>
      </c>
      <c r="D404" s="12" t="inlineStr">
        <is>
          <t>For the carried cohorts: who produces the legacy RMEL extract, and where are the dispositions, RA status, insurer approvals and proposed terms kept (the RN BRD says spreadsheets and e-mail, p.42)? Will the business units fill one consolidated disposition template per month? Who reviews the rejected rows (proposal: the Heads of Retail and Corporate Marketing), and by when before the freeze?</t>
        </is>
      </c>
      <c r="E404" s="12" t="inlineStr">
        <is>
          <t>BRID 12.1; RN BRD p.42</t>
        </is>
      </c>
      <c r="F404" s="32" t="inlineStr">
        <is>
          <t>Answered</t>
        </is>
      </c>
      <c r="G404" s="12" t="inlineStr">
        <is>
          <t>RMEL and dispositions are kept in Excel; rejected rows are reviewed by the Renewal processing team on a maker-checker basis. (BDOI answer 26-Sep-2026)</t>
        </is>
      </c>
      <c r="H404" s="12" t="inlineStr"/>
      <c r="I404" s="12" t="inlineStr"/>
      <c r="J404" s="12" t="inlineStr">
        <is>
          <t>DCR-243</t>
        </is>
      </c>
    </row>
    <row r="405" ht="104.8" customHeight="1">
      <c r="A405" s="12" t="inlineStr">
        <is>
          <t>DMQ39</t>
        </is>
      </c>
      <c r="B405" s="12" t="inlineStr">
        <is>
          <t>BRD-13 DM</t>
        </is>
      </c>
      <c r="C405" s="12" t="inlineStr">
        <is>
          <t>Year-end cut-over</t>
        </is>
      </c>
      <c r="D405" s="12" t="inlineStr">
        <is>
          <t>For T = Monday 3 January 2028: is the last business day in legacy Wednesday 29 December 2027 (30 and 31 December are holidays / special non-working days)? Does the legacy year-end close complete on 31 December so the opening trial balance is final? How are late 2027 adjustments and audit entries booked after go-live (in legacy for the closed year, or in BIBS as prior-period entries)? Staff and bank channels over 30 December-2 January? If BDOI prefers a later January date, which trial-balance cut-off applies?</t>
        </is>
      </c>
      <c r="E405" s="12" t="inlineStr">
        <is>
          <t>BRID 12.1, DMQ18, DMQ25</t>
        </is>
      </c>
      <c r="F405" s="32" t="inlineStr">
        <is>
          <t>Answered</t>
        </is>
      </c>
      <c r="G405" s="12" t="inlineStr">
        <is>
          <t>Option A recommended: go-live 3-Jan-2028 at the year-end boundary, provisional GL opening trial balance, legacy GL open only for FY2027 closing and audit adjustments, true-ups as opening-balance adjustment journals; options B and C not recommended. Awaiting Comptrollership confirmation. (BDOI answer 26-Sep-2026 (recommendation))</t>
        </is>
      </c>
      <c r="H405" s="12" t="inlineStr"/>
      <c r="I405" s="12" t="inlineStr"/>
      <c r="J405" s="12" t="inlineStr">
        <is>
          <t>DCR-242</t>
        </is>
      </c>
    </row>
    <row r="406" ht="79.59999999999999" customHeight="1">
      <c r="A406" s="12" t="inlineStr">
        <is>
          <t>IQ01</t>
        </is>
      </c>
      <c r="B406" s="12" t="inlineStr">
        <is>
          <t>BRD-0 CORE</t>
        </is>
      </c>
      <c r="C406" s="12" t="inlineStr">
        <is>
          <t>Go-live date</t>
        </is>
      </c>
      <c r="D406" s="12" t="inlineStr">
        <is>
          <t>(Priority 1) Which date in January 2028 is T? We propose Monday 3 January 2028, with the legacy freeze after the EOD of Wednesday 29 December 2027 and the legacy December / year-end close completed in legacy before the final extracts. If T is later in January, the migration rule "first business day of a month after a legacy month-end close" (DMQ25) no longer holds and the GL opening needs a January stub period.</t>
        </is>
      </c>
      <c r="E406" s="12" t="inlineStr">
        <is>
          <t>Timeline slide; answer A1; DMQ25, DMQ18</t>
        </is>
      </c>
      <c r="F406" s="32" t="inlineStr">
        <is>
          <t>Open</t>
        </is>
      </c>
      <c r="G406" s="12" t="inlineStr"/>
      <c r="H406" s="12" t="inlineStr"/>
      <c r="I406" s="12" t="inlineStr"/>
      <c r="J406" s="12" t="inlineStr">
        <is>
          <t>DCR-217</t>
        </is>
      </c>
    </row>
    <row r="407" ht="79.59999999999999" customHeight="1">
      <c r="A407" s="12" t="inlineStr">
        <is>
          <t>IQ02</t>
        </is>
      </c>
      <c r="B407" s="12" t="inlineStr">
        <is>
          <t>BRD-0 CORE</t>
        </is>
      </c>
      <c r="C407" s="12" t="inlineStr">
        <is>
          <t>Renewals around cut-over</t>
        </is>
      </c>
      <c r="D407" s="12" t="inlineStr">
        <is>
          <t>(Priority 2) With the early renewal release withdrawn, please confirm that (a) legacy extracts, disposes, places and books all renewals up to T, (b) the RMEL cohorts expiring from T to T+140 days are carried forward into BIBS with their disposition (object P03), and (c) renewals expiring between the freeze and T are placed in legacy before the freeze or covered by hold covers.</t>
        </is>
      </c>
      <c r="E407" s="12" t="inlineStr">
        <is>
          <t>Concept paper (superseded); answer A1; DMQ26</t>
        </is>
      </c>
      <c r="F407" s="32" t="inlineStr">
        <is>
          <t>Answered</t>
        </is>
      </c>
      <c r="G407" s="12" t="inlineStr">
        <is>
          <t>January-May 2028 expiries are processed in BIBS after go-live (go-live extraction to 31-May-2028, January expiries urgent); no carry-forward of legacy cohorts. (BDOI answer 26-Sep-2026 (DMQ37))</t>
        </is>
      </c>
      <c r="H407" s="12" t="inlineStr"/>
      <c r="I407" s="12" t="inlineStr"/>
      <c r="J407" s="12" t="inlineStr">
        <is>
          <t>DCR-218, DCR-220</t>
        </is>
      </c>
    </row>
    <row r="408" ht="54.4" customHeight="1">
      <c r="A408" s="12" t="inlineStr">
        <is>
          <t>IQ03</t>
        </is>
      </c>
      <c r="B408" s="12" t="inlineStr">
        <is>
          <t>BRD-0 CORE</t>
        </is>
      </c>
      <c r="C408" s="12" t="inlineStr">
        <is>
          <t>Package remapping</t>
        </is>
      </c>
      <c r="D408" s="12" t="inlineStr">
        <is>
          <t>(Priority 2) Who owns the remapping of legacy package names to BIBS packages, and where does it happen? We recommend a versioned PACKAGE code map applied at migration intake, plus a renewal sanitation check that sends unmapped or retired packages to Review for TSU.</t>
        </is>
      </c>
      <c r="E408" s="12" t="inlineStr">
        <is>
          <t>Concept paper VII, VIII, Annex C</t>
        </is>
      </c>
      <c r="F408" s="32" t="inlineStr">
        <is>
          <t>Answered</t>
        </is>
      </c>
      <c r="G408" s="12" t="inlineStr">
        <is>
          <t>Remapping at Renewal sanitation (check PACKAGE_REMAP, Exception bucket, Renewal processing team). (BDOI answer 26-Sep-2026 (DMQ36))</t>
        </is>
      </c>
      <c r="H408" s="12" t="inlineStr"/>
      <c r="I408" s="12" t="inlineStr"/>
      <c r="J408" s="12" t="inlineStr">
        <is>
          <t>DCR-219</t>
        </is>
      </c>
    </row>
    <row r="409" ht="79.59999999999999" customHeight="1">
      <c r="A409" s="12" t="inlineStr">
        <is>
          <t>IQ04</t>
        </is>
      </c>
      <c r="B409" s="12" t="inlineStr">
        <is>
          <t>BRD-0 CORE</t>
        </is>
      </c>
      <c r="C409" s="12" t="inlineStr">
        <is>
          <t>EIAM (Entra ID)</t>
        </is>
      </c>
      <c r="D409" s="12" t="inlineStr">
        <is>
          <t>(Priority 1) Please confirm OpenID Connect (authorisation code with PKCE) against Entra ID; the claim that identifies the user (UPN, Windows ID or employee number); MFA and conditional access; token and session lifetimes against the 30-minute inactivity rule; whether EIAM replaces EUA (DCR-143); how non-BDO users (if any) sign in; and whether a local break-glass administrator is allowed.</t>
        </is>
      </c>
      <c r="E409" s="12" t="inlineStr">
        <is>
          <t>Drop plan Drop 0; answer A2; UAM-NFR-11, 17, 19</t>
        </is>
      </c>
      <c r="F409" s="32" t="inlineStr">
        <is>
          <t>Open</t>
        </is>
      </c>
      <c r="G409" s="12" t="inlineStr"/>
      <c r="H409" s="12" t="inlineStr"/>
      <c r="I409" s="12" t="inlineStr"/>
      <c r="J409" s="12" t="inlineStr">
        <is>
          <t>DCR-230</t>
        </is>
      </c>
    </row>
    <row r="410" ht="67" customHeight="1">
      <c r="A410" s="12" t="inlineStr">
        <is>
          <t>IQ05</t>
        </is>
      </c>
      <c r="B410" s="12" t="inlineStr">
        <is>
          <t>BRD-0 CORE</t>
        </is>
      </c>
      <c r="C410" s="12" t="inlineStr">
        <is>
          <t>UIDM-ISC (IGA)</t>
        </is>
      </c>
      <c r="D410" s="12" t="inlineStr">
        <is>
          <t>(Priority 1) Does UIDM-ISC own access requests and approvals, replacing the BRD-11 request workflow in BIBS, or does it only provision approved changes? Which connector (SCIM 2.0, REST, flat file)? Are entitlements the BIBS group profiles (roles) only? Frequency of aggregation and certification; leaver timing.</t>
        </is>
      </c>
      <c r="E410" s="12" t="inlineStr">
        <is>
          <t>Drop plan Drop 0; answer A2; BRD-11</t>
        </is>
      </c>
      <c r="F410" s="32" t="inlineStr">
        <is>
          <t>Open</t>
        </is>
      </c>
      <c r="G410" s="12" t="inlineStr"/>
      <c r="H410" s="12" t="inlineStr"/>
      <c r="I410" s="12" t="inlineStr"/>
      <c r="J410" s="12" t="inlineStr">
        <is>
          <t>DCR-229</t>
        </is>
      </c>
    </row>
    <row r="411" ht="54.4" customHeight="1">
      <c r="A411" s="12" t="inlineStr">
        <is>
          <t>IQ06</t>
        </is>
      </c>
      <c r="B411" s="12" t="inlineStr">
        <is>
          <t>BRD-0 CORE</t>
        </is>
      </c>
      <c r="C411" s="12" t="inlineStr">
        <is>
          <t>LMS</t>
        </is>
      </c>
      <c r="D411" s="12" t="inlineStr">
        <is>
          <t>(Priority 2) Which LMS data does BIBS receive (paid-off and RMU loans for renewal, loan snapshot for Submitted Policies, CLPC loan credits), in which layout, how often and by which transport? Is LMS the system behind the LAMD reports?</t>
        </is>
      </c>
      <c r="E411" s="12" t="inlineStr">
        <is>
          <t>Answer A2; BRRN.029; SP-SQ06</t>
        </is>
      </c>
      <c r="F411" s="32" t="inlineStr">
        <is>
          <t>Open</t>
        </is>
      </c>
      <c r="G411" s="12" t="inlineStr"/>
      <c r="H411" s="12" t="inlineStr"/>
      <c r="I411" s="12" t="inlineStr"/>
      <c r="J411" s="12" t="inlineStr"/>
    </row>
    <row r="412" ht="41.8" customHeight="1">
      <c r="A412" s="12" t="inlineStr">
        <is>
          <t>IQ07</t>
        </is>
      </c>
      <c r="B412" s="12" t="inlineStr">
        <is>
          <t>BRD-0 CORE</t>
        </is>
      </c>
      <c r="C412" s="12" t="inlineStr">
        <is>
          <t>HL-LOAS</t>
        </is>
      </c>
      <c r="D412" s="12" t="inlineStr">
        <is>
          <t>(Priority 2) HLS (Drop 0) and LOAS (Drop 2) are one system: is there one interface or two (quotation requests, HLS insurance report, amortised loan data)? Formats, frequency and transport.</t>
        </is>
      </c>
      <c r="E412" s="12" t="inlineStr">
        <is>
          <t>Drop plan; answer A2; Q11</t>
        </is>
      </c>
      <c r="F412" s="32" t="inlineStr">
        <is>
          <t>Open</t>
        </is>
      </c>
      <c r="G412" s="12" t="inlineStr"/>
      <c r="H412" s="12" t="inlineStr"/>
      <c r="I412" s="12" t="inlineStr"/>
      <c r="J412" s="12" t="inlineStr">
        <is>
          <t>DCR-216</t>
        </is>
      </c>
    </row>
    <row r="413" ht="29.2" customHeight="1">
      <c r="A413" s="12" t="inlineStr">
        <is>
          <t>IQ08</t>
        </is>
      </c>
      <c r="B413" s="12" t="inlineStr">
        <is>
          <t>BRD-0 CORE</t>
        </is>
      </c>
      <c r="C413" s="12" t="inlineStr">
        <is>
          <t>LFS SaaS</t>
        </is>
      </c>
      <c r="D413" s="12" t="inlineStr">
        <is>
          <t>(Priority 3) In which drop is the LFS interface, and what is its layout and transport?</t>
        </is>
      </c>
      <c r="E413" s="12" t="inlineStr">
        <is>
          <t>Answer A2; BRD-12 p.4-5</t>
        </is>
      </c>
      <c r="F413" s="32" t="inlineStr">
        <is>
          <t>Open</t>
        </is>
      </c>
      <c r="G413" s="12" t="inlineStr"/>
      <c r="H413" s="12" t="inlineStr"/>
      <c r="I413" s="12" t="inlineStr"/>
      <c r="J413" s="12" t="inlineStr"/>
    </row>
    <row r="414" ht="41.8" customHeight="1">
      <c r="A414" s="12" t="inlineStr">
        <is>
          <t>IQ09</t>
        </is>
      </c>
      <c r="B414" s="12" t="inlineStr">
        <is>
          <t>BRD-0 CORE</t>
        </is>
      </c>
      <c r="C414" s="12" t="inlineStr">
        <is>
          <t>PMS</t>
        </is>
      </c>
      <c r="D414" s="12" t="inlineStr">
        <is>
          <t>(Priority 2) Layout of the daily PDC list from the PDC Management System; does BIBS also send PDC status (deposited, returned, pulled out) back to PMS? Frequency and transport.</t>
        </is>
      </c>
      <c r="E414" s="12" t="inlineStr">
        <is>
          <t>Answer A2; OQ03; CSHID.008</t>
        </is>
      </c>
      <c r="F414" s="32" t="inlineStr">
        <is>
          <t>Open</t>
        </is>
      </c>
      <c r="G414" s="12" t="inlineStr"/>
      <c r="H414" s="12" t="inlineStr"/>
      <c r="I414" s="12" t="inlineStr"/>
      <c r="J414" s="12" t="inlineStr">
        <is>
          <t>DCR-234</t>
        </is>
      </c>
    </row>
    <row r="415" ht="54.4" customHeight="1">
      <c r="A415" s="12" t="inlineStr">
        <is>
          <t>IQ10</t>
        </is>
      </c>
      <c r="B415" s="12" t="inlineStr">
        <is>
          <t>BRD-0 CORE</t>
        </is>
      </c>
      <c r="C415" s="12" t="inlineStr">
        <is>
          <t>Bank channels</t>
        </is>
      </c>
      <c r="D415" s="12" t="inlineStr">
        <is>
          <t>(Priority 1) For CMS / New BOB (outward payments), OBPCS (bills payment), Old BOB (SOA funds transfers) and AFTS: file layouts or APIs, host-to-host or user upload, cut-off times, status and debit confirmation. What is AFTS used for? Is ICBS out of scope (struck through)?</t>
        </is>
      </c>
      <c r="E415" s="12" t="inlineStr">
        <is>
          <t>Drop plan Drop 0; answer A2; AQ09, OQ03</t>
        </is>
      </c>
      <c r="F415" s="32" t="inlineStr">
        <is>
          <t>Open</t>
        </is>
      </c>
      <c r="G415" s="12" t="inlineStr"/>
      <c r="H415" s="12" t="inlineStr"/>
      <c r="I415" s="12" t="inlineStr"/>
      <c r="J415" s="12" t="inlineStr">
        <is>
          <t>DCR-221, DCR-234</t>
        </is>
      </c>
    </row>
    <row r="416" ht="41.8" customHeight="1">
      <c r="A416" s="12" t="inlineStr">
        <is>
          <t>IQ11</t>
        </is>
      </c>
      <c r="B416" s="12" t="inlineStr">
        <is>
          <t>BRD-0 CORE</t>
        </is>
      </c>
      <c r="C416" s="12" t="inlineStr">
        <is>
          <t>CCM</t>
        </is>
      </c>
      <c r="D416" s="12" t="inlineStr">
        <is>
          <t>(Priority 2) Does BIBS send through CCM by SMTP relay or by API? Attachment size limit, password-protected PDFs, volume (renewal advice batches), delivery status and bounces, sender addresses.</t>
        </is>
      </c>
      <c r="E416" s="12" t="inlineStr">
        <is>
          <t>Answer A2</t>
        </is>
      </c>
      <c r="F416" s="32" t="inlineStr">
        <is>
          <t>Open</t>
        </is>
      </c>
      <c r="G416" s="12" t="inlineStr"/>
      <c r="H416" s="12" t="inlineStr"/>
      <c r="I416" s="12" t="inlineStr"/>
      <c r="J416" s="12" t="inlineStr"/>
    </row>
    <row r="417" ht="41.8" customHeight="1">
      <c r="A417" s="12" t="inlineStr">
        <is>
          <t>IQ12</t>
        </is>
      </c>
      <c r="B417" s="12" t="inlineStr">
        <is>
          <t>BRD-0 CORE</t>
        </is>
      </c>
      <c r="C417" s="12" t="inlineStr">
        <is>
          <t>M365 Exchange</t>
        </is>
      </c>
      <c r="D417" s="12" t="inlineStr">
        <is>
          <t>(Priority 3) What does BIBS do with M365 Exchange that CCM does not cover (read the mailboxes of e-mailed quotation requests or insurer replies through Microsoft Graph)?</t>
        </is>
      </c>
      <c r="E417" s="12" t="inlineStr">
        <is>
          <t>Answer A2; Q12</t>
        </is>
      </c>
      <c r="F417" s="32" t="inlineStr">
        <is>
          <t>Open</t>
        </is>
      </c>
      <c r="G417" s="12" t="inlineStr"/>
      <c r="H417" s="12" t="inlineStr"/>
      <c r="I417" s="12" t="inlineStr"/>
      <c r="J417" s="12" t="inlineStr"/>
    </row>
    <row r="418" ht="41.8" customHeight="1">
      <c r="A418" s="12" t="inlineStr">
        <is>
          <t>IQ13</t>
        </is>
      </c>
      <c r="B418" s="12" t="inlineStr">
        <is>
          <t>BRD-0 CORE</t>
        </is>
      </c>
      <c r="C418" s="12" t="inlineStr">
        <is>
          <t>ECM</t>
        </is>
      </c>
      <c r="D418" s="12" t="inlineStr">
        <is>
          <t>(Priority 3) With documents in S3 only, is there any ECM touch-point left (source of legacy documents for the archive, transfer of records at the end of retention)?</t>
        </is>
      </c>
      <c r="E418" s="12" t="inlineStr">
        <is>
          <t>Answers A2, A4</t>
        </is>
      </c>
      <c r="F418" s="32" t="inlineStr">
        <is>
          <t>Open</t>
        </is>
      </c>
      <c r="G418" s="12" t="inlineStr"/>
      <c r="H418" s="12" t="inlineStr"/>
      <c r="I418" s="12" t="inlineStr"/>
      <c r="J418" s="12" t="inlineStr">
        <is>
          <t>DCR-227</t>
        </is>
      </c>
    </row>
    <row r="419" ht="29.2" customHeight="1">
      <c r="A419" s="12" t="inlineStr">
        <is>
          <t>IQ14</t>
        </is>
      </c>
      <c r="B419" s="12" t="inlineStr">
        <is>
          <t>BRD-0 CORE</t>
        </is>
      </c>
      <c r="C419" s="12" t="inlineStr">
        <is>
          <t>TFS</t>
        </is>
      </c>
      <c r="D419" s="12" t="inlineStr">
        <is>
          <t>(Priority 3) Which client onboarding data comes from TFS, and what is the layout of the Trade payment file uploaded to Cashiering?</t>
        </is>
      </c>
      <c r="E419" s="12" t="inlineStr">
        <is>
          <t>Answer A2; CSHID.008</t>
        </is>
      </c>
      <c r="F419" s="32" t="inlineStr">
        <is>
          <t>Open</t>
        </is>
      </c>
      <c r="G419" s="12" t="inlineStr"/>
      <c r="H419" s="12" t="inlineStr"/>
      <c r="I419" s="12" t="inlineStr"/>
      <c r="J419" s="12" t="inlineStr"/>
    </row>
    <row r="420" ht="41.8" customHeight="1">
      <c r="A420" s="12" t="inlineStr">
        <is>
          <t>IQ15</t>
        </is>
      </c>
      <c r="B420" s="12" t="inlineStr">
        <is>
          <t>BRD-0 CORE</t>
        </is>
      </c>
      <c r="C420" s="12" t="inlineStr">
        <is>
          <t>EDP (SD 11)</t>
        </is>
      </c>
      <c r="D420" s="12" t="inlineStr">
        <is>
          <t>(Priority 1) What is SD 11? Which BIBS data does EDP ingest, at what frequency and in which format (files to S3, change-data capture, events)? Masking of personal data?</t>
        </is>
      </c>
      <c r="E420" s="12" t="inlineStr">
        <is>
          <t>Drop plan Drop 2; answer A2</t>
        </is>
      </c>
      <c r="F420" s="32" t="inlineStr">
        <is>
          <t>Open</t>
        </is>
      </c>
      <c r="G420" s="12" t="inlineStr"/>
      <c r="H420" s="12" t="inlineStr"/>
      <c r="I420" s="12" t="inlineStr"/>
      <c r="J420" s="12" t="inlineStr">
        <is>
          <t>DCR-233</t>
        </is>
      </c>
    </row>
    <row r="421" ht="54.4" customHeight="1">
      <c r="A421" s="12" t="inlineStr">
        <is>
          <t>IQ16</t>
        </is>
      </c>
      <c r="B421" s="12" t="inlineStr">
        <is>
          <t>BRD-0 CORE</t>
        </is>
      </c>
      <c r="C421" s="12" t="inlineStr">
        <is>
          <t>EGL</t>
        </is>
      </c>
      <c r="D421" s="12" t="inlineStr">
        <is>
          <t>(Priority 1) Does EGL take journal detail or balances, daily or monthly? Mapping of the BIBS chart to EGL accounts and segments, currency handling, layout and transport, reconciliation owner; relation to the GARD submission (AQ31).</t>
        </is>
      </c>
      <c r="E421" s="12" t="inlineStr">
        <is>
          <t>Drop plan Drop 2; answer A2</t>
        </is>
      </c>
      <c r="F421" s="32" t="inlineStr">
        <is>
          <t>Open</t>
        </is>
      </c>
      <c r="G421" s="12" t="inlineStr"/>
      <c r="H421" s="12" t="inlineStr"/>
      <c r="I421" s="12" t="inlineStr"/>
      <c r="J421" s="12" t="inlineStr">
        <is>
          <t>DCR-233</t>
        </is>
      </c>
    </row>
    <row r="422" ht="29.2" customHeight="1">
      <c r="A422" s="12" t="inlineStr">
        <is>
          <t>IQ17</t>
        </is>
      </c>
      <c r="B422" s="12" t="inlineStr">
        <is>
          <t>BRD-0 CORE</t>
        </is>
      </c>
      <c r="C422" s="12" t="inlineStr">
        <is>
          <t>CARMS</t>
        </is>
      </c>
      <c r="D422" s="12" t="inlineStr">
        <is>
          <t>(Priority 2) What is CARMS, and which data flows between it and BIBS in which direction?</t>
        </is>
      </c>
      <c r="E422" s="12" t="inlineStr">
        <is>
          <t>Drop plan Drop 2</t>
        </is>
      </c>
      <c r="F422" s="32" t="inlineStr">
        <is>
          <t>Open</t>
        </is>
      </c>
      <c r="G422" s="12" t="inlineStr"/>
      <c r="H422" s="12" t="inlineStr"/>
      <c r="I422" s="12" t="inlineStr"/>
      <c r="J422" s="12" t="inlineStr"/>
    </row>
    <row r="423" ht="41.8" customHeight="1">
      <c r="A423" s="12" t="inlineStr">
        <is>
          <t>IQ18</t>
        </is>
      </c>
      <c r="B423" s="12" t="inlineStr">
        <is>
          <t>BRD-0 CORE</t>
        </is>
      </c>
      <c r="C423" s="12" t="inlineStr">
        <is>
          <t>Insurer System</t>
        </is>
      </c>
      <c r="D423" s="12" t="inlineStr">
        <is>
          <t>(Priority 2) Which insurers and which exchanges (production feedback, remittance ORs, DP billing responses, renewal responses, SOAs, e-policies, claims) are in scope, and by which channel (SFTP, API, e-mail)?</t>
        </is>
      </c>
      <c r="E423" s="12" t="inlineStr">
        <is>
          <t>Drop plan Drop 2; Q06, OQ22</t>
        </is>
      </c>
      <c r="F423" s="32" t="inlineStr">
        <is>
          <t>Open</t>
        </is>
      </c>
      <c r="G423" s="12" t="inlineStr"/>
      <c r="H423" s="12" t="inlineStr"/>
      <c r="I423" s="12" t="inlineStr"/>
      <c r="J423" s="12" t="inlineStr"/>
    </row>
    <row r="424" ht="41.8" customHeight="1">
      <c r="A424" s="12" t="inlineStr">
        <is>
          <t>IQ19</t>
        </is>
      </c>
      <c r="B424" s="12" t="inlineStr">
        <is>
          <t>BRD-0 CORE</t>
        </is>
      </c>
      <c r="C424" s="12" t="inlineStr">
        <is>
          <t>Bridger Insight XG</t>
        </is>
      </c>
      <c r="D424" s="12" t="inlineStr">
        <is>
          <t>(Priority 3) Is Bridger the screening engine (BIBS records its results) or a second check next to BIBS list matching (SNSRP-201, 301)? Is a batch export of clients for Bridger needed?</t>
        </is>
      </c>
      <c r="E424" s="12" t="inlineStr">
        <is>
          <t>Drop plan Drop 2; answer A2; SQ01</t>
        </is>
      </c>
      <c r="F424" s="32" t="inlineStr">
        <is>
          <t>Open</t>
        </is>
      </c>
      <c r="G424" s="12" t="inlineStr"/>
      <c r="H424" s="12" t="inlineStr"/>
      <c r="I424" s="12" t="inlineStr"/>
      <c r="J424" s="12" t="inlineStr"/>
    </row>
    <row r="425" ht="67" customHeight="1">
      <c r="A425" s="12" t="inlineStr">
        <is>
          <t>IQ20</t>
        </is>
      </c>
      <c r="B425" s="12" t="inlineStr">
        <is>
          <t>BRD-0 CORE</t>
        </is>
      </c>
      <c r="C425" s="12" t="inlineStr">
        <is>
          <t>Reinsurance transactions in Remittance</t>
        </is>
      </c>
      <c r="D425" s="12" t="inlineStr">
        <is>
          <t>(Priority 1) Which reinsurance transactions does Remittance handle in Drop 1 (premium received from cedants and remitted to reinsurers, RI claims recoveries), with which accounting? Please send the "Operations BRD (Remittance Addendum)" and "(Cashiering Addendum)" named on the slide.</t>
        </is>
      </c>
      <c r="E425" s="12" t="inlineStr">
        <is>
          <t>Drop plan 1.D2, 1.D3; answer A3</t>
        </is>
      </c>
      <c r="F425" s="32" t="inlineStr">
        <is>
          <t>Open</t>
        </is>
      </c>
      <c r="G425" s="12" t="inlineStr"/>
      <c r="H425" s="12" t="inlineStr"/>
      <c r="I425" s="12" t="inlineStr"/>
      <c r="J425" s="12" t="inlineStr">
        <is>
          <t>DCR-210, DCR-215</t>
        </is>
      </c>
    </row>
    <row r="426" ht="54.4" customHeight="1">
      <c r="A426" s="12" t="inlineStr">
        <is>
          <t>IQ21</t>
        </is>
      </c>
      <c r="B426" s="12" t="inlineStr">
        <is>
          <t>BRD-0 CORE</t>
        </is>
      </c>
      <c r="C426" s="12" t="inlineStr">
        <is>
          <t>Marketing Collection (extraction)</t>
        </is>
      </c>
      <c r="D426" s="12" t="inlineStr">
        <is>
          <t>(Priority 2) What is "Marketing Collection (extraction)" in Drop 2? BRD-4 Collections is a BIBS module fed by the Operations ledger; is a separate Collection Management System kept, with an extraction from BIBS?</t>
        </is>
      </c>
      <c r="E426" s="12" t="inlineStr">
        <is>
          <t>Drop plan 2.1; BRD-4</t>
        </is>
      </c>
      <c r="F426" s="32" t="inlineStr">
        <is>
          <t>Open</t>
        </is>
      </c>
      <c r="G426" s="12" t="inlineStr"/>
      <c r="H426" s="12" t="inlineStr"/>
      <c r="I426" s="12" t="inlineStr"/>
      <c r="J426" s="12" t="inlineStr">
        <is>
          <t>DCR-212</t>
        </is>
      </c>
    </row>
    <row r="427" ht="41.8" customHeight="1">
      <c r="A427" s="12" t="inlineStr">
        <is>
          <t>IQ22</t>
        </is>
      </c>
      <c r="B427" s="12" t="inlineStr">
        <is>
          <t>BRD-0 CORE</t>
        </is>
      </c>
      <c r="C427" s="12" t="inlineStr">
        <is>
          <t>Employee Benefits without portal</t>
        </is>
      </c>
      <c r="D427" s="12" t="inlineStr">
        <is>
          <t>(Priority 1) Please confirm that insurers and client HR send EB documents by e-mail and BDOI users upload them (BRID-005, 005.01, 014 changed), and that EB placement (Drop 1) uses the NB placement screens.</t>
        </is>
      </c>
      <c r="E427" s="12" t="inlineStr">
        <is>
          <t>Drop plan 2.4, 1.U6; BRD-8</t>
        </is>
      </c>
      <c r="F427" s="32" t="inlineStr">
        <is>
          <t>Open</t>
        </is>
      </c>
      <c r="G427" s="12" t="inlineStr"/>
      <c r="H427" s="12" t="inlineStr"/>
      <c r="I427" s="12" t="inlineStr"/>
      <c r="J427" s="12" t="inlineStr">
        <is>
          <t>DCR-211, DCR-235</t>
        </is>
      </c>
    </row>
    <row r="428" ht="41.8" customHeight="1">
      <c r="A428" s="12" t="inlineStr">
        <is>
          <t>IQ23</t>
        </is>
      </c>
      <c r="B428" s="12" t="inlineStr">
        <is>
          <t>BRD-0 CORE</t>
        </is>
      </c>
      <c r="C428" s="12" t="inlineStr">
        <is>
          <t>Unplaced BRDs</t>
        </is>
      </c>
      <c r="D428" s="12" t="inlineStr">
        <is>
          <t>(Priority 2) In which drop are BRD-10 Sanction Screening (we propose Drop 1 with Client Onboarding) and the CSF service-request functions (we propose Drop 2)?</t>
        </is>
      </c>
      <c r="E428" s="12" t="inlineStr">
        <is>
          <t>Drop plan</t>
        </is>
      </c>
      <c r="F428" s="32" t="inlineStr">
        <is>
          <t>Open</t>
        </is>
      </c>
      <c r="G428" s="12" t="inlineStr"/>
      <c r="H428" s="12" t="inlineStr"/>
      <c r="I428" s="12" t="inlineStr"/>
      <c r="J428" s="12" t="inlineStr">
        <is>
          <t>DCR-213</t>
        </is>
      </c>
    </row>
    <row r="429" ht="54.4" customHeight="1">
      <c r="A429" s="12" t="inlineStr">
        <is>
          <t>IQ24</t>
        </is>
      </c>
      <c r="B429" s="12" t="inlineStr">
        <is>
          <t>BRD-0 CORE</t>
        </is>
      </c>
      <c r="C429" s="12" t="inlineStr">
        <is>
          <t>Drop 0 items without a BRD</t>
        </is>
      </c>
      <c r="D429" s="12" t="inlineStr">
        <is>
          <t>(Priority 2) Which requirements govern Drop 0 items 1 (Accessibility &amp; Login: sign-in, or WCAG accessibility, or both), 4 (Data Management) and 5 (Workflow)? We propose BRD-11 + EIAM, CORE-17 of the umbrella BRD, and the workflows of each BRD.</t>
        </is>
      </c>
      <c r="E429" s="12" t="inlineStr">
        <is>
          <t>Drop plan Drop 0</t>
        </is>
      </c>
      <c r="F429" s="32" t="inlineStr">
        <is>
          <t>Open</t>
        </is>
      </c>
      <c r="G429" s="12" t="inlineStr"/>
      <c r="H429" s="12" t="inlineStr"/>
      <c r="I429" s="12" t="inlineStr"/>
      <c r="J429" s="12" t="inlineStr">
        <is>
          <t>DCR-214</t>
        </is>
      </c>
    </row>
    <row r="430" ht="67" customHeight="1">
      <c r="A430" s="12" t="inlineStr">
        <is>
          <t>IQ25</t>
        </is>
      </c>
      <c r="B430" s="12" t="inlineStr">
        <is>
          <t>BRD-0 CORE</t>
        </is>
      </c>
      <c r="C430" s="12" t="inlineStr">
        <is>
          <t>Architecture in the IER</t>
        </is>
      </c>
      <c r="D430" s="12" t="inlineStr">
        <is>
          <t>(Priority 1) Please confirm that the IER describes BIBS as built: one backend (modular monolith) and one frontend on EKS, RDS PostgreSQL 16, ElastiCache Redis 7, MSK Kafka, S3; not the ten bv-* microservices, Aurora / MongoDB, Istio / OPA or EventBridge. Which edge is the BDO standard: ALB + WAF, CloudFront, Apigee X?</t>
        </is>
      </c>
      <c r="E430" s="12" t="inlineStr">
        <is>
          <t>IER Architecture Diagram, K8s sheets</t>
        </is>
      </c>
      <c r="F430" s="32" t="inlineStr">
        <is>
          <t>Open</t>
        </is>
      </c>
      <c r="G430" s="12" t="inlineStr"/>
      <c r="H430" s="12" t="inlineStr"/>
      <c r="I430" s="12" t="inlineStr"/>
      <c r="J430" s="12" t="inlineStr">
        <is>
          <t>DCR-222</t>
        </is>
      </c>
    </row>
    <row r="431" ht="41.8" customHeight="1">
      <c r="A431" s="12" t="inlineStr">
        <is>
          <t>IQ26</t>
        </is>
      </c>
      <c r="B431" s="12" t="inlineStr">
        <is>
          <t>BRD-0 CORE</t>
        </is>
      </c>
      <c r="C431" s="12" t="inlineStr">
        <is>
          <t>Disaster recovery</t>
        </is>
      </c>
      <c r="D431" s="12" t="inlineStr">
        <is>
          <t>(Priority 1) Which region hosts DR (the HW sheet says cross-region read replica; the diagram says ap-southeast-1 warm standby)? Does data residency allow a second region? DR drill frequency?</t>
        </is>
      </c>
      <c r="E431" s="12" t="inlineStr">
        <is>
          <t>IER HW &amp; SW Requirements; hosting appendix; DCR-135</t>
        </is>
      </c>
      <c r="F431" s="32" t="inlineStr">
        <is>
          <t>Open</t>
        </is>
      </c>
      <c r="G431" s="12" t="inlineStr"/>
      <c r="H431" s="12" t="inlineStr"/>
      <c r="I431" s="12" t="inlineStr"/>
      <c r="J431" s="12" t="inlineStr">
        <is>
          <t>DCR-225</t>
        </is>
      </c>
    </row>
    <row r="432" ht="41.8" customHeight="1">
      <c r="A432" s="12" t="inlineStr">
        <is>
          <t>IQ27</t>
        </is>
      </c>
      <c r="B432" s="12" t="inlineStr">
        <is>
          <t>BRD-0 CORE</t>
        </is>
      </c>
      <c r="C432" s="12" t="inlineStr">
        <is>
          <t>Non-production hours</t>
        </is>
      </c>
      <c r="D432" s="12" t="inlineStr">
        <is>
          <t>(Priority 2) What are the 12 x 5 hours? We need extended hours for batch and month-end test cycles, weekend migration mocks and the dress rehearsal; MSK and ElastiCache cannot be stopped.</t>
        </is>
      </c>
      <c r="E432" s="12" t="inlineStr">
        <is>
          <t>IER Assumptions 3</t>
        </is>
      </c>
      <c r="F432" s="32" t="inlineStr">
        <is>
          <t>Open</t>
        </is>
      </c>
      <c r="G432" s="12" t="inlineStr"/>
      <c r="H432" s="12" t="inlineStr"/>
      <c r="I432" s="12" t="inlineStr"/>
      <c r="J432" s="12" t="inlineStr">
        <is>
          <t>DCR-226</t>
        </is>
      </c>
    </row>
    <row r="433" ht="54.4" customHeight="1">
      <c r="A433" s="12" t="inlineStr">
        <is>
          <t>IQ28</t>
        </is>
      </c>
      <c r="B433" s="12" t="inlineStr">
        <is>
          <t>BRD-0 CORE</t>
        </is>
      </c>
      <c r="C433" s="12" t="inlineStr">
        <is>
          <t>VDI and access</t>
        </is>
      </c>
      <c r="D433" s="12" t="inlineStr">
        <is>
          <t>(Priority 2) Does "access restricted to personnel in the Philippines" apply to DEV and SIT with masked data? Which vendor staff need VDI? Software list: Temurin 21, Maven 3.9, Node 22 (not JDK 17, Node 20, Angular).</t>
        </is>
      </c>
      <c r="E433" s="12" t="inlineStr">
        <is>
          <t>IER VDI Requirements; hosting appendix</t>
        </is>
      </c>
      <c r="F433" s="32" t="inlineStr">
        <is>
          <t>Open</t>
        </is>
      </c>
      <c r="G433" s="12" t="inlineStr"/>
      <c r="H433" s="12" t="inlineStr"/>
      <c r="I433" s="12" t="inlineStr"/>
      <c r="J433" s="12" t="inlineStr">
        <is>
          <t>DCR-224, DCR-231</t>
        </is>
      </c>
    </row>
    <row r="434" ht="41.8" customHeight="1">
      <c r="A434" s="12" t="inlineStr">
        <is>
          <t>IQ29</t>
        </is>
      </c>
      <c r="B434" s="12" t="inlineStr">
        <is>
          <t>BRD-0 CORE</t>
        </is>
      </c>
      <c r="C434" s="12" t="inlineStr">
        <is>
          <t>CI / CD toolchain</t>
        </is>
      </c>
      <c r="D434" s="12" t="inlineStr">
        <is>
          <t>(Priority 2) Which toolchain applies: GitLab (HW sheet), GitHub + Jenkins (infra diagram) or ArgoCD + Helm (diagram)? Container registry, image base (RHEL UBI or Alpine), SonarQube instance.</t>
        </is>
      </c>
      <c r="E434" s="12" t="inlineStr">
        <is>
          <t>IER sheets</t>
        </is>
      </c>
      <c r="F434" s="32" t="inlineStr">
        <is>
          <t>Open</t>
        </is>
      </c>
      <c r="G434" s="12" t="inlineStr"/>
      <c r="H434" s="12" t="inlineStr"/>
      <c r="I434" s="12" t="inlineStr"/>
      <c r="J434" s="12" t="inlineStr">
        <is>
          <t>DCR-224</t>
        </is>
      </c>
    </row>
    <row r="435" ht="29.2" customHeight="1">
      <c r="A435" s="12" t="inlineStr">
        <is>
          <t>IQ30</t>
        </is>
      </c>
      <c r="B435" s="12" t="inlineStr">
        <is>
          <t>BRD-0 CORE</t>
        </is>
      </c>
      <c r="C435" s="12" t="inlineStr">
        <is>
          <t>Observability</t>
        </is>
      </c>
      <c r="D435" s="12" t="inlineStr">
        <is>
          <t>(Priority 3) Dynatrace (VDI, K8s sheets) or CloudWatch, X-Ray, Prometheus, Loki, Grafana (diagram)? Log platform and alert routing.</t>
        </is>
      </c>
      <c r="E435" s="12" t="inlineStr">
        <is>
          <t>IER sheets</t>
        </is>
      </c>
      <c r="F435" s="32" t="inlineStr">
        <is>
          <t>Open</t>
        </is>
      </c>
      <c r="G435" s="12" t="inlineStr"/>
      <c r="H435" s="12" t="inlineStr"/>
      <c r="I435" s="12" t="inlineStr"/>
      <c r="J435" s="12" t="inlineStr">
        <is>
          <t>DCR-224</t>
        </is>
      </c>
    </row>
    <row r="436" ht="79.59999999999999" customHeight="1">
      <c r="A436" s="12" t="inlineStr">
        <is>
          <t>IQ31</t>
        </is>
      </c>
      <c r="B436" s="12" t="inlineStr">
        <is>
          <t>BRD-0 CORE</t>
        </is>
      </c>
      <c r="C436" s="12" t="inlineStr">
        <is>
          <t>S3 document store</t>
        </is>
      </c>
      <c r="D436" s="12" t="inlineStr">
        <is>
          <t>(Priority 1) Please confirm the five decisions of DOCUMENT_STORAGE_DECISION.md section 5: option C with 5-minute presigned links (or option B, streaming through BIBS); the malware scanning service; Object Lock mode and the records under legal hold; KMS key ownership and rotation; whether ECM receives copies of any record class. Also the bucket account and the DR region for replication.</t>
        </is>
      </c>
      <c r="E436" s="12" t="inlineStr">
        <is>
          <t>Answer A4; DOCUMENT_STORAGE_DECISION.md</t>
        </is>
      </c>
      <c r="F436" s="32" t="inlineStr">
        <is>
          <t>Open</t>
        </is>
      </c>
      <c r="G436" s="12" t="inlineStr"/>
      <c r="H436" s="12" t="inlineStr"/>
      <c r="I436" s="12" t="inlineStr"/>
      <c r="J436" s="12" t="inlineStr">
        <is>
          <t>DCR-227</t>
        </is>
      </c>
    </row>
    <row r="437" ht="41.8" customHeight="1">
      <c r="A437" s="12" t="inlineStr">
        <is>
          <t>IQ32</t>
        </is>
      </c>
      <c r="B437" s="12" t="inlineStr">
        <is>
          <t>BRD-0 CORE</t>
        </is>
      </c>
      <c r="C437" s="12" t="inlineStr">
        <is>
          <t>Sizing basis</t>
        </is>
      </c>
      <c r="D437" s="12" t="inlineStr">
        <is>
          <t>(Priority 2) Which user figures size the platform: 1,200 internal users (IER diagram) or 1,344 named / 429 concurrent (umbrella BRD p.42)? Transactions per second per year (IER K8s guideline 3).</t>
        </is>
      </c>
      <c r="E437" s="12" t="inlineStr">
        <is>
          <t>IER; DCR-166</t>
        </is>
      </c>
      <c r="F437" s="32" t="inlineStr">
        <is>
          <t>Open</t>
        </is>
      </c>
      <c r="G437" s="12" t="inlineStr"/>
      <c r="H437" s="12" t="inlineStr"/>
      <c r="I437" s="12" t="inlineStr"/>
      <c r="J437" s="12" t="inlineStr">
        <is>
          <t>DCR-232</t>
        </is>
      </c>
    </row>
    <row r="438" ht="54.4" customHeight="1">
      <c r="A438" s="12" t="inlineStr">
        <is>
          <t>IQ33</t>
        </is>
      </c>
      <c r="B438" s="12" t="inlineStr">
        <is>
          <t>BRD-0 CORE</t>
        </is>
      </c>
      <c r="C438" s="12" t="inlineStr">
        <is>
          <t>IER completeness</t>
        </is>
      </c>
      <c r="D438" s="12" t="inlineStr">
        <is>
          <t>(Priority 2) Will BDOI IT add the Pre-Prod and DR cluster sheets, retitle the Pre-Prod sheet (it reads "UAT ENVIRONMENT") and replace the template rows of the environment cost sheets with the sizing of this document?</t>
        </is>
      </c>
      <c r="E438" s="12" t="inlineStr">
        <is>
          <t>IER Pre-Prod, K8s sheets</t>
        </is>
      </c>
      <c r="F438" s="32" t="inlineStr">
        <is>
          <t>Open</t>
        </is>
      </c>
      <c r="G438" s="12" t="inlineStr"/>
      <c r="H438" s="12" t="inlineStr"/>
      <c r="I438" s="12" t="inlineStr"/>
      <c r="J438" s="12" t="inlineStr">
        <is>
          <t>DCR-223</t>
        </is>
      </c>
    </row>
    <row r="439" ht="41.8" customHeight="1">
      <c r="A439" s="12" t="inlineStr">
        <is>
          <t>IQ34</t>
        </is>
      </c>
      <c r="B439" s="12" t="inlineStr">
        <is>
          <t>BRD-0 CORE</t>
        </is>
      </c>
      <c r="C439" s="12" t="inlineStr">
        <is>
          <t>ElastiCache mode</t>
        </is>
      </c>
      <c r="D439" s="12" t="inlineStr">
        <is>
          <t>(Priority 3) Please confirm cluster mode disabled (one shard, Multi-AZ replica) for Pre-Prod and PROD; "cluster" in the HW sheet would need a code change.</t>
        </is>
      </c>
      <c r="E439" s="12" t="inlineStr">
        <is>
          <t>IER HW &amp; SW Requirements</t>
        </is>
      </c>
      <c r="F439" s="32" t="inlineStr">
        <is>
          <t>Open</t>
        </is>
      </c>
      <c r="G439" s="12" t="inlineStr"/>
      <c r="H439" s="12" t="inlineStr"/>
      <c r="I439" s="12" t="inlineStr"/>
      <c r="J439" s="12" t="inlineStr">
        <is>
          <t>DCR-228</t>
        </is>
      </c>
    </row>
    <row r="440" ht="29.2" customHeight="1">
      <c r="A440" s="12" t="inlineStr">
        <is>
          <t>IQ35</t>
        </is>
      </c>
      <c r="B440" s="12" t="inlineStr">
        <is>
          <t>BRD-0 CORE</t>
        </is>
      </c>
      <c r="C440" s="12" t="inlineStr">
        <is>
          <t>Security testing</t>
        </is>
      </c>
      <c r="D440" s="12" t="inlineStr">
        <is>
          <t>(Priority 2) Who runs the performance and penetration tests of Nov - Dec 2027, and may an earlier scan run in SIT in June 2027?</t>
        </is>
      </c>
      <c r="E440" s="12" t="inlineStr">
        <is>
          <t>Timeline slide</t>
        </is>
      </c>
      <c r="F440" s="32" t="inlineStr">
        <is>
          <t>Open</t>
        </is>
      </c>
      <c r="G440" s="12" t="inlineStr"/>
      <c r="H440" s="12" t="inlineStr"/>
      <c r="I440" s="12" t="inlineStr"/>
      <c r="J440" s="12" t="inlineStr"/>
    </row>
    <row r="441" ht="41.8" customHeight="1">
      <c r="A441" s="12" t="inlineStr">
        <is>
          <t>DSQ01</t>
        </is>
      </c>
      <c r="B441" s="12" t="inlineStr">
        <is>
          <t>BRD-0 CORE</t>
        </is>
      </c>
      <c r="C441" s="12" t="inlineStr">
        <is>
          <t>Document storage (S3)</t>
        </is>
      </c>
      <c r="D441" s="12" t="inlineStr">
        <is>
          <t>Which DR region is approved for the cross-border basis (the IER workbook plans a cross-region replica)?</t>
        </is>
      </c>
      <c r="E441" s="12" t="inlineStr">
        <is>
          <t>DOCUMENT_STORAGE_DECISION.md Open points for BDOI IT</t>
        </is>
      </c>
      <c r="F441" s="32" t="inlineStr">
        <is>
          <t>Open</t>
        </is>
      </c>
      <c r="G441" s="12" t="inlineStr"/>
      <c r="H441" s="12" t="inlineStr"/>
      <c r="I441" s="12" t="inlineStr"/>
      <c r="J441" s="12" t="inlineStr">
        <is>
          <t>DCR-227</t>
        </is>
      </c>
    </row>
    <row r="442" ht="41.8" customHeight="1">
      <c r="A442" s="12" t="inlineStr">
        <is>
          <t>DSQ02</t>
        </is>
      </c>
      <c r="B442" s="12" t="inlineStr">
        <is>
          <t>BRD-0 CORE</t>
        </is>
      </c>
      <c r="C442" s="12" t="inlineStr">
        <is>
          <t>Document storage (S3)</t>
        </is>
      </c>
      <c r="D442" s="12" t="inlineStr">
        <is>
          <t>ECM interface specification: API, authentication, metadata schema, record classes, acknowledgement and error handling</t>
        </is>
      </c>
      <c r="E442" s="12" t="inlineStr">
        <is>
          <t>DOCUMENT_STORAGE_DECISION.md Open points for BDOI IT</t>
        </is>
      </c>
      <c r="F442" s="32" t="inlineStr">
        <is>
          <t>Open</t>
        </is>
      </c>
      <c r="G442" s="12" t="inlineStr"/>
      <c r="H442" s="12" t="inlineStr"/>
      <c r="I442" s="12" t="inlineStr"/>
      <c r="J442" s="12" t="inlineStr">
        <is>
          <t>DCR-227</t>
        </is>
      </c>
    </row>
    <row r="443" ht="41.8" customHeight="1">
      <c r="A443" s="12" t="inlineStr">
        <is>
          <t>DSQ03</t>
        </is>
      </c>
      <c r="B443" s="12" t="inlineStr">
        <is>
          <t>BRD-0 CORE</t>
        </is>
      </c>
      <c r="C443" s="12" t="inlineStr">
        <is>
          <t>Document storage (S3)</t>
        </is>
      </c>
      <c r="D443" s="12" t="inlineStr">
        <is>
          <t>The DOA roles allowed to place and release legal holds and to authorise a governance bypass</t>
        </is>
      </c>
      <c r="E443" s="12" t="inlineStr">
        <is>
          <t>DOCUMENT_STORAGE_DECISION.md Open points for BDOI IT</t>
        </is>
      </c>
      <c r="F443" s="32" t="inlineStr">
        <is>
          <t>Open</t>
        </is>
      </c>
      <c r="G443" s="12" t="inlineStr"/>
      <c r="H443" s="12" t="inlineStr"/>
      <c r="I443" s="12" t="inlineStr"/>
      <c r="J443" s="12" t="inlineStr">
        <is>
          <t>DCR-227</t>
        </is>
      </c>
    </row>
    <row r="444" ht="41.8" customHeight="1">
      <c r="A444" s="12" t="inlineStr">
        <is>
          <t>DSQ04</t>
        </is>
      </c>
      <c r="B444" s="12" t="inlineStr">
        <is>
          <t>BRD-0 CORE</t>
        </is>
      </c>
      <c r="C444" s="12" t="inlineStr">
        <is>
          <t>Document storage (S3)</t>
        </is>
      </c>
      <c r="D444" s="12" t="inlineStr">
        <is>
          <t>Key policy details: key administrators, rotation period, and whether imported key material is required</t>
        </is>
      </c>
      <c r="E444" s="12" t="inlineStr">
        <is>
          <t>DOCUMENT_STORAGE_DECISION.md Open points for BDOI IT</t>
        </is>
      </c>
      <c r="F444" s="32" t="inlineStr">
        <is>
          <t>Open</t>
        </is>
      </c>
      <c r="G444" s="12" t="inlineStr"/>
      <c r="H444" s="12" t="inlineStr"/>
      <c r="I444" s="12" t="inlineStr"/>
      <c r="J444" s="12" t="inlineStr">
        <is>
          <t>DCR-227</t>
        </is>
      </c>
    </row>
    <row r="445" ht="67" customHeight="1">
      <c r="A445" s="12" t="inlineStr">
        <is>
          <t>XQ01</t>
        </is>
      </c>
      <c r="B445" s="12" t="inlineStr">
        <is>
          <t>Cross-BRD</t>
        </is>
      </c>
      <c r="C445" s="12" t="inlineStr">
        <is>
          <t>Two LAMD intakes</t>
        </is>
      </c>
      <c r="D445" s="12" t="inlineStr">
        <is>
          <t>Is it one LAMD report (one file, one owner) or two different reports? Who uploads it? (RQ20, SP SQ06) Background: Renewal uploads LAMD paid-off / RMU reports (RNW_LAMD_REPORT, rnw_lamd_report / rnw_lamd_line, role LAMD); Submitted Policies uploads a LAMD loan snapshot (SBM_LAMD, sbm_lamd_loan). Both match on the PN</t>
        </is>
      </c>
      <c r="E445" s="12" t="inlineStr">
        <is>
          <t>BDOI_CROSS_BRD_DECISIONS.md section 5</t>
        </is>
      </c>
      <c r="F445" s="32" t="inlineStr">
        <is>
          <t>Open</t>
        </is>
      </c>
      <c r="G445" s="12" t="inlineStr"/>
      <c r="H445" s="12" t="inlineStr"/>
      <c r="I445" s="12" t="inlineStr">
        <is>
          <t>RQ20, SP-SQ06</t>
        </is>
      </c>
      <c r="J445" s="12" t="inlineStr">
        <is>
          <t>DCR-146</t>
        </is>
      </c>
    </row>
    <row r="446" ht="67" customHeight="1">
      <c r="A446" s="12" t="inlineStr">
        <is>
          <t>XQ02</t>
        </is>
      </c>
      <c r="B446" s="12" t="inlineStr">
        <is>
          <t>Cross-BRD</t>
        </is>
      </c>
      <c r="C446" s="12" t="inlineStr">
        <is>
          <t>Two Contact Center roles</t>
        </is>
      </c>
      <c r="D446" s="12" t="inlineStr">
        <is>
          <t>Are they the same people (BDO Contact Center vs BDOI staff)? One role or two? (RQ21, CSQ10) Background: Renewal's CONTACT_CENTER (follow-ups, remarks, documents on candidates, BRRN.026) and CSF's CSF_AGENT / CSF_SUPERVISOR (servicing). Renewal restricts Contact Center to a read-only projection without premium columns; CSF agents see all accounts</t>
        </is>
      </c>
      <c r="E446" s="12" t="inlineStr">
        <is>
          <t>BDOI_CROSS_BRD_DECISIONS.md section 5</t>
        </is>
      </c>
      <c r="F446" s="32" t="inlineStr">
        <is>
          <t>Open</t>
        </is>
      </c>
      <c r="G446" s="12" t="inlineStr"/>
      <c r="H446" s="12" t="inlineStr"/>
      <c r="I446" s="12" t="inlineStr">
        <is>
          <t>RQ21, CSQ10</t>
        </is>
      </c>
      <c r="J446" s="12" t="inlineStr">
        <is>
          <t>DCR-147</t>
        </is>
      </c>
    </row>
    <row r="447" ht="54.4" customHeight="1">
      <c r="A447" s="12" t="inlineStr">
        <is>
          <t>XQ03</t>
        </is>
      </c>
      <c r="B447" s="12" t="inlineStr">
        <is>
          <t>Cross-BRD</t>
        </is>
      </c>
      <c r="C447" s="12" t="inlineStr">
        <is>
          <t>Submitted-policy renewal notices</t>
        </is>
      </c>
      <c r="D447" s="12" t="inlineStr">
        <is>
          <t>Are the renewal notice and renewal proposal letters part of the renewal (Renewal module) or of the masterlist follow-up (Submitted Policies)? (SP SQ09) Background: sbm_letter types RENEWAL_NOTICE and RENEWAL_PROPOSAL are renewal-related, but D2 names only RA / NRNS / NAL / SFU</t>
        </is>
      </c>
      <c r="E447" s="12" t="inlineStr">
        <is>
          <t>BDOI_CROSS_BRD_DECISIONS.md section 5</t>
        </is>
      </c>
      <c r="F447" s="32" t="inlineStr">
        <is>
          <t>Open</t>
        </is>
      </c>
      <c r="G447" s="12" t="inlineStr"/>
      <c r="H447" s="12" t="inlineStr"/>
      <c r="I447" s="12" t="inlineStr">
        <is>
          <t>SP-SQ09</t>
        </is>
      </c>
      <c r="J447" s="12" t="inlineStr">
        <is>
          <t>DCR-129</t>
        </is>
      </c>
    </row>
    <row r="448" ht="54.4" customHeight="1">
      <c r="A448" s="12" t="inlineStr">
        <is>
          <t>XQ04</t>
        </is>
      </c>
      <c r="B448" s="12" t="inlineStr">
        <is>
          <t>Cross-BRD</t>
        </is>
      </c>
      <c r="C448" s="12" t="inlineStr">
        <is>
          <t>Access classes of shared documents</t>
        </is>
      </c>
      <c r="D448" s="12" t="inlineStr">
        <is>
          <t>Final confidentiality matrix per document type, including CSF (CSQ07, EBQ15) Background: The EB spec gives RENEWAL_ADVICE the classes MARKETING and PROCESSING; CSF agents must view and resend RAs and claims reports; claims documents may be confidential</t>
        </is>
      </c>
      <c r="E448" s="12" t="inlineStr">
        <is>
          <t>BDOI_CROSS_BRD_DECISIONS.md section 5</t>
        </is>
      </c>
      <c r="F448" s="32" t="inlineStr">
        <is>
          <t>Open</t>
        </is>
      </c>
      <c r="G448" s="12" t="inlineStr"/>
      <c r="H448" s="12" t="inlineStr"/>
      <c r="I448" s="12" t="inlineStr">
        <is>
          <t>CSQ07, EBQ15</t>
        </is>
      </c>
      <c r="J448" s="12" t="inlineStr">
        <is>
          <t>DCR-094, DCR-148</t>
        </is>
      </c>
    </row>
    <row r="449" ht="67" customHeight="1">
      <c r="A449" s="12" t="inlineStr">
        <is>
          <t>XQ05</t>
        </is>
      </c>
      <c r="B449" s="12" t="inlineStr">
        <is>
          <t>Cross-BRD</t>
        </is>
      </c>
      <c r="C449" s="12" t="inlineStr">
        <is>
          <t>What is a "claims report" (BRCSF-009)</t>
        </is>
      </c>
      <c r="D449" s="12" t="inlineStr">
        <is>
          <t>Which claim documents does the contact centre retrieve, and should claim documents use the platform DOCUMENT_TYPE list or BCL_DOCUMENT_TYPE? (CLQ26, CSQ07) Background: Claims keeps its own document-type LOV (BCL_DOCUMENT_TYPE: PLA, CRF, estimate, offer, LOA, release papers ...); CSF expects CLAIM_REPORT</t>
        </is>
      </c>
      <c r="E449" s="12" t="inlineStr">
        <is>
          <t>BDOI_CROSS_BRD_DECISIONS.md section 5</t>
        </is>
      </c>
      <c r="F449" s="32" t="inlineStr">
        <is>
          <t>Open</t>
        </is>
      </c>
      <c r="G449" s="12" t="inlineStr"/>
      <c r="H449" s="12" t="inlineStr"/>
      <c r="I449" s="12" t="inlineStr">
        <is>
          <t>CLQ26</t>
        </is>
      </c>
      <c r="J449" s="12" t="inlineStr">
        <is>
          <t>DCR-148</t>
        </is>
      </c>
    </row>
    <row r="450" ht="54.4" customHeight="1">
      <c r="A450" s="12" t="inlineStr">
        <is>
          <t>XQ06</t>
        </is>
      </c>
      <c r="B450" s="12" t="inlineStr">
        <is>
          <t>Cross-BRD</t>
        </is>
      </c>
      <c r="C450" s="12" t="inlineStr">
        <is>
          <t>Renewal persistency report</t>
        </is>
      </c>
      <c r="D450" s="12" t="inlineStr">
        <is>
          <t>Layout and definition of the general Renewal Persistency Report Background: Report List #135: SP builds SBM-PERSISTENCY for submitted accounts and says the general report belongs to Renewal; the Renewal design has no persistency report</t>
        </is>
      </c>
      <c r="E450" s="12" t="inlineStr">
        <is>
          <t>BDOI_CROSS_BRD_DECISIONS.md section 5</t>
        </is>
      </c>
      <c r="F450" s="32" t="inlineStr">
        <is>
          <t>Open</t>
        </is>
      </c>
      <c r="G450" s="12" t="inlineStr"/>
      <c r="H450" s="12" t="inlineStr"/>
      <c r="I450" s="12" t="inlineStr"/>
      <c r="J450" s="12" t="inlineStr">
        <is>
          <t>DCR-149</t>
        </is>
      </c>
    </row>
    <row r="451" ht="29.2" customHeight="1">
      <c r="A451" s="12" t="inlineStr">
        <is>
          <t>XQ07</t>
        </is>
      </c>
      <c r="B451" s="12" t="inlineStr">
        <is>
          <t>Cross-BRD</t>
        </is>
      </c>
      <c r="C451" s="12" t="inlineStr">
        <is>
          <t>Question-ID collision</t>
        </is>
      </c>
      <c r="D451" s="12" t="inlineStr">
        <is>
          <t>Rename one series (e.g. SANC to SNQ) or always cite with the BRD prefix? Background: SP SQ01-SQ25 and SANC SQ01-SQ20 share the prefix</t>
        </is>
      </c>
      <c r="E451" s="12" t="inlineStr">
        <is>
          <t>BDOI_CROSS_BRD_DECISIONS.md section 5</t>
        </is>
      </c>
      <c r="F451" s="32" t="inlineStr">
        <is>
          <t>Open</t>
        </is>
      </c>
      <c r="G451" s="12" t="inlineStr"/>
      <c r="H451" s="12" t="inlineStr"/>
      <c r="I451" s="12" t="inlineStr"/>
      <c r="J451" s="12" t="inlineStr"/>
    </row>
    <row r="452" ht="92.2" customHeight="1">
      <c r="A452" s="12" t="inlineStr">
        <is>
          <t>XQ08</t>
        </is>
      </c>
      <c r="B452" s="12" t="inlineStr">
        <is>
          <t>Cross-BRD</t>
        </is>
      </c>
      <c r="C452" s="12" t="inlineStr">
        <is>
          <t>NFR alignment</t>
        </is>
      </c>
      <c r="D452" s="12" t="inlineStr">
        <is>
          <t>One BIBS-wide NFR set (OQ44, CQ25, AQ27, PQ18, CLQ24, EBQ25, CSQ11, SP SQ21 / SQ22, RQ28) Background: Every later BRD adds an NFR set: CLM Mon-Fri 06:00-20:00, RPO 4 h; EB 99.99%, 08:30-19:00, RPO 24 h; CSF 06:00-22:00, backup every 15 minutes; SANC 08:00-18:00, 5 + 5 years; UAM and RN "follow QPS"; SP 2 s response, 5 + 5 years</t>
        </is>
      </c>
      <c r="E452" s="12" t="inlineStr">
        <is>
          <t>BDOI_CROSS_BRD_DECISIONS.md section 5</t>
        </is>
      </c>
      <c r="F452" s="32" t="inlineStr">
        <is>
          <t>Partially answered</t>
        </is>
      </c>
      <c r="G452" s="12" t="inlineStr">
        <is>
          <t>Umbrella: retention 5 / 15, backup every 4 hours kept 5 years, response under 5 s, users per role (1,344 / 429). Availability, hours and maintenance still per BRD. BRD-13 refers to a consolidated NFR document not in the pack (DMQ29). (BRD-00 p.42-45; BRD-13 p.13-14)</t>
        </is>
      </c>
      <c r="H452" s="12" t="inlineStr"/>
      <c r="I452" s="12" t="inlineStr">
        <is>
          <t>OQ44, CQ25, AQ27, PQ18, CLQ24, EBQ25, CSQ11, CSQ12, SP-SQ21, SP-SQ22, RQ28, UQ12, Q39, SANC-SQ18, CRQ21, CRQ22, CRQ24, DMQ29</t>
        </is>
      </c>
      <c r="J452" s="12" t="inlineStr">
        <is>
          <t>DCR-007, DCR-057, DCR-071, DCR-102, DCR-133, DCR-134, DCR-135, DCR-136, DCR-137, DCR-138, DCR-165, DCR-193</t>
        </is>
      </c>
    </row>
    <row r="453" ht="41.8" customHeight="1">
      <c r="A453" s="12" t="inlineStr">
        <is>
          <t>XQ09</t>
        </is>
      </c>
      <c r="B453" s="12" t="inlineStr">
        <is>
          <t>Cross-BRD</t>
        </is>
      </c>
      <c r="C453" s="12" t="inlineStr">
        <is>
          <t>Late renewal requests report</t>
        </is>
      </c>
      <c r="D453" s="12" t="inlineStr">
        <is>
          <t>Is it still needed, and is it a Renewal listing variant? (RQ29) Background: (BRNB.018, Q09). Neither the RN BRD nor the Report List (#182 is a package report) defines it</t>
        </is>
      </c>
      <c r="E453" s="12" t="inlineStr">
        <is>
          <t>BDOI_CROSS_BRD_DECISIONS.md section 5</t>
        </is>
      </c>
      <c r="F453" s="32" t="inlineStr">
        <is>
          <t>Open</t>
        </is>
      </c>
      <c r="G453" s="12" t="inlineStr"/>
      <c r="H453" s="12" t="inlineStr"/>
      <c r="I453" s="12" t="inlineStr">
        <is>
          <t>Q09, RQ29</t>
        </is>
      </c>
      <c r="J453" s="12" t="inlineStr">
        <is>
          <t>DCR-009</t>
        </is>
      </c>
    </row>
    <row r="454" ht="29.2" customHeight="1">
      <c r="A454" s="12" t="inlineStr">
        <is>
          <t>XQ10</t>
        </is>
      </c>
      <c r="B454" s="12" t="inlineStr">
        <is>
          <t>Cross-BRD</t>
        </is>
      </c>
      <c r="C454" s="12" t="inlineStr">
        <is>
          <t>Total-loss indicator</t>
        </is>
      </c>
      <c r="D454" s="12" t="inlineStr">
        <is>
          <t>Should Claims record a total-loss indicator (settlement type, loss nature or flag)? Background: (CLQ28, RQ13)</t>
        </is>
      </c>
      <c r="E454" s="12" t="inlineStr">
        <is>
          <t>BDOI_CROSS_BRD_DECISIONS.md section 5</t>
        </is>
      </c>
      <c r="F454" s="32" t="inlineStr">
        <is>
          <t>Open</t>
        </is>
      </c>
      <c r="G454" s="12" t="inlineStr"/>
      <c r="H454" s="12" t="inlineStr"/>
      <c r="I454" s="12" t="inlineStr">
        <is>
          <t>CLQ28, RQ13</t>
        </is>
      </c>
      <c r="J454" s="12" t="inlineStr">
        <is>
          <t>DCR-150</t>
        </is>
      </c>
    </row>
    <row r="455" ht="29.2" customHeight="1">
      <c r="A455" s="12" t="inlineStr">
        <is>
          <t>XQ11</t>
        </is>
      </c>
      <c r="B455" s="12" t="inlineStr">
        <is>
          <t>Cross-BRD</t>
        </is>
      </c>
      <c r="C455" s="12" t="inlineStr">
        <is>
          <t>Single session per device</t>
        </is>
      </c>
      <c r="D455" s="12" t="inlineStr">
        <is>
          <t>Does it apply to all users? Background: (UQ09, rest of CQ23)</t>
        </is>
      </c>
      <c r="E455" s="12" t="inlineStr">
        <is>
          <t>BDOI_CROSS_BRD_DECISIONS.md section 5</t>
        </is>
      </c>
      <c r="F455" s="32" t="inlineStr">
        <is>
          <t>Open</t>
        </is>
      </c>
      <c r="G455" s="12" t="inlineStr"/>
      <c r="H455" s="12" t="inlineStr"/>
      <c r="I455" s="12" t="inlineStr">
        <is>
          <t>UQ09, CQ23</t>
        </is>
      </c>
      <c r="J455" s="12" t="inlineStr">
        <is>
          <t>DCR-044, DCR-141</t>
        </is>
      </c>
    </row>
    <row r="456" ht="54.4" customHeight="1">
      <c r="A456" s="12" t="inlineStr">
        <is>
          <t>XQ12</t>
        </is>
      </c>
      <c r="B456" s="12" t="inlineStr">
        <is>
          <t>Cross-BRD</t>
        </is>
      </c>
      <c r="C456" s="12" t="inlineStr">
        <is>
          <t>CSF case management</t>
        </is>
      </c>
      <c r="D456" s="12" t="inlineStr">
        <is>
          <t>Is CSF case resolution in phase 1? (CRQ04) Background: (Core CF-01). The umbrella asks for case resolution, adding and editing case details and status (capability 16, BR-165, p.22); BRD-9 puts case management out of scope, with SharePoint as the interim (CSF-EM10)</t>
        </is>
      </c>
      <c r="E456" s="12" t="inlineStr">
        <is>
          <t>BDOI_CROSS_BRD_DECISIONS.md section 5</t>
        </is>
      </c>
      <c r="F456" s="32" t="inlineStr">
        <is>
          <t>Open</t>
        </is>
      </c>
      <c r="G456" s="12" t="inlineStr"/>
      <c r="H456" s="12" t="inlineStr"/>
      <c r="I456" s="12" t="inlineStr">
        <is>
          <t>CRQ04, CSQ09</t>
        </is>
      </c>
      <c r="J456" s="12" t="inlineStr"/>
    </row>
    <row r="457" ht="67" customHeight="1">
      <c r="A457" s="12" t="inlineStr">
        <is>
          <t>XQ13</t>
        </is>
      </c>
      <c r="B457" s="12" t="inlineStr">
        <is>
          <t>Cross-BRD</t>
        </is>
      </c>
      <c r="C457" s="12" t="inlineStr">
        <is>
          <t>Claims cheque custody</t>
        </is>
      </c>
      <c r="D457" s="12" t="inlineStr">
        <is>
          <t>Does BDOI hold settlement cheques, which unit keeps them, and what is recorded at hand-over and release? (CRQ03, CLQ10) Background: (Core CF-02). The umbrella asks for safekeeping of unclaimed cheques and hand-over to and retrieval from Cashiering (BR-146 to BR-148, p.21); BRD-7 has no claim money through BDOI</t>
        </is>
      </c>
      <c r="E457" s="12" t="inlineStr">
        <is>
          <t>BDOI_CROSS_BRD_DECISIONS.md section 5</t>
        </is>
      </c>
      <c r="F457" s="32" t="inlineStr">
        <is>
          <t>Open</t>
        </is>
      </c>
      <c r="G457" s="12" t="inlineStr"/>
      <c r="H457" s="12" t="inlineStr"/>
      <c r="I457" s="12" t="inlineStr">
        <is>
          <t>CRQ03, CLQ10</t>
        </is>
      </c>
      <c r="J457" s="12" t="inlineStr"/>
    </row>
  </sheetData>
  <autoFilter ref="A4:J457"/>
  <mergeCells count="1">
    <mergeCell ref="A2:J2"/>
  </mergeCells>
  <conditionalFormatting sqref="F5:F957">
    <cfRule type="cellIs" priority="2" operator="equal" dxfId="0" stopIfTrue="1">
      <formula>"Open"</formula>
    </cfRule>
    <cfRule type="cellIs" priority="3" operator="equal" dxfId="1" stopIfTrue="1">
      <formula>"Answered"</formula>
    </cfRule>
    <cfRule type="cellIs" priority="4" operator="equal" dxfId="5" stopIfTrue="1">
      <formula>"Partially answered"</formula>
    </cfRule>
  </conditionalFormatting>
  <conditionalFormatting sqref="A5:J957">
    <cfRule type="expression" priority="1" dxfId="2">
      <formula>AND(MOD(ROW(),2)=0,$A5&lt;&gt;"")</formula>
    </cfRule>
  </conditionalFormatting>
  <dataValidations count="1">
    <dataValidation sqref="F5:F957" showDropDown="0" showInputMessage="0" showErrorMessage="1" allowBlank="1" errorTitle="Status" error="Choose a value from the list (Status)." type="list">
      <formula1>'_lists'!$E$1:$E$3</formula1>
    </dataValidation>
  </dataValidations>
  <printOptions horizontalCentered="1"/>
  <pageMargins left="0.4" right="0.4" top="0.6" bottom="0.6" header="0.5" footer="0.5"/>
  <pageSetup orientation="landscape" paperSize="8"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2"/>
  <sheetViews>
    <sheetView zoomScale="90"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18"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1" customWidth="1" min="16" max="16"/>
    <col width="24" customWidth="1" min="17" max="17"/>
    <col width="13" customWidth="1" min="18" max="18"/>
  </cols>
  <sheetData>
    <row r="1" ht="24" customHeight="1">
      <c r="A1" s="20" t="inlineStr">
        <is>
          <t>NFR comparison</t>
        </is>
      </c>
    </row>
    <row r="2">
      <c r="A2" s="36" t="inlineStr">
        <is>
          <t>Every NFR theme against each BRD's value. Conflicting rows are highlighted; grey cells: not stated or 'follow QPS'.</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37" t="inlineStr">
        <is>
          <t>NFR theme</t>
        </is>
      </c>
      <c r="B4" s="37" t="inlineStr">
        <is>
          <t>BRD-0 CORE</t>
        </is>
      </c>
      <c r="C4" s="37" t="inlineStr">
        <is>
          <t>BRD-1 NB</t>
        </is>
      </c>
      <c r="D4" s="37" t="inlineStr">
        <is>
          <t>BRD-2 OPS</t>
        </is>
      </c>
      <c r="E4" s="37" t="inlineStr">
        <is>
          <t>BRD-3 PM</t>
        </is>
      </c>
      <c r="F4" s="37" t="inlineStr">
        <is>
          <t>BRD-4 CLXN</t>
        </is>
      </c>
      <c r="G4" s="37" t="inlineStr">
        <is>
          <t>BRD-5 ACCT</t>
        </is>
      </c>
      <c r="H4" s="37" t="inlineStr">
        <is>
          <t>BRD-6 RN</t>
        </is>
      </c>
      <c r="I4" s="37" t="inlineStr">
        <is>
          <t>BRD-7 CLM</t>
        </is>
      </c>
      <c r="J4" s="37" t="inlineStr">
        <is>
          <t>BRD-8 EB</t>
        </is>
      </c>
      <c r="K4" s="37" t="inlineStr">
        <is>
          <t>BRD-9 CSF</t>
        </is>
      </c>
      <c r="L4" s="37" t="inlineStr">
        <is>
          <t>BRD-10 SANC</t>
        </is>
      </c>
      <c r="M4" s="37" t="inlineStr">
        <is>
          <t>BRD-11 UAM</t>
        </is>
      </c>
      <c r="N4" s="37" t="inlineStr">
        <is>
          <t>BRD-12 SP</t>
        </is>
      </c>
      <c r="O4" s="37" t="inlineStr">
        <is>
          <t>BRD-13 DM</t>
        </is>
      </c>
      <c r="P4" s="37" t="inlineStr">
        <is>
          <t>Aligned?</t>
        </is>
      </c>
      <c r="Q4" s="37" t="inlineStr">
        <is>
          <t>Proposed BIBS-wide value</t>
        </is>
      </c>
      <c r="R4" s="37" t="inlineStr">
        <is>
          <t>Register items</t>
        </is>
      </c>
    </row>
    <row r="5" ht="50.4" customHeight="1">
      <c r="A5" s="38" t="inlineStr">
        <is>
          <t>Availability target</t>
        </is>
      </c>
      <c r="B5" s="41" t="inlineStr">
        <is>
          <t>Refer to BRD (p.44)</t>
        </is>
      </c>
      <c r="C5" s="42" t="inlineStr">
        <is>
          <t>Follow existing QPS set up (p.212)</t>
        </is>
      </c>
      <c r="D5" s="41" t="inlineStr">
        <is>
          <t>99.9% (p.115)</t>
        </is>
      </c>
      <c r="E5" s="41" t="inlineStr">
        <is>
          <t>99.9% (p.33)</t>
        </is>
      </c>
      <c r="F5" s="42" t="inlineStr">
        <is>
          <t>Not stated; no downtime when scaling (p.54-55)</t>
        </is>
      </c>
      <c r="G5" s="42" t="inlineStr">
        <is>
          <t>Main BRD: follow QPS / EBIX (p.138). Addendum 1: 100% (p.37)</t>
        </is>
      </c>
      <c r="H5" s="42" t="inlineStr">
        <is>
          <t>Follow existing QPS set up (p.187)</t>
        </is>
      </c>
      <c r="I5" s="42" t="inlineStr">
        <is>
          <t>Not stated</t>
        </is>
      </c>
      <c r="J5" s="41" t="inlineStr">
        <is>
          <t>99.99% (p.53)</t>
        </is>
      </c>
      <c r="K5" s="41" t="inlineStr">
        <is>
          <t>99.9% (p.13)</t>
        </is>
      </c>
      <c r="L5" s="41" t="inlineStr">
        <is>
          <t>99.9% (p.24)</t>
        </is>
      </c>
      <c r="M5" s="42" t="inlineStr">
        <is>
          <t>Follow existing QPS set up (p.11)</t>
        </is>
      </c>
      <c r="N5" s="41" t="inlineStr">
        <is>
          <t>99.9% uptime (p.14)</t>
        </is>
      </c>
      <c r="O5" s="42" t="inlineStr">
        <is>
          <t>Not stated; refers to the consolidated NFR, not in the pack (p.13-14)</t>
        </is>
      </c>
      <c r="P5" s="43" t="inlineStr">
        <is>
          <t>CONFLICT</t>
        </is>
      </c>
      <c r="Q5" s="12" t="inlineStr">
        <is>
          <t>99.9% within service hours</t>
        </is>
      </c>
      <c r="R5" s="12" t="inlineStr">
        <is>
          <t>DCR-134, DCR-057</t>
        </is>
      </c>
    </row>
    <row r="6" ht="50.4" customHeight="1">
      <c r="A6" s="38" t="inlineStr">
        <is>
          <t>Service hours</t>
        </is>
      </c>
      <c r="B6" s="41" t="inlineStr">
        <is>
          <t>Refer to BRD (p.44)</t>
        </is>
      </c>
      <c r="C6" s="41" t="inlineStr">
        <is>
          <t>07:00-22:00 Mon-Sat (p.212)</t>
        </is>
      </c>
      <c r="D6" s="41" t="inlineStr">
        <is>
          <t>07:00-18:30; Adjustment and Commission 07:30-18:00 (p.115-119)</t>
        </is>
      </c>
      <c r="E6" s="41" t="inlineStr">
        <is>
          <t>07:00-18:30 (p.33)</t>
        </is>
      </c>
      <c r="F6" s="41" t="inlineStr">
        <is>
          <t>06:00-22:00 Mon-Fri, and month-end weekends (p.54)</t>
        </is>
      </c>
      <c r="G6" s="41" t="inlineStr">
        <is>
          <t>07:00-18:00 Mon-Sat (p.37, p.138)</t>
        </is>
      </c>
      <c r="H6" s="41" t="inlineStr">
        <is>
          <t>07:00-22:00 Mon-Sat (p.187)</t>
        </is>
      </c>
      <c r="I6" s="41" t="inlineStr">
        <is>
          <t>06:00-20:00 Mon-Fri (p.37)</t>
        </is>
      </c>
      <c r="J6" s="41" t="inlineStr">
        <is>
          <t>08:30-19:00 (p.53)</t>
        </is>
      </c>
      <c r="K6" s="41" t="inlineStr">
        <is>
          <t>06:00-22:00 (p.13)</t>
        </is>
      </c>
      <c r="L6" s="41" t="inlineStr">
        <is>
          <t>08:00-18:00 Mon-Fri (p.25)</t>
        </is>
      </c>
      <c r="M6" s="42" t="inlineStr">
        <is>
          <t>Follow existing QPS set up (p.11)</t>
        </is>
      </c>
      <c r="N6" s="41" t="inlineStr">
        <is>
          <t>Business hours (p.14)</t>
        </is>
      </c>
      <c r="O6" s="42" t="inlineStr">
        <is>
          <t>Not stated; refers to the consolidated NFR, not in the pack (p.13-14)</t>
        </is>
      </c>
      <c r="P6" s="43" t="inlineStr">
        <is>
          <t>CONFLICT</t>
        </is>
      </c>
      <c r="Q6" s="12" t="inlineStr">
        <is>
          <t>06:00-22:00 Mon-Sat, plus month-end weekends</t>
        </is>
      </c>
      <c r="R6" s="12" t="inlineStr">
        <is>
          <t>DCR-133</t>
        </is>
      </c>
    </row>
    <row r="7" ht="50.4" customHeight="1">
      <c r="A7" s="38" t="inlineStr">
        <is>
          <t>Maintenance window</t>
        </is>
      </c>
      <c r="B7" s="41" t="inlineStr">
        <is>
          <t>Refer to BRD (p.44)</t>
        </is>
      </c>
      <c r="C7" s="42" t="inlineStr">
        <is>
          <t>Follow existing QPS set up (p.212)</t>
        </is>
      </c>
      <c r="D7" s="41" t="inlineStr">
        <is>
          <t>As per bank standard (p.116)</t>
        </is>
      </c>
      <c r="E7" s="41" t="inlineStr">
        <is>
          <t>As per bank standard (p.33)</t>
        </is>
      </c>
      <c r="F7" s="41" t="inlineStr">
        <is>
          <t>Follow standard window time (p.55)</t>
        </is>
      </c>
      <c r="G7" s="41" t="inlineStr">
        <is>
          <t>19:00-07:00 (p.37)</t>
        </is>
      </c>
      <c r="H7" s="42" t="inlineStr">
        <is>
          <t>Follow existing QPS set up (p.187)</t>
        </is>
      </c>
      <c r="I7" s="41" t="inlineStr">
        <is>
          <t>Standard maintenance window (p.37)</t>
        </is>
      </c>
      <c r="J7" s="41" t="inlineStr">
        <is>
          <t>As per bank standard (p.53)</t>
        </is>
      </c>
      <c r="K7" s="41" t="inlineStr">
        <is>
          <t>21:00-05:00 weekdays and Saturdays (p.13)</t>
        </is>
      </c>
      <c r="L7" s="41" t="inlineStr">
        <is>
          <t>00:00-04:00 (p.25)</t>
        </is>
      </c>
      <c r="M7" s="42" t="inlineStr">
        <is>
          <t>Follow existing QPS set up (p.11)</t>
        </is>
      </c>
      <c r="N7" s="41" t="inlineStr">
        <is>
          <t>00:00-04:00 (p.14)</t>
        </is>
      </c>
      <c r="O7" s="42" t="inlineStr">
        <is>
          <t>Not stated; refers to the consolidated NFR, not in the pack (p.13-14)</t>
        </is>
      </c>
      <c r="P7" s="43" t="inlineStr">
        <is>
          <t>CONFLICT</t>
        </is>
      </c>
      <c r="Q7" s="12" t="inlineStr">
        <is>
          <t>00:00-04:00</t>
        </is>
      </c>
      <c r="R7" s="12" t="inlineStr">
        <is>
          <t>DCR-138, DCR-103</t>
        </is>
      </c>
    </row>
    <row r="8" ht="50.4" customHeight="1">
      <c r="A8" s="38" t="inlineStr">
        <is>
          <t>Allowed downtime / BCP threshold</t>
        </is>
      </c>
      <c r="B8" s="41" t="inlineStr">
        <is>
          <t>Refer to BRD (p.44)</t>
        </is>
      </c>
      <c r="C8" s="42" t="inlineStr">
        <is>
          <t>Follow existing QPS set up (p.212)</t>
        </is>
      </c>
      <c r="D8" s="42" t="inlineStr">
        <is>
          <t>Not stated</t>
        </is>
      </c>
      <c r="E8" s="42" t="inlineStr">
        <is>
          <t>Not stated</t>
        </is>
      </c>
      <c r="F8" s="41" t="inlineStr">
        <is>
          <t>Database scaling up to 120 minutes, manual (p.54-55)</t>
        </is>
      </c>
      <c r="G8" s="41" t="inlineStr">
        <is>
          <t>Less than 24 hours a month / year; BCP less than 3 days (p.37)</t>
        </is>
      </c>
      <c r="H8" s="42" t="inlineStr">
        <is>
          <t>Follow existing QPS set up (p.187)</t>
        </is>
      </c>
      <c r="I8" s="41" t="inlineStr">
        <is>
          <t>Database scaling up to 120 minutes (p.37)</t>
        </is>
      </c>
      <c r="J8" s="42" t="inlineStr">
        <is>
          <t>Not stated</t>
        </is>
      </c>
      <c r="K8" s="42" t="inlineStr">
        <is>
          <t>Not stated</t>
        </is>
      </c>
      <c r="L8" s="41" t="inlineStr">
        <is>
          <t>At most 45 minutes a month, planned only; BCP less than 3 days (p.25)</t>
        </is>
      </c>
      <c r="M8" s="42" t="inlineStr">
        <is>
          <t>Follow existing QPS set up (p.11)</t>
        </is>
      </c>
      <c r="N8" s="41" t="inlineStr">
        <is>
          <t>At most 45 minutes a month, planned only (p.14)</t>
        </is>
      </c>
      <c r="O8" s="42" t="inlineStr">
        <is>
          <t>Not stated; refers to the consolidated NFR, not in the pack (p.13-14)</t>
        </is>
      </c>
      <c r="P8" s="43" t="inlineStr">
        <is>
          <t>CONFLICT</t>
        </is>
      </c>
      <c r="Q8" s="12" t="inlineStr">
        <is>
          <t>At most 45 minutes a month of planned downtime, inside the maintenance window</t>
        </is>
      </c>
      <c r="R8" s="12" t="inlineStr">
        <is>
          <t>DCR-134</t>
        </is>
      </c>
    </row>
    <row r="9" ht="50.4" customHeight="1">
      <c r="A9" s="38" t="inlineStr">
        <is>
          <t>RTO</t>
        </is>
      </c>
      <c r="B9" s="42" t="inlineStr">
        <is>
          <t>Not stated</t>
        </is>
      </c>
      <c r="C9" s="42" t="inlineStr">
        <is>
          <t>Follow existing QPS set up (p.212)</t>
        </is>
      </c>
      <c r="D9" s="44" t="inlineStr">
        <is>
          <t>4 hours (p.115-118)</t>
        </is>
      </c>
      <c r="E9" s="44" t="inlineStr">
        <is>
          <t>4 hours (p.33)</t>
        </is>
      </c>
      <c r="F9" s="44" t="inlineStr">
        <is>
          <t>4 hours (p.55)</t>
        </is>
      </c>
      <c r="G9" s="42" t="inlineStr">
        <is>
          <t>Not stated</t>
        </is>
      </c>
      <c r="H9" s="42" t="inlineStr">
        <is>
          <t>Follow existing QPS set up (p.187)</t>
        </is>
      </c>
      <c r="I9" s="44" t="inlineStr">
        <is>
          <t>4 hours (p.37)</t>
        </is>
      </c>
      <c r="J9" s="44" t="inlineStr">
        <is>
          <t>4 hours (p.53)</t>
        </is>
      </c>
      <c r="K9" s="44" t="inlineStr">
        <is>
          <t>4 hours (p.13)</t>
        </is>
      </c>
      <c r="L9" s="42" t="inlineStr">
        <is>
          <t>Not stated</t>
        </is>
      </c>
      <c r="M9" s="42" t="inlineStr">
        <is>
          <t>Follow existing QPS set up (p.11)</t>
        </is>
      </c>
      <c r="N9" s="44" t="inlineStr">
        <is>
          <t>4 hours for critical services; full recovery 24 hours (p.14)</t>
        </is>
      </c>
      <c r="O9" s="42" t="inlineStr">
        <is>
          <t>Not stated; refers to the consolidated NFR, not in the pack (p.13-14)</t>
        </is>
      </c>
      <c r="P9" s="45" t="inlineStr">
        <is>
          <t>ALIGNED</t>
        </is>
      </c>
      <c r="Q9" s="12" t="inlineStr">
        <is>
          <t>4 hours</t>
        </is>
      </c>
      <c r="R9" s="12" t="inlineStr">
        <is>
          <t>DCR-135</t>
        </is>
      </c>
    </row>
    <row r="10" ht="50.4" customHeight="1">
      <c r="A10" s="38" t="inlineStr">
        <is>
          <t>RPO</t>
        </is>
      </c>
      <c r="B10" s="42" t="inlineStr">
        <is>
          <t>Not stated</t>
        </is>
      </c>
      <c r="C10" s="42" t="inlineStr">
        <is>
          <t>Follow existing QPS set up (p.212)</t>
        </is>
      </c>
      <c r="D10" s="41" t="inlineStr">
        <is>
          <t>24 hours (p.115-118)</t>
        </is>
      </c>
      <c r="E10" s="41" t="inlineStr">
        <is>
          <t>24 hours (p.33)</t>
        </is>
      </c>
      <c r="F10" s="41" t="inlineStr">
        <is>
          <t>4 hours (p.55)</t>
        </is>
      </c>
      <c r="G10" s="42" t="inlineStr">
        <is>
          <t>Not stated</t>
        </is>
      </c>
      <c r="H10" s="42" t="inlineStr">
        <is>
          <t>Follow existing QPS set up (p.187)</t>
        </is>
      </c>
      <c r="I10" s="41" t="inlineStr">
        <is>
          <t>4 hours (p.38)</t>
        </is>
      </c>
      <c r="J10" s="41" t="inlineStr">
        <is>
          <t>24 hours (p.53)</t>
        </is>
      </c>
      <c r="K10" s="41" t="inlineStr">
        <is>
          <t>4 hours (p.13)</t>
        </is>
      </c>
      <c r="L10" s="42" t="inlineStr">
        <is>
          <t>Not stated</t>
        </is>
      </c>
      <c r="M10" s="42" t="inlineStr">
        <is>
          <t>Follow existing QPS set up (p.11)</t>
        </is>
      </c>
      <c r="N10" s="42" t="inlineStr">
        <is>
          <t>Not stated</t>
        </is>
      </c>
      <c r="O10" s="42" t="inlineStr">
        <is>
          <t>Not stated; refers to the consolidated NFR, not in the pack (p.13-14)</t>
        </is>
      </c>
      <c r="P10" s="43" t="inlineStr">
        <is>
          <t>CONFLICT</t>
        </is>
      </c>
      <c r="Q10" s="12" t="inlineStr">
        <is>
          <t>15 minutes (continuous log archiving)</t>
        </is>
      </c>
      <c r="R10" s="12" t="inlineStr">
        <is>
          <t>DCR-135, DCR-102</t>
        </is>
      </c>
    </row>
    <row r="11" ht="50.4" customHeight="1">
      <c r="A11" s="38" t="inlineStr">
        <is>
          <t>Backup frequency</t>
        </is>
      </c>
      <c r="B11" s="41" t="inlineStr">
        <is>
          <t>Every 4 hours (p.45)</t>
        </is>
      </c>
      <c r="C11" s="41" t="inlineStr">
        <is>
          <t>Every 4 hours (p.82)</t>
        </is>
      </c>
      <c r="D11" s="41" t="inlineStr">
        <is>
          <t>Every 4 hours (p.120)</t>
        </is>
      </c>
      <c r="E11" s="42" t="inlineStr">
        <is>
          <t>Not stated</t>
        </is>
      </c>
      <c r="F11" s="41" t="inlineStr">
        <is>
          <t>Every 4 hours (p.58)</t>
        </is>
      </c>
      <c r="G11" s="41" t="inlineStr">
        <is>
          <t>Daily (Addendum 1)</t>
        </is>
      </c>
      <c r="H11" s="42" t="inlineStr">
        <is>
          <t>Follow existing QPS set up (p.188)</t>
        </is>
      </c>
      <c r="I11" s="41" t="inlineStr">
        <is>
          <t>Every 4 hours; configuration weekly; documents monthly (p.41)</t>
        </is>
      </c>
      <c r="J11" s="41" t="inlineStr">
        <is>
          <t>Every 4 hours (p.54)</t>
        </is>
      </c>
      <c r="K11" s="41" t="inlineStr">
        <is>
          <t>Every 15 minutes (p.11) and every 4 hours (p.14)</t>
        </is>
      </c>
      <c r="L11" s="41" t="inlineStr">
        <is>
          <t>Daily (p.25)</t>
        </is>
      </c>
      <c r="M11" s="42" t="inlineStr">
        <is>
          <t>Follow existing QPS set up (p.11)</t>
        </is>
      </c>
      <c r="N11" s="41" t="inlineStr">
        <is>
          <t>Daily (p.14)</t>
        </is>
      </c>
      <c r="O11" s="42" t="inlineStr">
        <is>
          <t>Not stated; refers to the consolidated NFR, not in the pack (p.13-14)</t>
        </is>
      </c>
      <c r="P11" s="43" t="inlineStr">
        <is>
          <t>CONFLICT</t>
        </is>
      </c>
      <c r="Q11" s="12" t="inlineStr">
        <is>
          <t>Continuous log archiving plus a base backup every 4 hours</t>
        </is>
      </c>
      <c r="R11" s="12" t="inlineStr">
        <is>
          <t>DCR-102, DCR-135</t>
        </is>
      </c>
    </row>
    <row r="12" ht="50.4" customHeight="1">
      <c r="A12" s="38" t="inlineStr">
        <is>
          <t>Backup retention</t>
        </is>
      </c>
      <c r="B12" s="41" t="inlineStr">
        <is>
          <t>5 years (p.45)</t>
        </is>
      </c>
      <c r="C12" s="41" t="inlineStr">
        <is>
          <t>5 years (p.82)</t>
        </is>
      </c>
      <c r="D12" s="41" t="inlineStr">
        <is>
          <t>7 years (p.120)</t>
        </is>
      </c>
      <c r="E12" s="42" t="inlineStr">
        <is>
          <t>Not stated</t>
        </is>
      </c>
      <c r="F12" s="41" t="inlineStr">
        <is>
          <t>5 years (p.58)</t>
        </is>
      </c>
      <c r="G12" s="41" t="inlineStr">
        <is>
          <t>5 years (Addendum 1)</t>
        </is>
      </c>
      <c r="H12" s="42" t="inlineStr">
        <is>
          <t>Follow existing QPS set up (p.188)</t>
        </is>
      </c>
      <c r="I12" s="41" t="inlineStr">
        <is>
          <t>5 years (p.41)</t>
        </is>
      </c>
      <c r="J12" s="41" t="inlineStr">
        <is>
          <t>7 years (p.54)</t>
        </is>
      </c>
      <c r="K12" s="41" t="inlineStr">
        <is>
          <t>5 years (p.14)</t>
        </is>
      </c>
      <c r="L12" s="41" t="inlineStr">
        <is>
          <t>5 years (p.25)</t>
        </is>
      </c>
      <c r="M12" s="42" t="inlineStr">
        <is>
          <t>Follow existing QPS set up (p.11)</t>
        </is>
      </c>
      <c r="N12" s="41" t="inlineStr">
        <is>
          <t>5 years (p.14)</t>
        </is>
      </c>
      <c r="O12" s="42" t="inlineStr">
        <is>
          <t>Not stated; refers to the consolidated NFR, not in the pack (p.13-14)</t>
        </is>
      </c>
      <c r="P12" s="43" t="inlineStr">
        <is>
          <t>CONFLICT</t>
        </is>
      </c>
      <c r="Q12" s="12" t="inlineStr">
        <is>
          <t>7 years</t>
        </is>
      </c>
      <c r="R12" s="12" t="inlineStr">
        <is>
          <t>DCR-136</t>
        </is>
      </c>
    </row>
    <row r="13" ht="73.59999999999999" customHeight="1">
      <c r="A13" s="38" t="inlineStr">
        <is>
          <t>Data retention (online / archive)</t>
        </is>
      </c>
      <c r="B13" s="41" t="inlineStr">
        <is>
          <t>5 years online, 15 years offline for application, database and audit logs and historical data (p.45); no anonymisation (p.46)</t>
        </is>
      </c>
      <c r="C13" s="42" t="inlineStr">
        <is>
          <t>5 years online, 15 years archive (p.82); main BRD: follow QPS (p.212)</t>
        </is>
      </c>
      <c r="D13" s="41" t="inlineStr">
        <is>
          <t>5 years online, 15 years archive (p.120)</t>
        </is>
      </c>
      <c r="E13" s="42" t="inlineStr">
        <is>
          <t>Not stated</t>
        </is>
      </c>
      <c r="F13" s="41" t="inlineStr">
        <is>
          <t>5 / 15 years, purge after 15; hard copy 5 / 10 (p.58)</t>
        </is>
      </c>
      <c r="G13" s="41" t="inlineStr">
        <is>
          <t>5 years online, 5 years archive (Addendum 1)</t>
        </is>
      </c>
      <c r="H13" s="42" t="inlineStr">
        <is>
          <t>Follow existing QPS set up (p.188)</t>
        </is>
      </c>
      <c r="I13" s="41" t="inlineStr">
        <is>
          <t>10 years online, 15 archive, purge after 15; audit logs archive 16 years (p.41)</t>
        </is>
      </c>
      <c r="J13" s="41" t="inlineStr">
        <is>
          <t>5 years online, 15 years archive (p.54)</t>
        </is>
      </c>
      <c r="K13" s="41" t="inlineStr">
        <is>
          <t>5 years online, 15 years archive (p.14)</t>
        </is>
      </c>
      <c r="L13" s="41" t="inlineStr">
        <is>
          <t>5 years online, 5 years archive (p.25)</t>
        </is>
      </c>
      <c r="M13" s="42" t="inlineStr">
        <is>
          <t>Follow QPS retention policy (p.11)</t>
        </is>
      </c>
      <c r="N13" s="41" t="inlineStr">
        <is>
          <t>5 years online, 5 years archive (p.14)</t>
        </is>
      </c>
      <c r="O13" s="42" t="inlineStr">
        <is>
          <t>Not stated; refers to the consolidated NFR, not in the pack (p.13-14)</t>
        </is>
      </c>
      <c r="P13" s="43" t="inlineStr">
        <is>
          <t>CONFLICT</t>
        </is>
      </c>
      <c r="Q13" s="12" t="inlineStr">
        <is>
          <t>Per record type; default 5 years online, 15 years archive</t>
        </is>
      </c>
      <c r="R13" s="12" t="inlineStr">
        <is>
          <t>DCR-136, DCR-007, DCR-080, DCR-167</t>
        </is>
      </c>
    </row>
    <row r="14" ht="50.4" customHeight="1">
      <c r="A14" s="38" t="inlineStr">
        <is>
          <t>Response time - screens</t>
        </is>
      </c>
      <c r="B14" s="41" t="inlineStr">
        <is>
          <t>Under 5 seconds for every role (p.42)</t>
        </is>
      </c>
      <c r="C14" s="41" t="inlineStr">
        <is>
          <t>10 seconds (p.210)</t>
        </is>
      </c>
      <c r="D14" s="41" t="inlineStr">
        <is>
          <t>Under 5 seconds (p.115)</t>
        </is>
      </c>
      <c r="E14" s="41" t="inlineStr">
        <is>
          <t>Under 5 seconds (p.33)</t>
        </is>
      </c>
      <c r="F14" s="41" t="inlineStr">
        <is>
          <t>5 seconds (p.56)</t>
        </is>
      </c>
      <c r="G14" s="41" t="inlineStr">
        <is>
          <t>Load 5-10 seconds; save 2-5 seconds (p.133-137)</t>
        </is>
      </c>
      <c r="H14" s="41" t="inlineStr">
        <is>
          <t>10 seconds (p.186)</t>
        </is>
      </c>
      <c r="I14" s="41" t="inlineStr">
        <is>
          <t>5 seconds; status updates 1 minute (p.39-40)</t>
        </is>
      </c>
      <c r="J14" s="42" t="inlineStr">
        <is>
          <t>Blank (p.53)</t>
        </is>
      </c>
      <c r="K14" s="41" t="inlineStr">
        <is>
          <t>Under 3 seconds (p.13)</t>
        </is>
      </c>
      <c r="L14" s="41" t="inlineStr">
        <is>
          <t>3-5 seconds per screen (p.22-24)</t>
        </is>
      </c>
      <c r="M14" s="41" t="inlineStr">
        <is>
          <t>10 seconds (p.11)</t>
        </is>
      </c>
      <c r="N14" s="41" t="inlineStr">
        <is>
          <t>2 seconds (p.13)</t>
        </is>
      </c>
      <c r="O14" s="42" t="inlineStr">
        <is>
          <t>Not stated; refers to the consolidated NFR, not in the pack (p.13-14)</t>
        </is>
      </c>
      <c r="P14" s="43" t="inlineStr">
        <is>
          <t>CONFLICT</t>
        </is>
      </c>
      <c r="Q14" s="12" t="inlineStr">
        <is>
          <t>p95 under 2 seconds for screens and single-record actions</t>
        </is>
      </c>
      <c r="R14" s="12" t="inlineStr">
        <is>
          <t>DCR-137, DCR-165</t>
        </is>
      </c>
    </row>
    <row r="15" ht="50.4" customHeight="1">
      <c r="A15" s="38" t="inlineStr">
        <is>
          <t>Response time - reports and batch</t>
        </is>
      </c>
      <c r="B15" s="41" t="inlineStr">
        <is>
          <t>Under 5 seconds for every role (p.42)</t>
        </is>
      </c>
      <c r="C15" s="41" t="inlineStr">
        <is>
          <t>10 seconds (p.210)</t>
        </is>
      </c>
      <c r="D15" s="41" t="inlineStr">
        <is>
          <t>Batch print of 50 documents under 10 seconds (p.115)</t>
        </is>
      </c>
      <c r="E15" s="42" t="inlineStr">
        <is>
          <t>Not stated</t>
        </is>
      </c>
      <c r="F15" s="41" t="inlineStr">
        <is>
          <t>Daily report 3 minutes, weekly 10 minutes, monthly 15 minutes (p.56-57)</t>
        </is>
      </c>
      <c r="G15" s="41" t="inlineStr">
        <is>
          <t>10-20 seconds first load (p.133-137)</t>
        </is>
      </c>
      <c r="H15" s="41" t="inlineStr">
        <is>
          <t>20 seconds for reports and RA generation (p.186)</t>
        </is>
      </c>
      <c r="I15" s="41" t="inlineStr">
        <is>
          <t>5 minutes (p.39-40)</t>
        </is>
      </c>
      <c r="J15" s="42" t="inlineStr">
        <is>
          <t>Blank (p.53)</t>
        </is>
      </c>
      <c r="K15" s="41" t="inlineStr">
        <is>
          <t>5 seconds (p.13)</t>
        </is>
      </c>
      <c r="L15" s="41" t="inlineStr">
        <is>
          <t>3-5 seconds per screen (p.24)</t>
        </is>
      </c>
      <c r="M15" s="41" t="inlineStr">
        <is>
          <t>20 seconds (p.11)</t>
        </is>
      </c>
      <c r="N15" s="41" t="inlineStr">
        <is>
          <t>2 seconds (p.13)</t>
        </is>
      </c>
      <c r="O15" s="42" t="inlineStr">
        <is>
          <t>Not stated; refers to the consolidated NFR, not in the pack (p.13-14)</t>
        </is>
      </c>
      <c r="P15" s="43" t="inlineStr">
        <is>
          <t>CONFLICT</t>
        </is>
      </c>
      <c r="Q15" s="12" t="inlineStr">
        <is>
          <t>Asynchronous jobs with progress; interactive reports under 20 seconds</t>
        </is>
      </c>
      <c r="R15" s="12" t="inlineStr">
        <is>
          <t>DCR-137, DCR-165</t>
        </is>
      </c>
    </row>
    <row r="16" ht="73.59999999999999" customHeight="1">
      <c r="A16" s="38" t="inlineStr">
        <is>
          <t>Users (named / concurrent)</t>
        </is>
      </c>
      <c r="B16" s="41" t="inlineStr">
        <is>
          <t>1,344 / 429 (sum of the BRD rows; 388 without Reinsurance) (p.42)</t>
        </is>
      </c>
      <c r="C16" s="41" t="inlineStr">
        <is>
          <t>485 / 145 (p.210)</t>
        </is>
      </c>
      <c r="D16" s="41" t="inlineStr">
        <is>
          <t>About 50 named, by unit (p.115-119)</t>
        </is>
      </c>
      <c r="E16" s="41" t="inlineStr">
        <is>
          <t>Marketing 485 / 145; MBS 5 / 5; TSU 13 / 13 (p.33)</t>
        </is>
      </c>
      <c r="F16" s="41" t="inlineStr">
        <is>
          <t>130 / 56 (p.56)</t>
        </is>
      </c>
      <c r="G16" s="41" t="inlineStr">
        <is>
          <t>Accounting 5, Disbursement 8, ACSL 6, Marketing 394 / 40, admin 7 (p.133-137)</t>
        </is>
      </c>
      <c r="H16" s="41" t="inlineStr">
        <is>
          <t>485 / 145 for reports and RA (p.186)</t>
        </is>
      </c>
      <c r="I16" s="41" t="inlineStr">
        <is>
          <t>Head Office Claims 28 / 15, branches 9 / 5, Marketing 10 / 5 (p.39)</t>
        </is>
      </c>
      <c r="J16" s="41" t="inlineStr">
        <is>
          <t>20 internal; portal users not sized (p.53)</t>
        </is>
      </c>
      <c r="K16" s="41" t="inlineStr">
        <is>
          <t>24 concurrent (p.13)</t>
        </is>
      </c>
      <c r="L16" s="41" t="inlineStr">
        <is>
          <t>About 300 named; 287 investigators "concurrent" (p.22-24)</t>
        </is>
      </c>
      <c r="M16" s="41" t="inlineStr">
        <is>
          <t>Requestors 14 / 5, approvers 8 / 3 (p.11)</t>
        </is>
      </c>
      <c r="N16" s="41" t="inlineStr">
        <is>
          <t>38 / 21 (p.13)</t>
        </is>
      </c>
      <c r="O16" s="42" t="inlineStr">
        <is>
          <t>Not stated; refers to the consolidated NFR, not in the pack (p.13-14)</t>
        </is>
      </c>
      <c r="P16" s="43" t="inlineStr">
        <is>
          <t>CONFLICT</t>
        </is>
      </c>
      <c r="Q16" s="12" t="inlineStr">
        <is>
          <t>Size for 150 concurrent internal users plus 20% a year; test 429 concurrent sessions (umbrella sum) as the peak case until DCR-166 is answered; portal sized separately</t>
        </is>
      </c>
      <c r="R16" s="12" t="inlineStr">
        <is>
          <t>DCR-110, DCR-092, DCR-166</t>
        </is>
      </c>
    </row>
    <row r="17" ht="62" customHeight="1">
      <c r="A17" s="38" t="inlineStr">
        <is>
          <t>Password policy</t>
        </is>
      </c>
      <c r="B17" s="42" t="inlineStr">
        <is>
          <t>Not stated</t>
        </is>
      </c>
      <c r="C17" s="42" t="inlineStr">
        <is>
          <t>Not stated</t>
        </is>
      </c>
      <c r="D17" s="42" t="inlineStr">
        <is>
          <t>Not stated</t>
        </is>
      </c>
      <c r="E17" s="42" t="inlineStr">
        <is>
          <t>Not stated</t>
        </is>
      </c>
      <c r="F17" s="41" t="inlineStr">
        <is>
          <t>Minimum 8 (admin 12), history 8, change every 90 days, minimum age 1 day (p.51-52)</t>
        </is>
      </c>
      <c r="G17" s="42" t="inlineStr">
        <is>
          <t>Not stated</t>
        </is>
      </c>
      <c r="H17" s="42" t="inlineStr">
        <is>
          <t>Not stated</t>
        </is>
      </c>
      <c r="I17" s="41" t="inlineStr">
        <is>
          <t>Minimum 8 (admin 12), history 8, change every 90 days, minimum age 1 day (p.32-33)</t>
        </is>
      </c>
      <c r="J17" s="42" t="inlineStr">
        <is>
          <t>Not stated</t>
        </is>
      </c>
      <c r="K17" s="41" t="inlineStr">
        <is>
          <t>User ID and password (p.6)</t>
        </is>
      </c>
      <c r="L17" s="42" t="inlineStr">
        <is>
          <t>Not stated</t>
        </is>
      </c>
      <c r="M17" s="41" t="inlineStr">
        <is>
          <t>"Enforce strong password policies"; self-service reset; EUA validates the password (p.14, p.17)</t>
        </is>
      </c>
      <c r="N17" s="42" t="inlineStr">
        <is>
          <t>Not stated</t>
        </is>
      </c>
      <c r="O17" s="42" t="inlineStr">
        <is>
          <t>Not stated; refers to the consolidated NFR, not in the pack (p.13-14)</t>
        </is>
      </c>
      <c r="P17" s="43" t="inlineStr">
        <is>
          <t>CONFLICT</t>
        </is>
      </c>
      <c r="Q17" s="12" t="inlineStr">
        <is>
          <t>BRD-4 values for local accounts; directory policy for EUA accounts</t>
        </is>
      </c>
      <c r="R17" s="12" t="inlineStr">
        <is>
          <t>DCR-144</t>
        </is>
      </c>
    </row>
    <row r="18" ht="50.4" customHeight="1">
      <c r="A18" s="38" t="inlineStr">
        <is>
          <t>Session timeout</t>
        </is>
      </c>
      <c r="B18" s="42" t="inlineStr">
        <is>
          <t>Not stated</t>
        </is>
      </c>
      <c r="C18" s="41" t="inlineStr">
        <is>
          <t>Inactivity warning 15 minutes; log-out 30 minutes (p.93, p.137)</t>
        </is>
      </c>
      <c r="D18" s="42" t="inlineStr">
        <is>
          <t>Not stated</t>
        </is>
      </c>
      <c r="E18" s="42" t="inlineStr">
        <is>
          <t>Not stated</t>
        </is>
      </c>
      <c r="F18" s="41" t="inlineStr">
        <is>
          <t>15 minutes (p.53)</t>
        </is>
      </c>
      <c r="G18" s="42" t="inlineStr">
        <is>
          <t>Not stated</t>
        </is>
      </c>
      <c r="H18" s="41" t="inlineStr">
        <is>
          <t>Inactivity warning 15 minutes; log-out 30 minutes (p.44)</t>
        </is>
      </c>
      <c r="I18" s="41" t="inlineStr">
        <is>
          <t>15 minutes (p.35)</t>
        </is>
      </c>
      <c r="J18" s="42" t="inlineStr">
        <is>
          <t>Not stated</t>
        </is>
      </c>
      <c r="K18" s="42" t="inlineStr">
        <is>
          <t>Not stated</t>
        </is>
      </c>
      <c r="L18" s="42" t="inlineStr">
        <is>
          <t>Not stated</t>
        </is>
      </c>
      <c r="M18" s="41" t="inlineStr">
        <is>
          <t>Inactivity warning 15 minutes; log-out 30 minutes (p.8, p.17)</t>
        </is>
      </c>
      <c r="N18" s="42" t="inlineStr">
        <is>
          <t>Not stated</t>
        </is>
      </c>
      <c r="O18" s="42" t="inlineStr">
        <is>
          <t>Not stated; refers to the consolidated NFR, not in the pack (p.13-14)</t>
        </is>
      </c>
      <c r="P18" s="43" t="inlineStr">
        <is>
          <t>CONFLICT</t>
        </is>
      </c>
      <c r="Q18" s="12" t="inlineStr">
        <is>
          <t>30-minute inactivity log-out, warning at 15 minutes</t>
        </is>
      </c>
      <c r="R18" s="12" t="inlineStr">
        <is>
          <t>DCR-140, DCR-008</t>
        </is>
      </c>
    </row>
    <row r="19" ht="50.4" customHeight="1">
      <c r="A19" s="38" t="inlineStr">
        <is>
          <t>Lock-out after failed log-in</t>
        </is>
      </c>
      <c r="B19" s="42" t="inlineStr">
        <is>
          <t>Not stated</t>
        </is>
      </c>
      <c r="C19" s="42" t="inlineStr">
        <is>
          <t>Not stated</t>
        </is>
      </c>
      <c r="D19" s="42" t="inlineStr">
        <is>
          <t>Not stated</t>
        </is>
      </c>
      <c r="E19" s="42" t="inlineStr">
        <is>
          <t>Not stated</t>
        </is>
      </c>
      <c r="F19" s="44" t="inlineStr">
        <is>
          <t>3 attempts (p.51)</t>
        </is>
      </c>
      <c r="G19" s="42" t="inlineStr">
        <is>
          <t>Not stated</t>
        </is>
      </c>
      <c r="H19" s="42" t="inlineStr">
        <is>
          <t>Not stated</t>
        </is>
      </c>
      <c r="I19" s="44" t="inlineStr">
        <is>
          <t>3 attempts (p.32)</t>
        </is>
      </c>
      <c r="J19" s="42" t="inlineStr">
        <is>
          <t>Not stated</t>
        </is>
      </c>
      <c r="K19" s="42" t="inlineStr">
        <is>
          <t>Not stated</t>
        </is>
      </c>
      <c r="L19" s="42" t="inlineStr">
        <is>
          <t>Not stated</t>
        </is>
      </c>
      <c r="M19" s="44" t="inlineStr">
        <is>
          <t>3 attempts (p.14)</t>
        </is>
      </c>
      <c r="N19" s="42" t="inlineStr">
        <is>
          <t>Not stated</t>
        </is>
      </c>
      <c r="O19" s="42" t="inlineStr">
        <is>
          <t>Not stated; refers to the consolidated NFR, not in the pack (p.13-14)</t>
        </is>
      </c>
      <c r="P19" s="45" t="inlineStr">
        <is>
          <t>ALIGNED</t>
        </is>
      </c>
      <c r="Q19" s="12" t="inlineStr">
        <is>
          <t>3 attempts for every user</t>
        </is>
      </c>
      <c r="R19" s="12" t="inlineStr">
        <is>
          <t>DCR-142</t>
        </is>
      </c>
    </row>
    <row r="20" ht="50.4" customHeight="1">
      <c r="A20" s="38" t="inlineStr">
        <is>
          <t>Sign-in method</t>
        </is>
      </c>
      <c r="B20" s="42" t="inlineStr">
        <is>
          <t>Not stated</t>
        </is>
      </c>
      <c r="C20" s="41" t="inlineStr">
        <is>
          <t>Log-in with a user profile (BRNB.040)</t>
        </is>
      </c>
      <c r="D20" s="42" t="inlineStr">
        <is>
          <t>Not stated</t>
        </is>
      </c>
      <c r="E20" s="42" t="inlineStr">
        <is>
          <t>Not stated</t>
        </is>
      </c>
      <c r="F20" s="41" t="inlineStr">
        <is>
          <t>SSO with Windows credentials (p.51)</t>
        </is>
      </c>
      <c r="G20" s="42" t="inlineStr">
        <is>
          <t>Not stated</t>
        </is>
      </c>
      <c r="H20" s="41" t="inlineStr">
        <is>
          <t>Log-in with a user profile (p.44)</t>
        </is>
      </c>
      <c r="I20" s="41" t="inlineStr">
        <is>
          <t>Windows credentials (p.32)</t>
        </is>
      </c>
      <c r="J20" s="42" t="inlineStr">
        <is>
          <t>Not stated; portal for insurers and clients</t>
        </is>
      </c>
      <c r="K20" s="41" t="inlineStr">
        <is>
          <t>User ID and password (p.6)</t>
        </is>
      </c>
      <c r="L20" s="42" t="inlineStr">
        <is>
          <t>Not stated</t>
        </is>
      </c>
      <c r="M20" s="41" t="inlineStr">
        <is>
          <t>Windows ID through BDO EUA; LDAP / AD or SSO (p.13-14, p.17)</t>
        </is>
      </c>
      <c r="N20" s="42" t="inlineStr">
        <is>
          <t>Not stated</t>
        </is>
      </c>
      <c r="O20" s="42" t="inlineStr">
        <is>
          <t>Not stated; refers to the consolidated NFR, not in the pack (p.13-14)</t>
        </is>
      </c>
      <c r="P20" s="43" t="inlineStr">
        <is>
          <t>CONFLICT</t>
        </is>
      </c>
      <c r="Q20" s="12" t="inlineStr">
        <is>
          <t>Directory sign-in (EUA) for internal users; separate portal sign-in with MFA</t>
        </is>
      </c>
      <c r="R20" s="12" t="inlineStr">
        <is>
          <t>DCR-143, DCR-096</t>
        </is>
      </c>
    </row>
    <row r="21" ht="62" customHeight="1">
      <c r="A21" s="38" t="inlineStr">
        <is>
          <t>Roles and concurrent sessions</t>
        </is>
      </c>
      <c r="B21" s="42" t="inlineStr">
        <is>
          <t>Not stated</t>
        </is>
      </c>
      <c r="C21" s="42" t="inlineStr">
        <is>
          <t>Not stated</t>
        </is>
      </c>
      <c r="D21" s="42" t="inlineStr">
        <is>
          <t>Not stated</t>
        </is>
      </c>
      <c r="E21" s="42" t="inlineStr">
        <is>
          <t>Not stated</t>
        </is>
      </c>
      <c r="F21" s="41" t="inlineStr">
        <is>
          <t>One role per user (3.04); concurrent sessions allowed (9.02) and one session per device (10.07) (p.52-53)</t>
        </is>
      </c>
      <c r="G21" s="42" t="inlineStr">
        <is>
          <t>Not stated</t>
        </is>
      </c>
      <c r="H21" s="42" t="inlineStr">
        <is>
          <t>Not stated</t>
        </is>
      </c>
      <c r="I21" s="41" t="inlineStr">
        <is>
          <t>Concurrent sessions allowed (9.02, p.35)</t>
        </is>
      </c>
      <c r="J21" s="42" t="inlineStr">
        <is>
          <t>Not stated</t>
        </is>
      </c>
      <c r="K21" s="42" t="inlineStr">
        <is>
          <t>Not stated</t>
        </is>
      </c>
      <c r="L21" s="42" t="inlineStr">
        <is>
          <t>Not stated</t>
        </is>
      </c>
      <c r="M21" s="41" t="inlineStr">
        <is>
          <t>Several roles per user (p.13)</t>
        </is>
      </c>
      <c r="N21" s="42" t="inlineStr">
        <is>
          <t>Not stated</t>
        </is>
      </c>
      <c r="O21" s="42" t="inlineStr">
        <is>
          <t>Not stated; refers to the consolidated NFR, not in the pack (p.13-14)</t>
        </is>
      </c>
      <c r="P21" s="43" t="inlineStr">
        <is>
          <t>CONFLICT</t>
        </is>
      </c>
      <c r="Q21" s="12" t="inlineStr">
        <is>
          <t>Several roles per user; single session per device parked until answered</t>
        </is>
      </c>
      <c r="R21" s="12" t="inlineStr">
        <is>
          <t>DCR-044, DCR-045, DCR-141</t>
        </is>
      </c>
    </row>
    <row r="22" ht="62" customHeight="1">
      <c r="A22" s="38" t="inlineStr">
        <is>
          <t>Audit logging</t>
        </is>
      </c>
      <c r="B22" s="42" t="inlineStr">
        <is>
          <t>Not stated</t>
        </is>
      </c>
      <c r="C22" s="44" t="inlineStr">
        <is>
          <t>Audit log report (BRNB.089, p.127)</t>
        </is>
      </c>
      <c r="D22" s="44" t="inlineStr">
        <is>
          <t>Audit trail per transaction; search logs (CSHID.010)</t>
        </is>
      </c>
      <c r="E22" s="44" t="inlineStr">
        <is>
          <t>Audit trail for all actions (BRPM.024, p.31)</t>
        </is>
      </c>
      <c r="F22" s="44" t="inlineStr">
        <is>
          <t>Log-in / log-out, privileged use, admin actions, record access, source IP; exportable (p.52)</t>
        </is>
      </c>
      <c r="G22" s="44" t="inlineStr">
        <is>
          <t>Audit trail per transaction</t>
        </is>
      </c>
      <c r="H22" s="44" t="inlineStr">
        <is>
          <t>Every action with user, time and data source (BRRN rows)</t>
        </is>
      </c>
      <c r="I22" s="44" t="inlineStr">
        <is>
          <t>As BRD-4, including source IP (p.33-34)</t>
        </is>
      </c>
      <c r="J22" s="44" t="inlineStr">
        <is>
          <t>Upload and approval activity logged (BRID-005.01, 025)</t>
        </is>
      </c>
      <c r="K22" s="44" t="inlineStr">
        <is>
          <t>Audit trail report of changes (BRCSF-010 / 011, p.11-12)</t>
        </is>
      </c>
      <c r="L22" s="44" t="inlineStr">
        <is>
          <t>Audit logs and case history (SNSRP-902)</t>
        </is>
      </c>
      <c r="M22" s="44" t="inlineStr">
        <is>
          <t>Role and permission changes, log-in / log-out, audit log report (p.17-18)</t>
        </is>
      </c>
      <c r="N22" s="42" t="inlineStr">
        <is>
          <t>Not stated</t>
        </is>
      </c>
      <c r="O22" s="42" t="inlineStr">
        <is>
          <t>Not stated; refers to the consolidated NFR, not in the pack (p.13-14)</t>
        </is>
      </c>
      <c r="P22" s="45" t="inlineStr">
        <is>
          <t>ALIGNED</t>
        </is>
      </c>
      <c r="Q22" s="12" t="inlineStr">
        <is>
          <t>One audit trail with user, time, source IP and resource; log-out recorded</t>
        </is>
      </c>
      <c r="R22" s="12" t="inlineStr">
        <is>
          <t>DCR-145, DCR-119</t>
        </is>
      </c>
    </row>
  </sheetData>
  <autoFilter ref="A4:R22"/>
  <mergeCells count="1">
    <mergeCell ref="A2:R2"/>
  </mergeCells>
  <printOptions horizontalCentered="1"/>
  <pageMargins left="0.4" right="0.4" top="0.6" bottom="0.6" header="0.5" footer="0.5"/>
  <pageSetup orientation="landscape" paperSize="8"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Drop 0</t>
        </is>
      </c>
      <c r="B1" t="inlineStr">
        <is>
          <t>Contradiction within BRD</t>
        </is>
      </c>
      <c r="C1" t="inlineStr">
        <is>
          <t>High</t>
        </is>
      </c>
      <c r="D1" t="inlineStr">
        <is>
          <t>Open</t>
        </is>
      </c>
      <c r="E1" t="inlineStr">
        <is>
          <t>Open</t>
        </is>
      </c>
    </row>
    <row r="2">
      <c r="A2" t="inlineStr">
        <is>
          <t>Drop 1</t>
        </is>
      </c>
      <c r="B2" t="inlineStr">
        <is>
          <t>Conflict between BRDs</t>
        </is>
      </c>
      <c r="C2" t="inlineStr">
        <is>
          <t>Medium</t>
        </is>
      </c>
      <c r="D2" t="inlineStr">
        <is>
          <t>Answered</t>
        </is>
      </c>
      <c r="E2" t="inlineStr">
        <is>
          <t>Partially answered</t>
        </is>
      </c>
    </row>
    <row r="3">
      <c r="A3" t="inlineStr">
        <is>
          <t>Drop 2</t>
        </is>
      </c>
      <c r="B3" t="inlineStr">
        <is>
          <t>Gap / missing detail</t>
        </is>
      </c>
      <c r="C3" t="inlineStr">
        <is>
          <t>Low</t>
        </is>
      </c>
      <c r="D3" t="inlineStr">
        <is>
          <t>Closed</t>
        </is>
      </c>
      <c r="E3" t="inlineStr">
        <is>
          <t>Answered</t>
        </is>
      </c>
    </row>
    <row r="4">
      <c r="A4" t="inlineStr">
        <is>
          <t>Programme</t>
        </is>
      </c>
      <c r="B4" t="inlineStr">
        <is>
          <t>Ambiguity</t>
        </is>
      </c>
    </row>
    <row r="5">
      <c r="A5" t="inlineStr">
        <is>
          <t>Phase 2</t>
        </is>
      </c>
      <c r="B5" t="inlineStr">
        <is>
          <t>BRD vs platform</t>
        </is>
      </c>
    </row>
    <row r="6">
      <c r="B6" t="inlineStr">
        <is>
          <t>NFR inconsistency</t>
        </is>
      </c>
    </row>
    <row r="7">
      <c r="B7" t="inlineStr">
        <is>
          <t>Data / numbering issue</t>
        </is>
      </c>
    </row>
    <row r="8">
      <c r="B8" t="inlineStr">
        <is>
          <t>Document quality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BRD Discrepancy and Clarification Register</dc:title>
  <dc:subject xmlns:dc="http://purl.org/dc/elements/1.1/">BIBS – BDOI Broker System</dc:subject>
  <dcterms:created xmlns:dcterms="http://purl.org/dc/terms/" xmlns:xsi="http://www.w3.org/2001/XMLSchema-instance" xsi:type="dcterms:W3CDTF">2026-09-26T10:23:55Z</dcterms:created>
  <dcterms:modified xmlns:dcterms="http://purl.org/dc/terms/" xmlns:xsi="http://www.w3.org/2001/XMLSchema-instance" xsi:type="dcterms:W3CDTF">2026-09-26T10:23:55Z</dcterms:modified>
  <cp:keywords>Register, BRD-00, BIBS, BDOI</cp:keywords>
</cp:coreProperties>
</file>