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Fit-Gap" sheetId="3" state="visible" r:id="rId5"/>
    <sheet name="Target Workflow" sheetId="4" state="visible" r:id="rId6"/>
    <sheet name="Platform Impact" sheetId="5" state="visible" r:id="rId7"/>
    <sheet name="Open Questions" sheetId="6" state="visible" r:id="rId8"/>
    <sheet name="Product Catalogue" sheetId="7" state="visible" r:id="rId9"/>
    <sheet name="Calculations" sheetId="8" state="visible" r:id="rId10"/>
    <sheet name="NFR" sheetId="9" state="visible" r:id="rId11"/>
    <sheet name="Legacy BRD Map" sheetId="10" state="visible" r:id="rId12"/>
    <sheet name="Sign-off" sheetId="11" state="visible" r:id="rId13"/>
  </sheets>
  <definedNames>
    <definedName function="false" hidden="true" localSheetId="7" name="_xlnm._FilterDatabase" vbProcedure="false">Calculations!$A$1:$E$1</definedName>
    <definedName function="false" hidden="true" localSheetId="2" name="_xlnm._FilterDatabase" vbProcedure="false">'Fit-Gap'!$A$1:$O$1</definedName>
    <definedName function="false" hidden="true" localSheetId="9" name="_xlnm._FilterDatabase" vbProcedure="false">'Legacy BRD Map'!$A$1:$C$1</definedName>
    <definedName function="false" hidden="true" localSheetId="8" name="_xlnm._FilterDatabase" vbProcedure="false">NFR!$A$1:$D$1</definedName>
    <definedName function="false" hidden="true" localSheetId="5" name="_xlnm._FilterDatabase" vbProcedure="false">'Open Questions'!$A$1:$G$1</definedName>
    <definedName function="false" hidden="true" localSheetId="4" name="_xlnm._FilterDatabase" vbProcedure="false">'Platform Impact'!$A$1:$C$1</definedName>
    <definedName function="false" hidden="true" localSheetId="6" name="_xlnm._FilterDatabase" vbProcedure="false">'Product Catalogue'!$A$1:$E$1</definedName>
    <definedName function="false" hidden="true" localSheetId="3" name="_xlnm._FilterDatabase" vbProcedure="false">'Target Workflow'!$A$1:$G$1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<sst xmlns="http://schemas.openxmlformats.org/spreadsheetml/2006/main" count="2718" uniqueCount="1293">
  <si>
    <t xml:space="preserve">iNXT BrokerVerse - BDOI New Business (BRD-1) Fit / Gap</t>
  </si>
  <si>
    <t xml:space="preserve">BDO Insurance and Reinsurance Brokers, Inc. (Philippines) - requirements baseline and platform fit/gap for concurrence before build</t>
  </si>
  <si>
    <t xml:space="preserve">Purpose</t>
  </si>
  <si>
    <t xml:space="preserve">Trace every requirement in the New Business BRD pack to the iNXT BrokerVerse platform, classify the fit, propose the solution and list the questions BDOI must answer before the build starts.</t>
  </si>
  <si>
    <t xml:space="preserve">Source documents</t>
  </si>
  <si>
    <t xml:space="preserve">1) NB Workshop Addendum, 10-Apr-2026 (BRNB.090-115 and updates to BRNB.004/022/069) - pp.1-44 (two identical signed copies)
2) NB Addendum - Other Lines &amp; Non-Package, 16-Dec-2025 (BRNB.001-039 + Annex risk codes / product lines) - pp.45-90
3) NB Fire &amp; Motor - BRD ID consolidation, 18-Dec-2025 (BRNB.040-089, maps legacy BRD 1.x-3.x IDs) - pp.91-129
4) NB Fire &amp; Motor BRD V06162025 (legacy BRD 1.1.1-3.4.3, NFRs, Appendix A calculations, Appendix B product matrix) - pp.130-218</t>
  </si>
  <si>
    <t xml:space="preserve">Business context</t>
  </si>
  <si>
    <t xml:space="preserve">BDOI is an insurance broker. Insurers issue the policies; BDOI prepares quotations, onboards clients, places risks with insurers, collects premium (e.g. via CLPC loan billing), receives and distributes e-policies, and books the account (commission income, service invoice). BrokerVerse today is built around an insurer core; this workbook shows what is re-used, extended and newly built.</t>
  </si>
  <si>
    <t xml:space="preserve">Fit classes</t>
  </si>
  <si>
    <t xml:space="preserve">FIT: Works today in BrokerVerse; no change beyond set-up
CONFIGURE: Existing capability; parameters / master data only
CHANGE: Existing capability extended or re-purposed for the broker model
NEW: New build
OUT: Out of scope per BRD</t>
  </si>
  <si>
    <t xml:space="preserve">Effort</t>
  </si>
  <si>
    <t xml:space="preserve">S = up to 5 person-days, M = 5-15, L = 15-40, XL = more than 40 (build + unit tests; excludes UAT). Indicative only.</t>
  </si>
  <si>
    <t xml:space="preserve">How to review</t>
  </si>
  <si>
    <t xml:space="preserve">Sheet "Fit-Gap": review each row, choose BDOI concurrence (yellow column) and add comments.
Sheet "Open Questions": answer each question (yellow columns) - answers drive the detailed design.
Sheets "Target Workflow", "Product Catalogue", "Calculations", "NFR" are proposals / transcriptions for confirmation.
Sheet "Sign-off": BDOI and iORTA TechNXT signatories.</t>
  </si>
  <si>
    <t xml:space="preserve">Status</t>
  </si>
  <si>
    <t xml:space="preserve">No build has started. Implementation begins after concurrence on this workbook and answers to the must-answer questions.</t>
  </si>
  <si>
    <t xml:space="preserve">Summary</t>
  </si>
  <si>
    <t xml:space="preserve">Counts are formulas over the Fit-Gap sheet and update as BDOI records concurrence</t>
  </si>
  <si>
    <t xml:space="preserve">Area</t>
  </si>
  <si>
    <t xml:space="preserve">FIT</t>
  </si>
  <si>
    <t xml:space="preserve">CONFIGURE</t>
  </si>
  <si>
    <t xml:space="preserve">CHANGE</t>
  </si>
  <si>
    <t xml:space="preserve">NEW</t>
  </si>
  <si>
    <t xml:space="preserve">OUT</t>
  </si>
  <si>
    <t xml:space="preserve">Total</t>
  </si>
  <si>
    <t xml:space="preserve">Agreed</t>
  </si>
  <si>
    <t xml:space="preserve">Pending review</t>
  </si>
  <si>
    <t xml:space="preserve">Product lines &amp; product rules</t>
  </si>
  <si>
    <t xml:space="preserve">Non-package placement (PRF / QS / TSU)</t>
  </si>
  <si>
    <t xml:space="preserve">Quotation / proposal</t>
  </si>
  <si>
    <t xml:space="preserve">Client (CRM, onboarding, KYC)</t>
  </si>
  <si>
    <t xml:space="preserve">Account (risk record)</t>
  </si>
  <si>
    <t xml:space="preserve">Bulk intake &amp; source systems</t>
  </si>
  <si>
    <t xml:space="preserve">Documents</t>
  </si>
  <si>
    <t xml:space="preserve">Placement with insurers</t>
  </si>
  <si>
    <t xml:space="preserve">Billing &amp; payment confirmation</t>
  </si>
  <si>
    <t xml:space="preserve">E-policy &amp; insurance advice</t>
  </si>
  <si>
    <t xml:space="preserve">Booking, endorsements &amp; cancellation</t>
  </si>
  <si>
    <t xml:space="preserve">Workflow, status &amp; governance</t>
  </si>
  <si>
    <t xml:space="preserve">Reports &amp; dashboards</t>
  </si>
  <si>
    <t xml:space="preserve">Access, security &amp; administration</t>
  </si>
  <si>
    <t xml:space="preserve">Effort by target module (count of rows)</t>
  </si>
  <si>
    <t xml:space="preserve">Target module</t>
  </si>
  <si>
    <t xml:space="preserve">S</t>
  </si>
  <si>
    <t xml:space="preserve">M</t>
  </si>
  <si>
    <t xml:space="preserve">L</t>
  </si>
  <si>
    <t xml:space="preserve">XL</t>
  </si>
  <si>
    <t xml:space="preserve">Rows</t>
  </si>
  <si>
    <t xml:space="preserve">Account</t>
  </si>
  <si>
    <t xml:space="preserve">Administration</t>
  </si>
  <si>
    <t xml:space="preserve">Billing &amp; Collection</t>
  </si>
  <si>
    <t xml:space="preserve">Booking &amp; Accounting</t>
  </si>
  <si>
    <t xml:space="preserve">Bulk Processing</t>
  </si>
  <si>
    <t xml:space="preserve">Client</t>
  </si>
  <si>
    <t xml:space="preserve">Intake</t>
  </si>
  <si>
    <t xml:space="preserve">Integration</t>
  </si>
  <si>
    <t xml:space="preserve">Non-Package Placement</t>
  </si>
  <si>
    <t xml:space="preserve">Placement</t>
  </si>
  <si>
    <t xml:space="preserve">Platform</t>
  </si>
  <si>
    <t xml:space="preserve">Policy Issuance</t>
  </si>
  <si>
    <t xml:space="preserve">Product &amp; Rules</t>
  </si>
  <si>
    <t xml:space="preserve">Quotation</t>
  </si>
  <si>
    <t xml:space="preserve">Reports</t>
  </si>
  <si>
    <t xml:space="preserve">Security</t>
  </si>
  <si>
    <t xml:space="preserve">Workflow</t>
  </si>
  <si>
    <t xml:space="preserve">Open questions answered</t>
  </si>
  <si>
    <t xml:space="preserve">BR ID</t>
  </si>
  <si>
    <t xml:space="preserve">Persona</t>
  </si>
  <si>
    <t xml:space="preserve">Requirement</t>
  </si>
  <si>
    <t xml:space="preserve">Key acceptance criteria</t>
  </si>
  <si>
    <t xml:space="preserve">Legacy BRD IDs</t>
  </si>
  <si>
    <t xml:space="preserve">Source</t>
  </si>
  <si>
    <t xml:space="preserve">Fit</t>
  </si>
  <si>
    <t xml:space="preserve">Current BrokerVerse capability</t>
  </si>
  <si>
    <t xml:space="preserve">Proposed solution</t>
  </si>
  <si>
    <t xml:space="preserve">Questions</t>
  </si>
  <si>
    <t xml:space="preserve">BDOI concurrence</t>
  </si>
  <si>
    <t xml:space="preserve">BDOI comments</t>
  </si>
  <si>
    <t xml:space="preserve">BRNB.001</t>
  </si>
  <si>
    <t xml:space="preserve">System</t>
  </si>
  <si>
    <t xml:space="preserve">Other Lines follow the same workflow as Fire and Motor (quotation -&gt; client/account -&gt; placement -&gt; billing -&gt; issuance -&gt; reporting)</t>
  </si>
  <si>
    <t xml:space="preserve">Product codes mapped/validated at creation; workflow steps mirror Fire &amp; Motor; mis-mapping logged</t>
  </si>
  <si>
    <t xml:space="preserve">NB Addendum - Other Lines &amp; Non-Package (Dec-2025) pp.45-90</t>
  </si>
  <si>
    <t xml:space="preserve">Product master with line of business; one underwriting workflow for all products</t>
  </si>
  <si>
    <t xml:space="preserve">Product master keyed by BDOI risk code (CAR00..TRP03, MTRxx, PARxx) and product line / cover type; single NB workflow engine shared by all lines</t>
  </si>
  <si>
    <t xml:space="preserve">Q01</t>
  </si>
  <si>
    <t xml:space="preserve">BRNB.002</t>
  </si>
  <si>
    <t xml:space="preserve">Capture critical (product-specific) fields</t>
  </si>
  <si>
    <t xml:space="preserve">All product-specific fields stored; no missing/incorrect entries</t>
  </si>
  <si>
    <t xml:space="preserve">Risk details per policy (generic + marine details)</t>
  </si>
  <si>
    <t xml:space="preserve">Product-driven risk schema: field definitions per product line (motor vehicle, property location, engineering project, liability, marine, PA insured persons ...)</t>
  </si>
  <si>
    <t xml:space="preserve">Q02</t>
  </si>
  <si>
    <t xml:space="preserve">BRNB.003</t>
  </si>
  <si>
    <t xml:space="preserve">Apply validation rules by product type</t>
  </si>
  <si>
    <t xml:space="preserve">Rules applied dynamically by product; invalid data prevented</t>
  </si>
  <si>
    <t xml:space="preserve">Bean validation + underwriting rules (fixed in code)</t>
  </si>
  <si>
    <t xml:space="preserve">Configurable rule set per product (mandatory, LOV, range, cross-field) evaluated server-side and mirrored in UI</t>
  </si>
  <si>
    <t xml:space="preserve">BRNB.004</t>
  </si>
  <si>
    <t xml:space="preserve">Marketing</t>
  </si>
  <si>
    <t xml:space="preserve">Shared templates with dynamic fields; standard intake template for quotation/proposal (updated in workshop: package + non-package, versioned)</t>
  </si>
  <si>
    <t xml:space="preserve">Templates auto-populate product data; completeness validated before creation; template versioning maintained</t>
  </si>
  <si>
    <t xml:space="preserve">NB Workshop Addendum (Apr-2026) pp.1-44 / NB Addendum - Other Lines &amp; Non-Package (Dec-2025) pp.45-90</t>
  </si>
  <si>
    <t xml:space="preserve">Report/PDF rendering exists; no document template engine</t>
  </si>
  <si>
    <t xml:space="preserve">Versioned document &amp; intake template library (HTML-&gt;PDF / XLSX) with merge fields per product; intake template version stamped on each quotation</t>
  </si>
  <si>
    <t xml:space="preserve">Q03</t>
  </si>
  <si>
    <t xml:space="preserve">BRNB.093</t>
  </si>
  <si>
    <t xml:space="preserve">Data standards for risk information (vehicle, property, address)</t>
  </si>
  <si>
    <t xml:space="preserve">Product matrix defines minimum fields per line; incomplete data fails validation; required fields configurable per LOB</t>
  </si>
  <si>
    <t xml:space="preserve">NB Workshop Addendum (Apr-2026) pp.1-44</t>
  </si>
  <si>
    <t xml:space="preserve">Fixed mandatory fields</t>
  </si>
  <si>
    <t xml:space="preserve">Minimum-field matrix per product line held in product master (loaded from BDOI product matrix MTR/PAR files)</t>
  </si>
  <si>
    <t xml:space="preserve">BRNB.098</t>
  </si>
  <si>
    <t xml:space="preserve">TSU</t>
  </si>
  <si>
    <t xml:space="preserve">Rule-based TSU involvement (package vs non-package, fleet thresholds, single vs multiple locations, endorsements)</t>
  </si>
  <si>
    <t xml:space="preserve">Criteria defined; system routes/flags TSU cases; TSU actions logged</t>
  </si>
  <si>
    <t xml:space="preserve">Approval limits by amount only</t>
  </si>
  <si>
    <t xml:space="preserve">Routing rules table (product class, fleet count, location count, TSI threshold, endorsement type) -&gt; TSU queue</t>
  </si>
  <si>
    <t xml:space="preserve">Q04</t>
  </si>
  <si>
    <t xml:space="preserve">BRNB.005</t>
  </si>
  <si>
    <t xml:space="preserve">Marketing AO</t>
  </si>
  <si>
    <t xml:space="preserve">Create Proposal Request Form (PRF) with complete risk details and attachments for quotation to insurers</t>
  </si>
  <si>
    <t xml:space="preserve">Create/edit/track PRF; TL/TH/UH approval before TSU; blocked if details/attachments missing; unique sequential ref; notifications; insurers have no system access</t>
  </si>
  <si>
    <t xml:space="preserve">Quotation with approval exists (insurer-side)</t>
  </si>
  <si>
    <t xml:space="preserve">PRF entity + screen; approval chain Marketing TL -&gt; TH -&gt; UH; mandatory-document checklist per product; submit to TSU queue</t>
  </si>
  <si>
    <t xml:space="preserve">Q05</t>
  </si>
  <si>
    <t xml:space="preserve">BRNB.006</t>
  </si>
  <si>
    <t xml:space="preserve">Automatic unique sequential marketing reference number for each PRF</t>
  </si>
  <si>
    <t xml:space="preserve">Unique, gap-free, not editable, displayed everywhere, logged</t>
  </si>
  <si>
    <t xml:space="preserve">Document numbering series exist (quotation/policy numbers)</t>
  </si>
  <si>
    <t xml:space="preserve">New numbering series MKT-YYYY-nnnnnn; gap-free DB sequence per year; immutable</t>
  </si>
  <si>
    <t xml:space="preserve">BRNB.007</t>
  </si>
  <si>
    <t xml:space="preserve">Receive / view PRF requests; amend, update, return (with reason) or delete</t>
  </si>
  <si>
    <t xml:space="preserve">Filter by type/status; view returns with reasons; edit &amp; resubmit; notifications</t>
  </si>
  <si>
    <t xml:space="preserve">Approval inbox (approve/reject only)</t>
  </si>
  <si>
    <t xml:space="preserve">TSU work queue with actions Accept / Return (reason LOV) / Update / Delete (in-process only)</t>
  </si>
  <si>
    <t xml:space="preserve">BRNB.008</t>
  </si>
  <si>
    <t xml:space="preserve">Prepare and send Quotation Slip (QS) to selected insurers with terms and conditions</t>
  </si>
  <si>
    <t xml:space="preserve">QS generated from validated PRF; TSU edits; internal approval before send; system e-mail to selected insurers; full communication log; resend</t>
  </si>
  <si>
    <t xml:space="preserve">No outbound e-mail</t>
  </si>
  <si>
    <t xml:space="preserve">QS document from template; insurer panel selection; approval; outbound e-mail service with delivery log (recipient, time, body, attachment hash)</t>
  </si>
  <si>
    <t xml:space="preserve">Q06</t>
  </si>
  <si>
    <t xml:space="preserve">BRNB.009</t>
  </si>
  <si>
    <t xml:space="preserve">Key-in insurer feedback / terms, editable by authorised users</t>
  </si>
  <si>
    <t xml:space="preserve">Entry &amp; edit of insurer responses; changes tracked</t>
  </si>
  <si>
    <t xml:space="preserve">Quotation iterations (single insurer view)</t>
  </si>
  <si>
    <t xml:space="preserve">Insurer response grid per QS (premium, rate, deductibles, conditions, validity) with version history</t>
  </si>
  <si>
    <t xml:space="preserve">BRNB.010</t>
  </si>
  <si>
    <t xml:space="preserve">Automatically compile insurer feedback into an exportable comparative table</t>
  </si>
  <si>
    <t xml:space="preserve">Always current; export Excel/PDF</t>
  </si>
  <si>
    <t xml:space="preserve">-</t>
  </si>
  <si>
    <t xml:space="preserve">Comparative table view generated from insurer responses; XLSX/PDF export; recommended insurer flag</t>
  </si>
  <si>
    <t xml:space="preserve">BRNB.011</t>
  </si>
  <si>
    <t xml:space="preserve">Marketing / TSU</t>
  </si>
  <si>
    <t xml:space="preserve">Placement Update Reports (individual and collective)</t>
  </si>
  <si>
    <t xml:space="preserve">Complete, timely, role-restricted</t>
  </si>
  <si>
    <t xml:space="preserve">Report framework (role-based, XLSX/CSV/PDF)</t>
  </si>
  <si>
    <t xml:space="preserve">New report on report framework</t>
  </si>
  <si>
    <t xml:space="preserve">BRNB.012</t>
  </si>
  <si>
    <t xml:space="preserve">Dashboard for real-time tracking of requests, reports and comparative tables</t>
  </si>
  <si>
    <t xml:space="preserve">Filter, customise, export by access level</t>
  </si>
  <si>
    <t xml:space="preserve">Dashboard module (finance KPIs)</t>
  </si>
  <si>
    <t xml:space="preserve">NB operations dashboard: requests by status/age/unit, SLA breaches, drill-down</t>
  </si>
  <si>
    <t xml:space="preserve">BRNB.013</t>
  </si>
  <si>
    <t xml:space="preserve">Password protection / encryption of all outbound documents (QS, PS, advisories, comparative tables, placement update, renewal request reports)</t>
  </si>
  <si>
    <t xml:space="preserve">Only authorised recipients open documents</t>
  </si>
  <si>
    <t xml:space="preserve">PDF AES-256 password protection (and password-protected XLSX); password per convention; password sent in separate e-mail</t>
  </si>
  <si>
    <t xml:space="preserve">Q07</t>
  </si>
  <si>
    <t xml:space="preserve">BRNB.014</t>
  </si>
  <si>
    <t xml:space="preserve">Validation and multi-level approval enforced before documents are sent</t>
  </si>
  <si>
    <t xml:space="preserve">Nothing sent without passing validation and approvals</t>
  </si>
  <si>
    <t xml:space="preserve">Maker-checker with authorization limits</t>
  </si>
  <si>
    <t xml:space="preserve">Configurable multi-level approval chains per document type; send action disabled until approved</t>
  </si>
  <si>
    <t xml:space="preserve">BRNB.015</t>
  </si>
  <si>
    <t xml:space="preserve">Notifications on status changes and integration with BDOI tracking/reporting</t>
  </si>
  <si>
    <t xml:space="preserve">Timely notifications; data synchronised with BDOI systems</t>
  </si>
  <si>
    <t xml:space="preserve">In-app alerts</t>
  </si>
  <si>
    <t xml:space="preserve">Notification service: in-app + e-mail per event/role; integration via file/API outbox</t>
  </si>
  <si>
    <t xml:space="preserve">Q08</t>
  </si>
  <si>
    <t xml:space="preserve">BRNB.016</t>
  </si>
  <si>
    <t xml:space="preserve">Audit trail for all actions and changes</t>
  </si>
  <si>
    <t xml:space="preserve">Complete audit trail per request/document</t>
  </si>
  <si>
    <t xml:space="preserve">Immutable audit trail (DB-enforced) with before/after values</t>
  </si>
  <si>
    <t xml:space="preserve">Extend audit coverage to new entities; audit viewer per record</t>
  </si>
  <si>
    <t xml:space="preserve">BRNB.017</t>
  </si>
  <si>
    <t xml:space="preserve">Generate Proposal Slip for non-package placement after approvals; archive and retrieve</t>
  </si>
  <si>
    <t xml:space="preserve">PS keeps QS terms; sent to Marketing only after approvals; archived &amp; searchable</t>
  </si>
  <si>
    <t xml:space="preserve">Proposal Slip document from accepted insurer terms; approval; stored as versioned document</t>
  </si>
  <si>
    <t xml:space="preserve">BRNB.018</t>
  </si>
  <si>
    <t xml:space="preserve">Late Renewal Requests Report (renewals received after expiry)</t>
  </si>
  <si>
    <t xml:space="preserve">Scheduled, role-restricted, flags documentation needed</t>
  </si>
  <si>
    <t xml:space="preserve">Renewal due report exists</t>
  </si>
  <si>
    <t xml:space="preserve">Scheduled late-renewal report (renewal request date &gt; expiry)</t>
  </si>
  <si>
    <t xml:space="preserve">Q09</t>
  </si>
  <si>
    <t xml:space="preserve">BRNB.019</t>
  </si>
  <si>
    <t xml:space="preserve">Authorised user</t>
  </si>
  <si>
    <t xml:space="preserve">Delete prospect/account records that are still in-process (not finalised/posted/in active workflow)</t>
  </si>
  <si>
    <t xml:space="preserve">Role-restricted; confirmation + reason; logged; excluded from searches/reports but kept in audit; finalised records blocked</t>
  </si>
  <si>
    <t xml:space="preserve">Draft delete for some entities; no soft delete</t>
  </si>
  <si>
    <t xml:space="preserve">Soft-delete (VOIDED) with reason for in-process records; audit retained</t>
  </si>
  <si>
    <t xml:space="preserve">BRNB.020</t>
  </si>
  <si>
    <t xml:space="preserve">Edit quotation/proposal before approval/finalisation with version history</t>
  </si>
  <si>
    <t xml:space="preserve">Only Draft / For Review editable; validation on save; edit logged; status returns to For Review</t>
  </si>
  <si>
    <t xml:space="preserve">Quotation iterations + draft edit</t>
  </si>
  <si>
    <t xml:space="preserve">Quotation versioning (v1..vn) with diff view</t>
  </si>
  <si>
    <t xml:space="preserve">BRNB.021</t>
  </si>
  <si>
    <t xml:space="preserve">Approver</t>
  </si>
  <si>
    <t xml:space="preserve">Approve/reject quotation/proposal before sending to client or account creation</t>
  </si>
  <si>
    <t xml:space="preserve">Full details + history; comments; approved locked and routed</t>
  </si>
  <si>
    <t xml:space="preserve">Quotation approval with authorization limit and comments</t>
  </si>
  <si>
    <t xml:space="preserve">Re-use; add lock + routing to next stage</t>
  </si>
  <si>
    <t xml:space="preserve">BRNB.022</t>
  </si>
  <si>
    <t xml:space="preserve">Automatic status tracking (Received, In Process, Sent to Client, Accepted, Rejected, Account Created, Submitted for Placement, Booked, Cancelled, Endorsed); workshop update: defined stages and allowed transitions</t>
  </si>
  <si>
    <t xml:space="preserve">Status history with user/time; auto updates; downloadable status reports; stage list and allowed transitions enforced</t>
  </si>
  <si>
    <t xml:space="preserve">BRD 1.3.13.1.2</t>
  </si>
  <si>
    <t xml:space="preserve">Per-entity status enums (Draft/Pending/Approved/...)</t>
  </si>
  <si>
    <t xml:space="preserve">Workflow engine: configurable stage &amp; status model per transaction type, transition table, status history table, SLA timers</t>
  </si>
  <si>
    <t xml:space="preserve">Q10</t>
  </si>
  <si>
    <t xml:space="preserve">BRNB.023</t>
  </si>
  <si>
    <t xml:space="preserve">Receive quotation requests for home insurance directly from HLS (Home Loan System)</t>
  </si>
  <si>
    <t xml:space="preserve">Auto-create quotation per valid HLS request; source logged; format validated; bulk &amp; individual; non-HLS files rejected/flagged</t>
  </si>
  <si>
    <t xml:space="preserve">BRD 1.1.2.1, 2.1.2.1</t>
  </si>
  <si>
    <t xml:space="preserve">HLS inbound interface (SFTP file or REST) with source signature check, staging table, validation and auto quotation creation</t>
  </si>
  <si>
    <t xml:space="preserve">Q11</t>
  </si>
  <si>
    <t xml:space="preserve">BRNB.041</t>
  </si>
  <si>
    <t xml:space="preserve">Receive quotation/proposal request via e-mail or system-triggered request</t>
  </si>
  <si>
    <t xml:space="preserve">Both channels supported</t>
  </si>
  <si>
    <t xml:space="preserve">NB Fire &amp; Motor - BRD ID consolidation (Dec-2025) pp.91-129</t>
  </si>
  <si>
    <t xml:space="preserve">Request intake: manual capture of e-mailed requests (attach e-mail) + system channel (HLS/API)</t>
  </si>
  <si>
    <t xml:space="preserve">Q12</t>
  </si>
  <si>
    <t xml:space="preserve">BRNB.024</t>
  </si>
  <si>
    <t xml:space="preserve">Receive single/multiple accepted quotations; update them via file upload or manually</t>
  </si>
  <si>
    <t xml:space="preserve">XLSX upload matched by reference; invalid rows rejected with reasons; summary report</t>
  </si>
  <si>
    <t xml:space="preserve">BRD 1.1.4.1</t>
  </si>
  <si>
    <t xml:space="preserve">No bulk update upload</t>
  </si>
  <si>
    <t xml:space="preserve">Generic bulk-upload framework (template download, validate, partial commit, error report) - used by all bulk features</t>
  </si>
  <si>
    <t xml:space="preserve">BRNB.028</t>
  </si>
  <si>
    <t xml:space="preserve">Create bulk quotations from source-system request details (integration or manual upload)</t>
  </si>
  <si>
    <t xml:space="preserve">Mapping, doc linking, validation, per-row feedback, duplicate prevention, integration log, authorised only</t>
  </si>
  <si>
    <t xml:space="preserve">BRD 1.3.1.1.2</t>
  </si>
  <si>
    <t xml:space="preserve">Bulk quotation job on bulk-upload framework</t>
  </si>
  <si>
    <t xml:space="preserve">BRNB.029</t>
  </si>
  <si>
    <t xml:space="preserve">Quotation requires a client code (minimum prospect data); incomplete client info flagged; downstream blocked until complete</t>
  </si>
  <si>
    <t xml:space="preserve">Save with client code only; flag incomplete; booking/issuance blocked until complete</t>
  </si>
  <si>
    <t xml:space="preserve">BRD 1.3.1.1.3</t>
  </si>
  <si>
    <t xml:space="preserve">Quotation requires a full party</t>
  </si>
  <si>
    <t xml:space="preserve">Prospect-level party with minimum fields + completeness flag; gate at placement/booking</t>
  </si>
  <si>
    <t xml:space="preserve">Q13</t>
  </si>
  <si>
    <t xml:space="preserve">BRNB.063</t>
  </si>
  <si>
    <t xml:space="preserve">Create bulk quotation/proposal from received requests / uploaded list / source system; allow creation without client code; generate reference</t>
  </si>
  <si>
    <t xml:space="preserve">As listed</t>
  </si>
  <si>
    <t xml:space="preserve">BRD 1.3.1.1-1.3.1.2</t>
  </si>
  <si>
    <t xml:space="preserve">Bulk quotation job; note conflict with BRNB.029 (client code required) - see Q13</t>
  </si>
  <si>
    <t xml:space="preserve">BRNB.064</t>
  </si>
  <si>
    <t xml:space="preserve">Generate accounts for bulk processing from source system or manual upload (.xlsx/.ods); sanitise list by defined criteria; push to next stage</t>
  </si>
  <si>
    <t xml:space="preserve">BRD 1.3.2.1-1.3.2.3</t>
  </si>
  <si>
    <t xml:space="preserve">Bulk account job with sanitisation rules (trim, case, format, dedupe, LOV mapping)</t>
  </si>
  <si>
    <t xml:space="preserve">Q14</t>
  </si>
  <si>
    <t xml:space="preserve">BRNB.039</t>
  </si>
  <si>
    <t xml:space="preserve">User</t>
  </si>
  <si>
    <t xml:space="preserve">Accept manually uploaded accounts for bulk processing using the standard template</t>
  </si>
  <si>
    <t xml:space="preserve">Template enforced &amp; downloadable; .xlsx/.csv; valid rows processed, error report for failed rows; summary</t>
  </si>
  <si>
    <t xml:space="preserve">BRD 1.3.2.2</t>
  </si>
  <si>
    <t xml:space="preserve">Bulk-upload framework</t>
  </si>
  <si>
    <t xml:space="preserve">BRNB.042</t>
  </si>
  <si>
    <t xml:space="preserve">Create quotation/proposal for bulk processing (IDF, FFYMI ...), generate reference, send single/multiple</t>
  </si>
  <si>
    <t xml:space="preserve">BRD 1.1.3.1-1.1.3.3</t>
  </si>
  <si>
    <t xml:space="preserve">Bulk quotation + batch send</t>
  </si>
  <si>
    <t xml:space="preserve">BRNB.044</t>
  </si>
  <si>
    <t xml:space="preserve">Manually build accounts for bulk processing (receive accepted quotes, download PDF/XLSX, create client/account upload list, upload docs, search client)</t>
  </si>
  <si>
    <t xml:space="preserve">BRD 1.1.4.1-1.1.4.5</t>
  </si>
  <si>
    <t xml:space="preserve">Bulk-upload framework + account list builder</t>
  </si>
  <si>
    <t xml:space="preserve">BRNB.043</t>
  </si>
  <si>
    <t xml:space="preserve">Create individual quotation/proposal (IDF, FFYMI), reference number, send via e-mail, receive acceptance, download PDF/XLSX, save</t>
  </si>
  <si>
    <t xml:space="preserve">BRD 2.1.3.1-2.1.3.6</t>
  </si>
  <si>
    <t xml:space="preserve">Quotation create/approve/print</t>
  </si>
  <si>
    <t xml:space="preserve">Broker quotation per product with premium calc (Appendix A), PDF/XLSX output, e-mail to client, acceptance capture</t>
  </si>
  <si>
    <t xml:space="preserve">BRNB.045</t>
  </si>
  <si>
    <t xml:space="preserve">Receive client's e-mail acceptance and create list of accounts (individual)</t>
  </si>
  <si>
    <t xml:space="preserve">BRD 2.1.4.1-2.1.4.2</t>
  </si>
  <si>
    <t xml:space="preserve">Convert quotation to policy</t>
  </si>
  <si>
    <t xml:space="preserve">Acceptance capture (upload acceptance e-mail) -&gt; create account(s) from quotation</t>
  </si>
  <si>
    <t xml:space="preserve">BRNB.102</t>
  </si>
  <si>
    <t xml:space="preserve">Marketing / Ops</t>
  </si>
  <si>
    <t xml:space="preserve">One unique reference number per account from quotation, reused through processing, booking, issuance, invoicing</t>
  </si>
  <si>
    <t xml:space="preserve">Generated at quotation; unchanged downstream; shown on all screens/reports/interfaces</t>
  </si>
  <si>
    <t xml:space="preserve">Separate quotation and policy numbers</t>
  </si>
  <si>
    <t xml:space="preserve">Account Reference Number (ARN) as golden key carried on every child record, report and interface</t>
  </si>
  <si>
    <t xml:space="preserve">Q15</t>
  </si>
  <si>
    <t xml:space="preserve">BRNB.030</t>
  </si>
  <si>
    <t xml:space="preserve">User / System</t>
  </si>
  <si>
    <t xml:space="preserve">Create client or update existing (bank standards); dedupe; flag invalid; upload KYC docs (internal &amp; external sources); drafts; unique client code; push to next stage</t>
  </si>
  <si>
    <t xml:space="preserve">BRD 1.3.3.x, 2.1.5.x</t>
  </si>
  <si>
    <t xml:space="preserve">Party master with approval, TIN, addresses</t>
  </si>
  <si>
    <t xml:space="preserve">Client master: individual/corporate KYC fields per BDO standard, dedupe keys, draft state, client code series, document checklist</t>
  </si>
  <si>
    <t xml:space="preserve">Q16</t>
  </si>
  <si>
    <t xml:space="preserve">BRNB.032</t>
  </si>
  <si>
    <t xml:space="preserve">Prevent duplicate clients/accounts for Fire, Motor, Other Lines; allow flagged duplicates for endorsements</t>
  </si>
  <si>
    <t xml:space="preserve">Keys: name+DOB, e-mail, phone, ID; block before save; endorsement duplicates flagged; attempts logged</t>
  </si>
  <si>
    <t xml:space="preserve">BRD 1.3.4.1.3, 2.1.8.1.5, 2.3.10.2</t>
  </si>
  <si>
    <t xml:space="preserve">Party TIN uniqueness</t>
  </si>
  <si>
    <t xml:space="preserve">Duplicate-detection service (exact + fuzzy name) returning matches with reference numbers</t>
  </si>
  <si>
    <t xml:space="preserve">Q17</t>
  </si>
  <si>
    <t xml:space="preserve">BRNB.046</t>
  </si>
  <si>
    <t xml:space="preserve">Marketing / Processing</t>
  </si>
  <si>
    <t xml:space="preserve">Search clients by single/multiple criteria and view full details</t>
  </si>
  <si>
    <t xml:space="preserve">BRD 1.1.5.1, 1.2.2.1, 2.1.6.1, 2.2.1.2.1</t>
  </si>
  <si>
    <t xml:space="preserve">Party search with filters</t>
  </si>
  <si>
    <t xml:space="preserve">Add criteria (ID no., mobile, e-mail, client code, status)</t>
  </si>
  <si>
    <t xml:space="preserve">BRNB.047</t>
  </si>
  <si>
    <t xml:space="preserve">Update client details in bulk with validation, draft, cancel, push</t>
  </si>
  <si>
    <t xml:space="preserve">BRD 1.1.6.1-1.1.6.4</t>
  </si>
  <si>
    <t xml:space="preserve">Bulk client update upload</t>
  </si>
  <si>
    <t xml:space="preserve">BRNB.048</t>
  </si>
  <si>
    <t xml:space="preserve">Create client (individual) with validation, documents, draft, cancel, client code, push</t>
  </si>
  <si>
    <t xml:space="preserve">BRD 2.1.5.1-2.1.5.6</t>
  </si>
  <si>
    <t xml:space="preserve">Party create + approval</t>
  </si>
  <si>
    <t xml:space="preserve">See BRNB.030</t>
  </si>
  <si>
    <t xml:space="preserve">BRNB.049</t>
  </si>
  <si>
    <t xml:space="preserve">Update client (individual) with documents, draft, cancel, push</t>
  </si>
  <si>
    <t xml:space="preserve">BRD 2.1.7.1-2.1.7.5</t>
  </si>
  <si>
    <t xml:space="preserve">Party edit + approval</t>
  </si>
  <si>
    <t xml:space="preserve">Draft + document upload on client</t>
  </si>
  <si>
    <t xml:space="preserve">BRNB.065</t>
  </si>
  <si>
    <t xml:space="preserve">Auto-create clients not yet existing / auto-update existing (bank standard) during bulk; flag invalid; drafts; client codes</t>
  </si>
  <si>
    <t xml:space="preserve">BRD 1.3.3.1-1.3.3.6</t>
  </si>
  <si>
    <t xml:space="preserve">Client upsert step in bulk job using dedupe keys</t>
  </si>
  <si>
    <t xml:space="preserve">BRNB.090</t>
  </si>
  <si>
    <t xml:space="preserve">Standard client onboarding step before any new business</t>
  </si>
  <si>
    <t xml:space="preserve">Onboarding is a prerequisite; outcome = verified client; audit</t>
  </si>
  <si>
    <t xml:space="preserve">Party approval (maker-checker)</t>
  </si>
  <si>
    <t xml:space="preserve">Onboarding workflow: Prospect -&gt; KYC verified -&gt; Confirmed client; quotation/booking gates</t>
  </si>
  <si>
    <t xml:space="preserve">BRNB.091</t>
  </si>
  <si>
    <t xml:space="preserve">All users</t>
  </si>
  <si>
    <t xml:space="preserve">Client-level and account-level tags and special instructions applied across servicing, collections, processing</t>
  </si>
  <si>
    <t xml:space="preserve">Controlled values; captured/viewed by role; enforced/shown in processes; change log; history</t>
  </si>
  <si>
    <t xml:space="preserve">Tag LOV + special-instruction notes on client/account; banner on every related screen; history</t>
  </si>
  <si>
    <t xml:space="preserve">Q18</t>
  </si>
  <si>
    <t xml:space="preserve">BRNB.099</t>
  </si>
  <si>
    <t xml:space="preserve">Processing</t>
  </si>
  <si>
    <t xml:space="preserve">CRM-like view: leads, prospects, special instructions; linkage client-account-policy visible; missing linkage flagged</t>
  </si>
  <si>
    <t xml:space="preserve">Linked identifiers shown; changes logged; missing linkage flagged</t>
  </si>
  <si>
    <t xml:space="preserve">Client 360 page (accounts, policies, documents, instructions, activity timeline)</t>
  </si>
  <si>
    <t xml:space="preserve">Q19</t>
  </si>
  <si>
    <t xml:space="preserve">BRNB.101</t>
  </si>
  <si>
    <t xml:space="preserve">Distinct identifier for prospect vs confirmed clients; traceable conversion</t>
  </si>
  <si>
    <t xml:space="preserve">Distinct IDs; explicit status; conversion keeps history; logged</t>
  </si>
  <si>
    <t xml:space="preserve">Client status PROSPECT/CONFIRMED; prospect code P-nnnn converted to client code C-nnnn (both retained)</t>
  </si>
  <si>
    <t xml:space="preserve">Q20</t>
  </si>
  <si>
    <t xml:space="preserve">BRNB.110</t>
  </si>
  <si>
    <t xml:space="preserve">Monthly list of non-bank clients due for KYC review</t>
  </si>
  <si>
    <t xml:space="preserve">Notification when list ready; view in shared path; download/print; filter</t>
  </si>
  <si>
    <t xml:space="preserve">Monitored job framework</t>
  </si>
  <si>
    <t xml:space="preserve">KYC review-date per client + monthly job producing report + notification</t>
  </si>
  <si>
    <t xml:space="preserve">Q21</t>
  </si>
  <si>
    <t xml:space="preserve">BRNB.025</t>
  </si>
  <si>
    <t xml:space="preserve">Update account(s) - bulk and individual upload/entry, validate mandatory fields, draft, submit</t>
  </si>
  <si>
    <t xml:space="preserve">Bulk: match by ID, error report, summary; individual: immediate confirmation</t>
  </si>
  <si>
    <t xml:space="preserve">BRD 1.1.8.x, 1.2.4.1, 2.1.10.x, 2.2.1.4.1.1</t>
  </si>
  <si>
    <t xml:space="preserve">Account entity + bulk update</t>
  </si>
  <si>
    <t xml:space="preserve">BRNB.050</t>
  </si>
  <si>
    <t xml:space="preserve">Search accounts by single/multiple criteria and view full details</t>
  </si>
  <si>
    <t xml:space="preserve">BRD 1.1.7.1, 1.2.3.1, 2.1.9.1, 2.2.1.3.1</t>
  </si>
  <si>
    <t xml:space="preserve">Policy search</t>
  </si>
  <si>
    <t xml:space="preserve">Account search (ARN, PN no., plate, engine, chassis, location, client, status, insurer)</t>
  </si>
  <si>
    <t xml:space="preserve">BRNB.051</t>
  </si>
  <si>
    <t xml:space="preserve">Create account (individual): multi-value fields, currency, auto calculations (pro-rata, short-term, period), duplicate fall-out (motor vehicle IDs / fire client+location+items), link client, docs, auto status, reference, draft, cancel, push</t>
  </si>
  <si>
    <t xml:space="preserve">As listed incl. CTPL vs MTR exception and fall-out report with existing reference</t>
  </si>
  <si>
    <t xml:space="preserve">BRD 2.1.8.1-2.1.8.8</t>
  </si>
  <si>
    <t xml:space="preserve">Policy with risks, currency, premium calculator, cover period</t>
  </si>
  <si>
    <t xml:space="preserve">Account (placement record) with multi-risk items, FX, calculator per Appendix A, duplicate rules per line</t>
  </si>
  <si>
    <t xml:space="preserve">Q22</t>
  </si>
  <si>
    <t xml:space="preserve">BRNB.052</t>
  </si>
  <si>
    <t xml:space="preserve">Update account (bulk) with validation, multi-values, auto calculation, draft, cancel, push</t>
  </si>
  <si>
    <t xml:space="preserve">BRD 1.1.8.1-1.1.8.4, 1.2.4.x</t>
  </si>
  <si>
    <t xml:space="preserve">Bulk update</t>
  </si>
  <si>
    <t xml:space="preserve">BRNB.053</t>
  </si>
  <si>
    <t xml:space="preserve">Update account (individual) incl. document upload</t>
  </si>
  <si>
    <t xml:space="preserve">BRD 2.1.10.1-2.1.10.5</t>
  </si>
  <si>
    <t xml:space="preserve">Policy draft edit</t>
  </si>
  <si>
    <t xml:space="preserve">Account edit</t>
  </si>
  <si>
    <t xml:space="preserve">BRNB.054</t>
  </si>
  <si>
    <t xml:space="preserve">Update account (individual) - processing</t>
  </si>
  <si>
    <t xml:space="preserve">BRD 2.2.1.4.1-2.2.1.4.4</t>
  </si>
  <si>
    <t xml:space="preserve">Account edit with role-specific fields</t>
  </si>
  <si>
    <t xml:space="preserve">BRNB.066</t>
  </si>
  <si>
    <t xml:space="preserve">Auto-create accounts in bulk: validation, multi-values, currency, dedupe fall-out, link client, receive docs with naming, auto status, auto-save draft, reference, associate quotation ref, push</t>
  </si>
  <si>
    <t xml:space="preserve">BRD 1.3.4.1-1.3.4.7</t>
  </si>
  <si>
    <t xml:space="preserve">Bulk account creation job</t>
  </si>
  <si>
    <t xml:space="preserve">BRNB.109</t>
  </si>
  <si>
    <t xml:space="preserve">Account-level contact details used for communication; default from client level</t>
  </si>
  <si>
    <t xml:space="preserve">Account contacts used in e-mails/letters; editable; logged</t>
  </si>
  <si>
    <t xml:space="preserve">Party addresses/contacts</t>
  </si>
  <si>
    <t xml:space="preserve">Account contact block defaulted from client</t>
  </si>
  <si>
    <t xml:space="preserve">BRNB.026</t>
  </si>
  <si>
    <t xml:space="preserve">Upload single/multiple files (.jpg .xlsx .ods .pdf ...), inherit or nominate file name (syntax), size limits, link to account(s), remove</t>
  </si>
  <si>
    <t xml:space="preserve">Type/size validated; linked; view/download/remove; no performance degradation; .exe blocked</t>
  </si>
  <si>
    <t xml:space="preserve">BRD 1.1.9.x, 2.1.11.x, 2.2.1.7.x, 2.3.3.x</t>
  </si>
  <si>
    <t xml:space="preserve">Attachments: PDF/PNG/JPEG/XLSX/DOCX/CSV with signature check &amp; virus-scan hook</t>
  </si>
  <si>
    <t xml:space="preserve">Add ODS/others, multi-file upload, naming syntax, link one file to many accounts, document type LOV</t>
  </si>
  <si>
    <t xml:space="preserve">Q23</t>
  </si>
  <si>
    <t xml:space="preserve">BRNB.055</t>
  </si>
  <si>
    <t xml:space="preserve">Marketing / Processing / System</t>
  </si>
  <si>
    <t xml:space="preserve">Upload files/documents (same as BRNB.026)</t>
  </si>
  <si>
    <t xml:space="preserve">BRD 1.1.9.1, 1.2.7.1, 2.1.11.1, 2.2.1.7.1, 2.3.3.1</t>
  </si>
  <si>
    <t xml:space="preserve">Attachments</t>
  </si>
  <si>
    <t xml:space="preserve">See BRNB.026</t>
  </si>
  <si>
    <t xml:space="preserve">BRNB.056</t>
  </si>
  <si>
    <t xml:space="preserve">View client-level and account-level documents; download single/multiple; save</t>
  </si>
  <si>
    <t xml:space="preserve">BRD 1.1.10.x, 1.2.8.x, 2.1.12.x, 2.2.1.8.x</t>
  </si>
  <si>
    <t xml:space="preserve">Attachment list/download per record</t>
  </si>
  <si>
    <t xml:space="preserve">Multi-select ZIP download; client + account document tabs</t>
  </si>
  <si>
    <t xml:space="preserve">BRNB.104</t>
  </si>
  <si>
    <t xml:space="preserve">Auto-extract details from uploaded documents (e.g. e-policy) and update account after user confirmation</t>
  </si>
  <si>
    <t xml:space="preserve">Key fields extracted and mapped; user confirms; update logged with source doc</t>
  </si>
  <si>
    <t xml:space="preserve">Document extraction service (PDF text + OCR, insurer-specific templates) with review screen</t>
  </si>
  <si>
    <t xml:space="preserve">Q24</t>
  </si>
  <si>
    <t xml:space="preserve">BRNB.105</t>
  </si>
  <si>
    <t xml:space="preserve">Uploaded documents trigger defined business processes</t>
  </si>
  <si>
    <t xml:space="preserve">Trigger rules; correct workflow started; linked; logged</t>
  </si>
  <si>
    <t xml:space="preserve">Document-type trigger rules (e.g. e-policy uploaded -&gt; policy number update -&gt; booking)</t>
  </si>
  <si>
    <t xml:space="preserve">BRNB.033</t>
  </si>
  <si>
    <t xml:space="preserve">Handle accounts returned by Processing: view, update, comment, push</t>
  </si>
  <si>
    <t xml:space="preserve">Returned list; edit; comments; push; notifications; logged</t>
  </si>
  <si>
    <t xml:space="preserve">BRD 1.1.13.1</t>
  </si>
  <si>
    <t xml:space="preserve">Reject with comment only</t>
  </si>
  <si>
    <t xml:space="preserve">Return-to-sender action with reason LOV and return queue</t>
  </si>
  <si>
    <t xml:space="preserve">BRNB.034</t>
  </si>
  <si>
    <t xml:space="preserve">Handle placement requests returned by insurer: update, remarks, return to Marketing AO/TL, receive updates, push</t>
  </si>
  <si>
    <t xml:space="preserve">BRD 1.2.6.1</t>
  </si>
  <si>
    <t xml:space="preserve">Insurer return capture + return loop Processing &lt;-&gt; Marketing</t>
  </si>
  <si>
    <t xml:space="preserve">BRNB.058</t>
  </si>
  <si>
    <t xml:space="preserve">Handle returned placement request (same as BRNB.033)</t>
  </si>
  <si>
    <t xml:space="preserve">BRD 1.1.13.1-1.1.13.3, 2.1.14.x</t>
  </si>
  <si>
    <t xml:space="preserve">See BRNB.033</t>
  </si>
  <si>
    <t xml:space="preserve">BRNB.059</t>
  </si>
  <si>
    <t xml:space="preserve">Handle returned placement request from insurer (same as BRNB.034)</t>
  </si>
  <si>
    <t xml:space="preserve">BRD 1.2.6.2-1.2.6.5, 2.2.1.6.x</t>
  </si>
  <si>
    <t xml:space="preserve">See BRNB.034</t>
  </si>
  <si>
    <t xml:space="preserve">BRNB.062</t>
  </si>
  <si>
    <t xml:space="preserve">Cancel placement (single/multiple) with comments; auto-tag Cancelled Placement and return to previous stage</t>
  </si>
  <si>
    <t xml:space="preserve">BRD 2.2.1.11.1-2.2.1.11.3</t>
  </si>
  <si>
    <t xml:space="preserve">Cancel-placement action (pre-issuance reversal, see BRNB.094)</t>
  </si>
  <si>
    <t xml:space="preserve">BRD 2.1.16</t>
  </si>
  <si>
    <t xml:space="preserve">Reactivate cancelled placed accounts (single/multiple) and move to next stage (listed in role matrix, no BRNB ID)</t>
  </si>
  <si>
    <t xml:space="preserve">BRD 2.1.16, 3.4.2.2.35</t>
  </si>
  <si>
    <t xml:space="preserve">NB Fire &amp; Motor BRD V06162025 pp.130-218</t>
  </si>
  <si>
    <t xml:space="preserve">Reactivate action</t>
  </si>
  <si>
    <t xml:space="preserve">Q25</t>
  </si>
  <si>
    <t xml:space="preserve">BRNB.069</t>
  </si>
  <si>
    <t xml:space="preserve">Processing / System</t>
  </si>
  <si>
    <t xml:space="preserve">Generate placement file/slip automatically, individually or in batch; regenerate for returns; only when prerequisites met (workshop update)</t>
  </si>
  <si>
    <t xml:space="preserve">Prerequisites defined; blocked when unmet; auditable</t>
  </si>
  <si>
    <t xml:space="preserve">BRD 1.3.7.1-1.3.7.2, 2.3.2.1</t>
  </si>
  <si>
    <t xml:space="preserve">NB Workshop Addendum (Apr-2026) pp.1-44 / NB Fire &amp; Motor - BRD ID consolidation (Dec-2025) pp.91-129</t>
  </si>
  <si>
    <t xml:space="preserve">Placement slip per insurer format (XLSX/PDF) with prerequisite checks (paid/confirmed, docs complete, TSU cleared)</t>
  </si>
  <si>
    <t xml:space="preserve">Q26</t>
  </si>
  <si>
    <t xml:space="preserve">BRNB.071</t>
  </si>
  <si>
    <t xml:space="preserve">Automatically send placement file/slip to insurer(s); resend for returns</t>
  </si>
  <si>
    <t xml:space="preserve">BRD 1.3.9.1, 2.3.5</t>
  </si>
  <si>
    <t xml:space="preserve">Insurer channel config (e-mail / SFTP / API) + send log</t>
  </si>
  <si>
    <t xml:space="preserve">BRNB.072</t>
  </si>
  <si>
    <t xml:space="preserve">Automatically send 30-day hold-cover request to insurer(s)</t>
  </si>
  <si>
    <t xml:space="preserve">BRD 1.3.10.1, 2.3.6</t>
  </si>
  <si>
    <t xml:space="preserve">Hold-cover request document + send</t>
  </si>
  <si>
    <t xml:space="preserve">Q27</t>
  </si>
  <si>
    <t xml:space="preserve">BRNB.103</t>
  </si>
  <si>
    <t xml:space="preserve">Record insurer hold-cover confirmation (insurer, reference, date); status visible</t>
  </si>
  <si>
    <t xml:space="preserve">Entry; explicit status; logged</t>
  </si>
  <si>
    <t xml:space="preserve">Hold-cover confirmation capture + expiry monitor</t>
  </si>
  <si>
    <t xml:space="preserve">BRNB.067</t>
  </si>
  <si>
    <t xml:space="preserve">CBG Fire billing file to CLPC (PN no., loan application no., booking date, borrower, originating unit, premium, reference, BDOI location, amortised Y/N); save .xlsx/.ods; forward to CLPC; receive payment report; match paid/unpaid by PN or loan application no.; push paid</t>
  </si>
  <si>
    <t xml:space="preserve">BRD 1.3.5.1-1.3.5.6</t>
  </si>
  <si>
    <t xml:space="preserve">Receivables module (open items, receipts)</t>
  </si>
  <si>
    <t xml:space="preserve">CLPC outbound billing file + inbound payment report matcher; creates premium receivable/receipt entries</t>
  </si>
  <si>
    <t xml:space="preserve">Q28</t>
  </si>
  <si>
    <t xml:space="preserve">BRNB.068</t>
  </si>
  <si>
    <t xml:space="preserve">Validate payment for other market segments by matching payment reports on reference number</t>
  </si>
  <si>
    <t xml:space="preserve">BRD 1.3.6, 2.3.1</t>
  </si>
  <si>
    <t xml:space="preserve">Receipt matching to open items</t>
  </si>
  <si>
    <t xml:space="preserve">Payment-report import + auto-match on ARN; payment gate per segment (CBG Fire &amp; Motor paid; Other Lines client confirmation)</t>
  </si>
  <si>
    <t xml:space="preserve">BRNB.114</t>
  </si>
  <si>
    <t xml:space="preserve">Identify and tag accounts paid directly to insurers (Direct Payment)</t>
  </si>
  <si>
    <t xml:space="preserve">Configurable criteria; auto/manual tag; role-based edit; list; logged; visible in billing/accounting; downstream use</t>
  </si>
  <si>
    <t xml:space="preserve">Payment-arrangement attribute (via BDOI / direct to insurer) driving billing and commission receivable</t>
  </si>
  <si>
    <t xml:space="preserve">Q29</t>
  </si>
  <si>
    <t xml:space="preserve">BRNB.035</t>
  </si>
  <si>
    <t xml:space="preserve">System / User</t>
  </si>
  <si>
    <t xml:space="preserve">Encrypt and password-protect Insurance Advice and e-policies before sending; password standard or generated; password in separate e-mail; single &amp; bulk</t>
  </si>
  <si>
    <t xml:space="preserve">BRD 1.1.14.4.1, 1.4.1.2.1.1.1, 2.1.15.4.1, 2.4.1.2.1.1.1</t>
  </si>
  <si>
    <t xml:space="preserve">See BRNB.013 + outbound e-mail</t>
  </si>
  <si>
    <t xml:space="preserve">BRNB.060</t>
  </si>
  <si>
    <t xml:space="preserve">Access system-generated Insurance Advice: search, list, view, download, save, send single/multiple, encrypt</t>
  </si>
  <si>
    <t xml:space="preserve">BRD 1.1.14.x, 2.1.15.x</t>
  </si>
  <si>
    <t xml:space="preserve">Insurance Advice register screen</t>
  </si>
  <si>
    <t xml:space="preserve">BRNB.070</t>
  </si>
  <si>
    <t xml:space="preserve">Generate Insurance Advice (mortgaged accounts only), single or multiple</t>
  </si>
  <si>
    <t xml:space="preserve">BRD 1.3.8.1, 2.3.4</t>
  </si>
  <si>
    <t xml:space="preserve">IA document (template) for mortgagee-bank accounts</t>
  </si>
  <si>
    <t xml:space="preserve">Q30</t>
  </si>
  <si>
    <t xml:space="preserve">BRNB.095</t>
  </si>
  <si>
    <t xml:space="preserve">Explicit IA generation trigger rules aligned to lifecycle</t>
  </si>
  <si>
    <t xml:space="preserve">Trigger points defined; only when criteria met; logged</t>
  </si>
  <si>
    <t xml:space="preserve">IA trigger rule (e.g. on placement confirmation / booking)</t>
  </si>
  <si>
    <t xml:space="preserve">BRNB.073</t>
  </si>
  <si>
    <t xml:space="preserve">Receive e-policy (PDF) from insurers and save to designated folder</t>
  </si>
  <si>
    <t xml:space="preserve">BRD 1.3.11.1, 2.3.7</t>
  </si>
  <si>
    <t xml:space="preserve">E-policy inbox (monitored mailbox / SFTP / upload) matched to account</t>
  </si>
  <si>
    <t xml:space="preserve">Q31</t>
  </si>
  <si>
    <t xml:space="preserve">BRNB.074</t>
  </si>
  <si>
    <t xml:space="preserve">Automatically update policy number and link e-policy artifacts to the account</t>
  </si>
  <si>
    <t xml:space="preserve">BRD 1.3.12.1-1.3.12.2, 2.3.8</t>
  </si>
  <si>
    <t xml:space="preserve">Policy number capture (from extraction or insurer file) -&gt; account</t>
  </si>
  <si>
    <t xml:space="preserve">BRNB.077</t>
  </si>
  <si>
    <t xml:space="preserve">E-policy Sender</t>
  </si>
  <si>
    <t xml:space="preserve">E-mail e-policy to client, single/multiple, encrypted, attach, advise password syntax</t>
  </si>
  <si>
    <t xml:space="preserve">BRD 1.4.1.2.1, 2.4.1.2</t>
  </si>
  <si>
    <t xml:space="preserve">E-policy dispatch screen + batch job</t>
  </si>
  <si>
    <t xml:space="preserve">BRNB.078</t>
  </si>
  <si>
    <t xml:space="preserve">Report on successfully/unsuccessfully sent e-policies with reasons, by date range</t>
  </si>
  <si>
    <t xml:space="preserve">BRD 1.4.1.3.1-1.4.1.3.2, 2.4.1.3</t>
  </si>
  <si>
    <t xml:space="preserve">E-policy dispatch report from send log</t>
  </si>
  <si>
    <t xml:space="preserve">BRNB.027</t>
  </si>
  <si>
    <t xml:space="preserve">Book accounts (individual/bulk) and positive financial endorsements; on approval auto-post GL entry and generate service invoice on booking date; all linked in audit; failures roll back booking</t>
  </si>
  <si>
    <t xml:space="preserve">BRD 1.2.10.1-1.2.10.4, 2.2.1.10.x</t>
  </si>
  <si>
    <t xml:space="preserve">Accounting engine (event -&gt; rule -&gt; journal), immutable ledger, receivables invoices, VAT</t>
  </si>
  <si>
    <t xml:space="preserve">Broker booking event: commission income + VAT on commission, premium receivable from client / payable to insurer (or direct-payment variant); service (commission) invoice to insurer; atomic</t>
  </si>
  <si>
    <t xml:space="preserve">Q32</t>
  </si>
  <si>
    <t xml:space="preserve">BRNB.036</t>
  </si>
  <si>
    <t xml:space="preserve">Individual vs batch booking (manual &amp; bulk upload), scheduled batch trigger (e.g. end-of-day), edit/delete before booking, confirm/cancel</t>
  </si>
  <si>
    <t xml:space="preserve">BRD 1.2.10.x, 1.3.14.x, 2.2.1.10.x, 2.3.10.x</t>
  </si>
  <si>
    <t xml:space="preserve">Monitored job scheduler; single policy approval</t>
  </si>
  <si>
    <t xml:space="preserve">Booking batch (select many, scheduled EOD job) with pre-booking confirmation</t>
  </si>
  <si>
    <t xml:space="preserve">BRNB.038</t>
  </si>
  <si>
    <t xml:space="preserve">Direct booking without placement (individual/bulk) with documents, validation, confirmation and reports</t>
  </si>
  <si>
    <t xml:space="preserve">Direct-booking path (see BRNB.111)</t>
  </si>
  <si>
    <t xml:space="preserve">BRNB.061</t>
  </si>
  <si>
    <t xml:space="preserve">Book accounts manually / bulk; process positive financial endorsements</t>
  </si>
  <si>
    <t xml:space="preserve">Policy approval posting</t>
  </si>
  <si>
    <t xml:space="preserve">See BRNB.027</t>
  </si>
  <si>
    <t xml:space="preserve">BRNB.076</t>
  </si>
  <si>
    <t xml:space="preserve">Auto-book on defined criteria (e.g. after e-policy receipt); prevent duplicate booking; financial &amp; non-financial endorsements</t>
  </si>
  <si>
    <t xml:space="preserve">BRD 1.3.14.1-1.3.14.3, 2.3.10.x</t>
  </si>
  <si>
    <t xml:space="preserve">Endorsements (additional/refund/renewal/cancellation/nil)</t>
  </si>
  <si>
    <t xml:space="preserve">Auto-booking rule + idempotent booking key (ARN + transaction no.)</t>
  </si>
  <si>
    <t xml:space="preserve">BRNB.081</t>
  </si>
  <si>
    <t xml:space="preserve">Adjustment</t>
  </si>
  <si>
    <t xml:space="preserve">Cancel booking (single/multiple); negative financial and non-financial endorsements</t>
  </si>
  <si>
    <t xml:space="preserve">BRD 3.2.2.1-3.2.2.3</t>
  </si>
  <si>
    <t xml:space="preserve">Cancellation &amp; refund endorsements with reversal journals</t>
  </si>
  <si>
    <t xml:space="preserve">Booking cancellation reverses commission/receivable entries; credit note to insurer</t>
  </si>
  <si>
    <t xml:space="preserve">BRNB.094</t>
  </si>
  <si>
    <t xml:space="preserve">Distinguish true policy cancellation (post-issuance) from internal reversal (pre-issuance / correction)</t>
  </si>
  <si>
    <t xml:space="preserve">Defined statuses &amp; conditions; transitions enforced; reason + user/time logged</t>
  </si>
  <si>
    <t xml:space="preserve">Cancellation endorsement only</t>
  </si>
  <si>
    <t xml:space="preserve">Two lifecycle actions: REVERSED (pre-issuance, no insurer impact) vs CANCELLED (post-issuance endorsement)</t>
  </si>
  <si>
    <t xml:space="preserve">BRNB.100</t>
  </si>
  <si>
    <t xml:space="preserve">Service invoice generated from defined template and triggers; owner assigned; per invoice type (insurer / internal)</t>
  </si>
  <si>
    <t xml:space="preserve">Only on approved triggers; visible owner; consistent; details per type; traceable</t>
  </si>
  <si>
    <t xml:space="preserve">Receivables invoice with BIR fields</t>
  </si>
  <si>
    <t xml:space="preserve">Service-invoice types (Insurer commission invoice, internal) with trigger rules and owner; BIR-compliant numbering</t>
  </si>
  <si>
    <t xml:space="preserve">BRNB.100b</t>
  </si>
  <si>
    <t xml:space="preserve">Send generated service invoice to recipients; notify success/failure with reason (unnumbered row in addendum)</t>
  </si>
  <si>
    <t xml:space="preserve">Notification of sent/failed; reason; traceable</t>
  </si>
  <si>
    <t xml:space="preserve">Invoice dispatch via e-mail service + log</t>
  </si>
  <si>
    <t xml:space="preserve">BRNB.107</t>
  </si>
  <si>
    <t xml:space="preserve">Incentive eligibility indicator on booked transactions (rule-based)</t>
  </si>
  <si>
    <t xml:space="preserve">Evaluated vs rules; stored at booking; visible; override only when authorised; logged</t>
  </si>
  <si>
    <t xml:space="preserve">Incentive rule table (product, segment, channel, period) -&gt; indicator on booking</t>
  </si>
  <si>
    <t xml:space="preserve">Q33</t>
  </si>
  <si>
    <t xml:space="preserve">BRNB.108</t>
  </si>
  <si>
    <t xml:space="preserve">Cost center captured for every booked transaction (MIS)</t>
  </si>
  <si>
    <t xml:space="preserve">Mandatory; from master data; blocks booking if missing; in reports &amp; interfaces; logged</t>
  </si>
  <si>
    <t xml:space="preserve">Dimensions module (COST_CENTER, PROFIT_CENTER, DEPARTMENT) posted on journals</t>
  </si>
  <si>
    <t xml:space="preserve">Make cost center mandatory on booking; default from AO / unit</t>
  </si>
  <si>
    <t xml:space="preserve">Q34</t>
  </si>
  <si>
    <t xml:space="preserve">BRNB.111</t>
  </si>
  <si>
    <t xml:space="preserve">Bypass placement and book directly when insurer already issued the policy; issued-policy upload mandatory</t>
  </si>
  <si>
    <t xml:space="preserve">Bypass allowed; placement fields optional; at least one policy document mandatory; error if none; stored &amp; linked</t>
  </si>
  <si>
    <t xml:space="preserve">Direct-booking path with document gate</t>
  </si>
  <si>
    <t xml:space="preserve">BRNB.112</t>
  </si>
  <si>
    <t xml:space="preserve">Book multi-year policies (e.g. 5-year term = 5 policy numbers linked to one booking reference)</t>
  </si>
  <si>
    <t xml:space="preserve">Supported; flagged multi-year; all policy numbers linked; audit</t>
  </si>
  <si>
    <t xml:space="preserve">Single-period policies; renewal creates new period</t>
  </si>
  <si>
    <t xml:space="preserve">Multi-year booking with yearly policy-number schedule and per-year commission recognition (Appendix A multi-year formula)</t>
  </si>
  <si>
    <t xml:space="preserve">Q35</t>
  </si>
  <si>
    <t xml:space="preserve">BRNB.113</t>
  </si>
  <si>
    <t xml:space="preserve">Maintain Free First-Year (FFY) accounts list: upload, tag, edit dates, cancel, auto end date, list, audit</t>
  </si>
  <si>
    <t xml:space="preserve">12 criteria incl. dedupe by serial/motor number, only active accounts, persists, used for renewals</t>
  </si>
  <si>
    <t xml:space="preserve">FFY attribute + bulk tagging + FFY register</t>
  </si>
  <si>
    <t xml:space="preserve">Q36</t>
  </si>
  <si>
    <t xml:space="preserve">BRNB.092</t>
  </si>
  <si>
    <t xml:space="preserve">Business unit</t>
  </si>
  <si>
    <t xml:space="preserve">Defined authoritative source of truth per data element (client, vehicle, property, address, policy, invoice)</t>
  </si>
  <si>
    <t xml:space="preserve">List of sources incl. fallback; read-only vs editable enforced; conflicts flagged</t>
  </si>
  <si>
    <t xml:space="preserve">Data-ownership register + field-level source/lock metadata</t>
  </si>
  <si>
    <t xml:space="preserve">Q37</t>
  </si>
  <si>
    <t xml:space="preserve">BRNB.096</t>
  </si>
  <si>
    <t xml:space="preserve">Marketing submissions are the official trigger for Processing (like GRF/ARF requests)</t>
  </si>
  <si>
    <t xml:space="preserve">Single Processing inbox with status, date, originating unit; tracked; logged</t>
  </si>
  <si>
    <t xml:space="preserve">Approval inbox</t>
  </si>
  <si>
    <t xml:space="preserve">Processing request queue</t>
  </si>
  <si>
    <t xml:space="preserve">Q38</t>
  </si>
  <si>
    <t xml:space="preserve">BRNB.097</t>
  </si>
  <si>
    <t xml:space="preserve">Classify New Business vs Renewal before processing and route separately</t>
  </si>
  <si>
    <t xml:space="preserve">Classified; separate queues; no cross-routing; logged</t>
  </si>
  <si>
    <t xml:space="preserve">Business type NEW / RENEWAL on policies</t>
  </si>
  <si>
    <t xml:space="preserve">Transaction-type-specific workflows and queues</t>
  </si>
  <si>
    <t xml:space="preserve">BRNB.106</t>
  </si>
  <si>
    <t xml:space="preserve">Retention policy for quotations, accounts, clients incl. not-proceeded/voided</t>
  </si>
  <si>
    <t xml:space="preserve">Identify statuses; rules by type/status; accessible until expiry; actions logged</t>
  </si>
  <si>
    <t xml:space="preserve">Retention rule table + archive/purge job (see NFR retention 5y online / 15y archive)</t>
  </si>
  <si>
    <t xml:space="preserve">Q39</t>
  </si>
  <si>
    <t xml:space="preserve">BRNB.115</t>
  </si>
  <si>
    <t xml:space="preserve">Track account status from quotation to booking; stalled accounts identified; status reports</t>
  </si>
  <si>
    <t xml:space="preserve">8 criteria (visible, automatic, history, definitions, timestamp/user, in reports, downloadable, role-restricted)</t>
  </si>
  <si>
    <t xml:space="preserve">Status history + ageing/SLA on workflow engine (see BRNB.022)</t>
  </si>
  <si>
    <t xml:space="preserve">BRNB.080</t>
  </si>
  <si>
    <t xml:space="preserve">View accounts for assignment; assign / re-assign workload to users</t>
  </si>
  <si>
    <t xml:space="preserve">BRD 3.1.3.1-3.1.3.3</t>
  </si>
  <si>
    <t xml:space="preserve">Work allocation (manual + round-robin option) on queues</t>
  </si>
  <si>
    <t xml:space="preserve">BRNB.079</t>
  </si>
  <si>
    <t xml:space="preserve">Approve requests (override, LOV change, profile creation/modification...): view, review, approve, decline, comment, push</t>
  </si>
  <si>
    <t xml:space="preserve">BRD 3.1.2.1-3.1.2.7</t>
  </si>
  <si>
    <t xml:space="preserve">Approval inbox with approve/reject + comments</t>
  </si>
  <si>
    <t xml:space="preserve">Add LOV-change and profile-request sources</t>
  </si>
  <si>
    <t xml:space="preserve">BRNB.031</t>
  </si>
  <si>
    <t xml:space="preserve">Print any accessible report with preview, headers/footers/metadata, A4/Letter, summary/detail, standard and dynamic reports</t>
  </si>
  <si>
    <t xml:space="preserve">12 acceptance criteria</t>
  </si>
  <si>
    <t xml:space="preserve">BRD 1.1.11.4, 1.2.5.4, 2.1.13.4, 2.2.1.5.4</t>
  </si>
  <si>
    <t xml:space="preserve">PDF export with header/footer</t>
  </si>
  <si>
    <t xml:space="preserve">Print-friendly PDF with metadata block (report, user, time, filters) + browser print preview</t>
  </si>
  <si>
    <t xml:space="preserve">BRNB.037</t>
  </si>
  <si>
    <t xml:space="preserve">Download reports (xlsx, xml, ods, csv) with date range; saved to chosen location; logged</t>
  </si>
  <si>
    <t xml:space="preserve">BRD 1.1.11.2, 1.2.5.2, 2.1.13.2, 2.2.1.5.2, 3.1.4.2</t>
  </si>
  <si>
    <t xml:space="preserve">XLSX / CSV / PDF export; download logged</t>
  </si>
  <si>
    <t xml:space="preserve">Add ODS and XML renderers</t>
  </si>
  <si>
    <t xml:space="preserve">BRNB.057</t>
  </si>
  <si>
    <t xml:space="preserve">Marketing / Processing / Approver</t>
  </si>
  <si>
    <t xml:space="preserve">Role-based reports: view, date range, download xlsx/ods, save, print, create dynamic reports</t>
  </si>
  <si>
    <t xml:space="preserve">BRD 1.1.11.x, 1.2.5.x, 2.1.13.x, 2.2.1.5.x, 3.1.4.x</t>
  </si>
  <si>
    <t xml:space="preserve">Role-based report catalogue</t>
  </si>
  <si>
    <t xml:space="preserve">Dynamic report builder (choose dataset, columns, filters, grouping; save &amp; share)</t>
  </si>
  <si>
    <t xml:space="preserve">Q40</t>
  </si>
  <si>
    <t xml:space="preserve">BRNB.075</t>
  </si>
  <si>
    <t xml:space="preserve">Reports: successful &amp; fall-out accounts per stage; current status per account; placement summary (sent/failed); CLPC billing; matched/unmatched payments; production statistics per region/department/team/user vs target</t>
  </si>
  <si>
    <t xml:space="preserve">As listed, xlsx/ods, date range</t>
  </si>
  <si>
    <t xml:space="preserve">BRD 1.3.13.1-1.3.13.2, 2.3.9.x</t>
  </si>
  <si>
    <t xml:space="preserve">Report framework</t>
  </si>
  <si>
    <t xml:space="preserve">6 new operational reports + production dashboard with targets</t>
  </si>
  <si>
    <t xml:space="preserve">Q41</t>
  </si>
  <si>
    <t xml:space="preserve">BRNB.040</t>
  </si>
  <si>
    <t xml:space="preserve">All roles</t>
  </si>
  <si>
    <t xml:space="preserve">Log in from any BDO-issued device with role profile; inactivity warning after 15 min; warning 30 min before system-triggered logout</t>
  </si>
  <si>
    <t xml:space="preserve">BRD 1.1.1.1, 1.2.1.1, 1.4.1.1, 2.1.1.1, 2.2.1.1, 2.4.1.1, 3.1.1.1, 3.2.1.1, 3.3.1.1</t>
  </si>
  <si>
    <t xml:space="preserve">JWT login, roles, configurable inactivity timeout and warning dialog</t>
  </si>
  <si>
    <t xml:space="preserve">Set timeout parameters; add absolute session-end warning; BDO SSO / AD integration if required</t>
  </si>
  <si>
    <t xml:space="preserve">Q42</t>
  </si>
  <si>
    <t xml:space="preserve">BRNB.082</t>
  </si>
  <si>
    <t xml:space="preserve">Business Admin</t>
  </si>
  <si>
    <t xml:space="preserve">Open the application in multiple tabs</t>
  </si>
  <si>
    <t xml:space="preserve">BRD 3.3.2.1</t>
  </si>
  <si>
    <t xml:space="preserve">Token kept in sessionStorage (per tab - new tab needs login)</t>
  </si>
  <si>
    <t xml:space="preserve">Share session across tabs (localStorage + BroadcastChannel logout sync)</t>
  </si>
  <si>
    <t xml:space="preserve">BRNB.083</t>
  </si>
  <si>
    <t xml:space="preserve">Maintain LOVs: view, add, edit, deactivate, effectivity date (changes approved)</t>
  </si>
  <si>
    <t xml:space="preserve">BRD 3.3.3.1-3.3.3.5</t>
  </si>
  <si>
    <t xml:space="preserve">Code lists are per-module tables/enums</t>
  </si>
  <si>
    <t xml:space="preserve">Generic LOV service (type, code, value, effective from/to, status) with maker-checker</t>
  </si>
  <si>
    <t xml:space="preserve">BRNB.084</t>
  </si>
  <si>
    <t xml:space="preserve">Assign role profiles to users per User Access Matrix</t>
  </si>
  <si>
    <t xml:space="preserve">BRD 3.3.4.1</t>
  </si>
  <si>
    <t xml:space="preserve">User admin with roles</t>
  </si>
  <si>
    <t xml:space="preserve">Load BDOI roles</t>
  </si>
  <si>
    <t xml:space="preserve">BRNB.085</t>
  </si>
  <si>
    <t xml:space="preserve">Submit profile creation/modification requests for approval</t>
  </si>
  <si>
    <t xml:space="preserve">BRD 3.3.5.1-3.3.5.2</t>
  </si>
  <si>
    <t xml:space="preserve">User/role changes applied directly by admin</t>
  </si>
  <si>
    <t xml:space="preserve">User-access request with approval (maker-checker)</t>
  </si>
  <si>
    <t xml:space="preserve">BRNB.086</t>
  </si>
  <si>
    <t xml:space="preserve">View, download, save audit log report</t>
  </si>
  <si>
    <t xml:space="preserve">BRD 3.3.6.1</t>
  </si>
  <si>
    <t xml:space="preserve">Audit trail report with export</t>
  </si>
  <si>
    <t xml:space="preserve">BRNB.087</t>
  </si>
  <si>
    <t xml:space="preserve">System Admin</t>
  </si>
  <si>
    <t xml:space="preserve">Access application from any BDO workstation with System Administrator profile</t>
  </si>
  <si>
    <t xml:space="preserve">BRD 3.4.1.1</t>
  </si>
  <si>
    <t xml:space="preserve">Admin role</t>
  </si>
  <si>
    <t xml:space="preserve">BRNB.088</t>
  </si>
  <si>
    <t xml:space="preserve">Define profiles (Marketing, Processing, Approver, Business Admin, Adjustment, E-policy Sender) and assign 39 functions to profiles</t>
  </si>
  <si>
    <t xml:space="preserve">BRD 3.4.2.1-3.4.2.2.39</t>
  </si>
  <si>
    <t xml:space="preserve">Role -&gt; permission model</t>
  </si>
  <si>
    <t xml:space="preserve">New permission set for the 39 NB functions; seed BDOI profiles</t>
  </si>
  <si>
    <t xml:space="preserve">BRNB.089</t>
  </si>
  <si>
    <t xml:space="preserve">Generate and export audit log reports</t>
  </si>
  <si>
    <t xml:space="preserve">BRD 3.4.3.1</t>
  </si>
  <si>
    <t xml:space="preserve">Audit trail report</t>
  </si>
  <si>
    <t xml:space="preserve">OOS-1</t>
  </si>
  <si>
    <t xml:space="preserve">Override requests (submit, select approver, comment, push) - applicable to Renewals only</t>
  </si>
  <si>
    <t xml:space="preserve">BRD 1.1.12.x, 1.2.9.x, 2.1.14.x, 2.2.1.9.x, 3.4.2.2.13</t>
  </si>
  <si>
    <t xml:space="preserve">Deferred to Renewal BRD</t>
  </si>
  <si>
    <t xml:space="preserve">OOS-2</t>
  </si>
  <si>
    <t xml:space="preserve">QPS-specific references (QPS reference number, QPS placement report) - unique reference and reports still required</t>
  </si>
  <si>
    <t xml:space="preserve">BRD 1.3.5.1.7, 1.3.13.1.3, 2.3.9.1.3</t>
  </si>
  <si>
    <t xml:space="preserve">Replaced by ARN (BRNB.102) and placement summary report</t>
  </si>
  <si>
    <t xml:space="preserve">Stage</t>
  </si>
  <si>
    <t xml:space="preserve">Stage name</t>
  </si>
  <si>
    <t xml:space="preserve">Owner</t>
  </si>
  <si>
    <t xml:space="preserve">Meaning</t>
  </si>
  <si>
    <t xml:space="preserve">Allowed next</t>
  </si>
  <si>
    <t xml:space="preserve">S01</t>
  </si>
  <si>
    <t xml:space="preserve">Request received</t>
  </si>
  <si>
    <t xml:space="preserve">Quotation / PRF request logged (e-mail, HLS, upload)</t>
  </si>
  <si>
    <t xml:space="preserve">S02, S99</t>
  </si>
  <si>
    <t xml:space="preserve">S02</t>
  </si>
  <si>
    <t xml:space="preserve">Quotation in progress</t>
  </si>
  <si>
    <t xml:space="preserve">Marketing AO / TSU</t>
  </si>
  <si>
    <t xml:space="preserve">Quotation or QS being prepared; insurer terms collected for non-package</t>
  </si>
  <si>
    <t xml:space="preserve">S03, S99</t>
  </si>
  <si>
    <t xml:space="preserve">S03</t>
  </si>
  <si>
    <t xml:space="preserve">Quotation approved</t>
  </si>
  <si>
    <t xml:space="preserve">Quotation / QS / PS approved and locked</t>
  </si>
  <si>
    <t xml:space="preserve">S04</t>
  </si>
  <si>
    <t xml:space="preserve">Sent to client</t>
  </si>
  <si>
    <t xml:space="preserve">Quotation / proposal e-mailed (encrypted)</t>
  </si>
  <si>
    <t xml:space="preserve">S05, S06</t>
  </si>
  <si>
    <t xml:space="preserve">S05</t>
  </si>
  <si>
    <t xml:space="preserve">Accepted by client</t>
  </si>
  <si>
    <t xml:space="preserve">Acceptance recorded; client onboarding checked</t>
  </si>
  <si>
    <t xml:space="preserve">S07</t>
  </si>
  <si>
    <t xml:space="preserve">S06</t>
  </si>
  <si>
    <t xml:space="preserve">Declined / not proceeded</t>
  </si>
  <si>
    <t xml:space="preserve">Closed; retention policy applies</t>
  </si>
  <si>
    <t xml:space="preserve">Account created</t>
  </si>
  <si>
    <t xml:space="preserve">Marketing / System</t>
  </si>
  <si>
    <t xml:space="preserve">Client confirmed; account(s) with ARN created; documents complete</t>
  </si>
  <si>
    <t xml:space="preserve">S08, S20</t>
  </si>
  <si>
    <t xml:space="preserve">S08</t>
  </si>
  <si>
    <t xml:space="preserve">Awaiting payment / confirmation</t>
  </si>
  <si>
    <t xml:space="preserve">CLPC billing / payment matching / client confirmation per segment</t>
  </si>
  <si>
    <t xml:space="preserve">S09, S98</t>
  </si>
  <si>
    <t xml:space="preserve">S09</t>
  </si>
  <si>
    <t xml:space="preserve">Submitted for placement</t>
  </si>
  <si>
    <t xml:space="preserve">Placement slip generated (prerequisites met)</t>
  </si>
  <si>
    <t xml:space="preserve">S10</t>
  </si>
  <si>
    <t xml:space="preserve">Placed with insurer</t>
  </si>
  <si>
    <t xml:space="preserve">Placement slip sent; hold-cover requested / confirmed</t>
  </si>
  <si>
    <t xml:space="preserve">S11, S12</t>
  </si>
  <si>
    <t xml:space="preserve">S11</t>
  </si>
  <si>
    <t xml:space="preserve">Returned by insurer</t>
  </si>
  <si>
    <t xml:space="preserve">Returned with remarks; may go back to Marketing</t>
  </si>
  <si>
    <t xml:space="preserve">S12</t>
  </si>
  <si>
    <t xml:space="preserve">Policy issued (e-policy received)</t>
  </si>
  <si>
    <t xml:space="preserve">Policy number updated; e-policy linked; IA generated if mortgaged</t>
  </si>
  <si>
    <t xml:space="preserve">S13</t>
  </si>
  <si>
    <t xml:space="preserve">Booked</t>
  </si>
  <si>
    <t xml:space="preserve">GL entry + service invoice; incentive and cost center stamped</t>
  </si>
  <si>
    <t xml:space="preserve">S14, S15</t>
  </si>
  <si>
    <t xml:space="preserve">S14</t>
  </si>
  <si>
    <t xml:space="preserve">E-policy sent to client</t>
  </si>
  <si>
    <t xml:space="preserve">Encrypted e-policy dispatched; send log</t>
  </si>
  <si>
    <t xml:space="preserve">S15</t>
  </si>
  <si>
    <t xml:space="preserve">Endorsed / cancelled</t>
  </si>
  <si>
    <t xml:space="preserve">Processing / Adjustment</t>
  </si>
  <si>
    <t xml:space="preserve">Post-issuance endorsement or cancellation</t>
  </si>
  <si>
    <t xml:space="preserve">S20</t>
  </si>
  <si>
    <t xml:space="preserve">Direct booking (policy already issued)</t>
  </si>
  <si>
    <t xml:space="preserve">Placement bypassed; issued policy upload mandatory</t>
  </si>
  <si>
    <t xml:space="preserve">S98</t>
  </si>
  <si>
    <t xml:space="preserve">Placement cancelled (reversal)</t>
  </si>
  <si>
    <t xml:space="preserve">Pre-issuance internal reversal; can be reactivated</t>
  </si>
  <si>
    <t xml:space="preserve">S99</t>
  </si>
  <si>
    <t xml:space="preserve">Voided</t>
  </si>
  <si>
    <t xml:space="preserve">In-process record deleted (soft) with reason</t>
  </si>
  <si>
    <t xml:space="preserve">Proposal answering BRNB.022 / 094 / 115 and question Q10. Every change of stage is time-stamped with user or system action.</t>
  </si>
  <si>
    <t xml:space="preserve">Platform area</t>
  </si>
  <si>
    <t xml:space="preserve">Treatment</t>
  </si>
  <si>
    <t xml:space="preserve">Broker-model impact</t>
  </si>
  <si>
    <t xml:space="preserve">Underwriting (insurer)</t>
  </si>
  <si>
    <t xml:space="preserve">Re-purpose</t>
  </si>
  <si>
    <t xml:space="preserve">Quotations/policies/endorsements become broker quotation -&gt; account -&gt; placement -&gt; booking; premium calculator re-used with Appendix A formulas</t>
  </si>
  <si>
    <t xml:space="preserve">Parties</t>
  </si>
  <si>
    <t xml:space="preserve">Extend</t>
  </si>
  <si>
    <t xml:space="preserve">Client master: prospect/confirmed, KYC, tags, special instructions, dedupe; insurers become panel parties with channels and branches</t>
  </si>
  <si>
    <t xml:space="preserve">Document types, ODS, naming syntax, multi-link, extraction, triggers</t>
  </si>
  <si>
    <t xml:space="preserve">Approvals / maker-checker</t>
  </si>
  <si>
    <t xml:space="preserve">Multi-level chains (PRF, QS, LOV, user access)</t>
  </si>
  <si>
    <t xml:space="preserve">Accounting engine / GL</t>
  </si>
  <si>
    <t xml:space="preserve">Re-use</t>
  </si>
  <si>
    <t xml:space="preserve">New broker events: booking, cancellation, commission, VAT on commission, premium receivable/payable</t>
  </si>
  <si>
    <t xml:space="preserve">Receivables / Payables</t>
  </si>
  <si>
    <t xml:space="preserve">Premium collected from clients and remitted to insurers; commission receivable from insurers</t>
  </si>
  <si>
    <t xml:space="preserve">Tax (PH BIR)</t>
  </si>
  <si>
    <t xml:space="preserve">VAT on commission, EWT on commission, BIR service invoice</t>
  </si>
  <si>
    <t xml:space="preserve">Dimensions</t>
  </si>
  <si>
    <t xml:space="preserve">Cost center / region / department / team on every booking</t>
  </si>
  <si>
    <t xml:space="preserve">Reports &amp; dashboard</t>
  </si>
  <si>
    <t xml:space="preserve">ODS/XML output, print metadata, dynamic reports, NB operational reports</t>
  </si>
  <si>
    <t xml:space="preserve">Jobs &amp; alerts</t>
  </si>
  <si>
    <t xml:space="preserve">Batch booking, KYC monthly list, retention, hold-cover monitor, e-policy dispatch</t>
  </si>
  <si>
    <t xml:space="preserve">Security &amp; audit</t>
  </si>
  <si>
    <t xml:space="preserve">Roles/permissions for 39 NB functions; immutable audit trail</t>
  </si>
  <si>
    <t xml:space="preserve">Reinsurance, reserves, claims reserving, actuarial</t>
  </si>
  <si>
    <t xml:space="preserve">Not applicable (to confirm Q44)</t>
  </si>
  <si>
    <t xml:space="preserve">Insurer-only; hide from BDOI tenant via feature flags</t>
  </si>
  <si>
    <t xml:space="preserve">New modules</t>
  </si>
  <si>
    <t xml:space="preserve">Build</t>
  </si>
  <si>
    <t xml:space="preserve">Workflow engine &amp; queues, Non-package placement (PRF/QS/PS), Bulk processing framework, Placement, E-policy &amp; IA, Outbound e-mail &amp; encryption, Integrations (HLS, CLPC, insurers), LOV service, Document extraction</t>
  </si>
  <si>
    <t xml:space="preserve">Q#</t>
  </si>
  <si>
    <t xml:space="preserve">Topic</t>
  </si>
  <si>
    <t xml:space="preserve">Question</t>
  </si>
  <si>
    <t xml:space="preserve">Related requirements</t>
  </si>
  <si>
    <t xml:space="preserve">BDOI answer</t>
  </si>
  <si>
    <t xml:space="preserve">Answered by</t>
  </si>
  <si>
    <t xml:space="preserve">Date</t>
  </si>
  <si>
    <t xml:space="preserve">Product master</t>
  </si>
  <si>
    <t xml:space="preserve">Please share the product matrix files (MTR08..MTR38, PAR01..PAR25, other risk codes) referenced in Appendix B; the SharePoint link is internal to BDO.</t>
  </si>
  <si>
    <t xml:space="preserve">BRNB.001-003, 093</t>
  </si>
  <si>
    <t xml:space="preserve">Minimum mandatory fields per product line / cover type (Annex II: Property, Motor, Engineering, Liability, Crime, Floater, Marine, Hull, Aviation, PA, EEI, Misc.).</t>
  </si>
  <si>
    <t xml:space="preserve">BRNB.002, 003, 093</t>
  </si>
  <si>
    <t xml:space="preserve">Templates</t>
  </si>
  <si>
    <t xml:space="preserve">Sample layouts for IDF, FFYMI quotation, Quotation Slip, Proposal Slip, Comparative Table, Placement Slip, Hold Cover request, Insurance Advice, Service Invoice.</t>
  </si>
  <si>
    <t xml:space="preserve">BRNB.004, 008, 017, 069, 070, 100</t>
  </si>
  <si>
    <t xml:space="preserve">TSU routing</t>
  </si>
  <si>
    <t xml:space="preserve">Exact TSU involvement criteria: package vs non-package list, fleet threshold (no. of units), multi-location threshold, TSI threshold, endorsement types.</t>
  </si>
  <si>
    <t xml:space="preserve">Approvals</t>
  </si>
  <si>
    <t xml:space="preserve">Approval chain and limits for PRF (Marketing TL / TH / UH) and QS (TSU) - by amount, product or segment?</t>
  </si>
  <si>
    <t xml:space="preserve">BRNB.005, 014</t>
  </si>
  <si>
    <t xml:space="preserve">Insurer channel</t>
  </si>
  <si>
    <t xml:space="preserve">How are insurers reached per insurer: e-mail only, SFTP, or insurer API? List of panel insurers and branch codes (LGT depends on insurer branch).</t>
  </si>
  <si>
    <t xml:space="preserve">BRNB.008, 071</t>
  </si>
  <si>
    <t xml:space="preserve">Encryption</t>
  </si>
  <si>
    <t xml:space="preserve">Password convention for outbound documents (standard vs generated syntax, e.g. surname + birth date); which documents to clients vs insurers.</t>
  </si>
  <si>
    <t xml:space="preserve">BRNB.013, 035, 077</t>
  </si>
  <si>
    <t xml:space="preserve">Which 'BDOI systems' must receive NB data (core/accounting, CRM, GRF/ARF, data warehouse) and preferred interface (file vs API).</t>
  </si>
  <si>
    <t xml:space="preserve">BRNB.015, 096</t>
  </si>
  <si>
    <t xml:space="preserve">Renewals</t>
  </si>
  <si>
    <t xml:space="preserve">Late Renewal Requests Report is renewal-related - confirm it stays in NB scope or moves to the Renewal BRD.</t>
  </si>
  <si>
    <t xml:space="preserve">Confirm the master list of stages and statuses and allowed transitions per transaction type (NB individual, NB bulk, non-package, direct booking, endorsement).</t>
  </si>
  <si>
    <t xml:space="preserve">BRNB.022, 115</t>
  </si>
  <si>
    <t xml:space="preserve">HLS</t>
  </si>
  <si>
    <t xml:space="preserve">HLS interface specification (format, fields, frequency, transport, source authentication) and other source systems for bulk (e.g. auto loans for FFYMI).</t>
  </si>
  <si>
    <t xml:space="preserve">BRNB.023, 028</t>
  </si>
  <si>
    <t xml:space="preserve">E-mail intake</t>
  </si>
  <si>
    <t xml:space="preserve">Should the system read a shared mailbox for quotation requests automatically, or is manual capture with the e-mail attached sufficient?</t>
  </si>
  <si>
    <t xml:space="preserve">Client code</t>
  </si>
  <si>
    <t xml:space="preserve">BRNB.029 requires a client code for every quotation; BRNB.063 allows quotation without client code. Confirm: auto-create prospect code at quotation?</t>
  </si>
  <si>
    <t xml:space="preserve">BRNB.029, 063</t>
  </si>
  <si>
    <t xml:space="preserve">Sanitation</t>
  </si>
  <si>
    <t xml:space="preserve">Defined sanitisation criteria for bulk lists.</t>
  </si>
  <si>
    <t xml:space="preserve">Reference no.</t>
  </si>
  <si>
    <t xml:space="preserve">Format of the single Account Reference Number (prefix, segment, year, sequence) and whether PRF marketing reference is the same number.</t>
  </si>
  <si>
    <t xml:space="preserve">BRNB.006, 102</t>
  </si>
  <si>
    <t xml:space="preserve">Client / KYC</t>
  </si>
  <si>
    <t xml:space="preserve">BDO 'bank standard' client data and KYC fields; is there a BDO CIF to integrate with (source of truth for bank clients)?</t>
  </si>
  <si>
    <t xml:space="preserve">BRNB.030, 065, 090, 092</t>
  </si>
  <si>
    <t xml:space="preserve">Dedupe</t>
  </si>
  <si>
    <t xml:space="preserve">Duplicate-client keys and match precedence (name + DOB, ID number, e-mail, mobile, TIN).</t>
  </si>
  <si>
    <t xml:space="preserve">Tags</t>
  </si>
  <si>
    <t xml:space="preserve">List of client/account tags and special-instruction types, and which processes must enforce them (block vs warn).</t>
  </si>
  <si>
    <t xml:space="preserve">CRM</t>
  </si>
  <si>
    <t xml:space="preserve">Lead management scope: do leads come from bank channels (referrals) and is lead-to-prospect conversion required in NB phase?</t>
  </si>
  <si>
    <t xml:space="preserve">Prospect</t>
  </si>
  <si>
    <t xml:space="preserve">Prospect vs confirmed client: which event confirms (KYC complete, first booking)?</t>
  </si>
  <si>
    <t xml:space="preserve">KYC review</t>
  </si>
  <si>
    <t xml:space="preserve">KYC review frequency by risk rating for non-bank clients; 'shared path' - is an in-system report acceptable?</t>
  </si>
  <si>
    <t xml:space="preserve">Duplicates</t>
  </si>
  <si>
    <t xml:space="preserve">Fire duplicate rule 'same client ID + location + items' - exact or normalised address match? Motor: CTPL vs MTR exception confirmed.</t>
  </si>
  <si>
    <t xml:space="preserve">BRNB.051, 066</t>
  </si>
  <si>
    <t xml:space="preserve">Files</t>
  </si>
  <si>
    <t xml:space="preserve">Maximum file size and full list of allowed file types; file-naming syntax.</t>
  </si>
  <si>
    <t xml:space="preserve">Extraction</t>
  </si>
  <si>
    <t xml:space="preserve">Which documents need auto-extraction (e-policy per insurer?) and which fields; are insurer e-policy layouts stable?</t>
  </si>
  <si>
    <t xml:space="preserve">BRNB.074, 104, 105</t>
  </si>
  <si>
    <t xml:space="preserve">Reactivation</t>
  </si>
  <si>
    <t xml:space="preserve">Reactivate cancelled placement (BRD 2.1.16) has no BRNB ID - confirm in scope.</t>
  </si>
  <si>
    <t xml:space="preserve">Prerequisites before placement per segment (payment received, client confirmation, docs complete, TSU clearance).</t>
  </si>
  <si>
    <t xml:space="preserve">Hold cover</t>
  </si>
  <si>
    <t xml:space="preserve">Which accounts need an automatic 30-day hold cover request, and what happens at expiry without confirmation?</t>
  </si>
  <si>
    <t xml:space="preserve">BRNB.072, 103</t>
  </si>
  <si>
    <t xml:space="preserve">CLPC</t>
  </si>
  <si>
    <t xml:space="preserve">CLPC billing file and payment report layouts, transport and schedule; payment report for other segments (bank debit, OTC, online).</t>
  </si>
  <si>
    <t xml:space="preserve">BRNB.067, 068</t>
  </si>
  <si>
    <t xml:space="preserve">Direct payment</t>
  </si>
  <si>
    <t xml:space="preserve">Direct-payment criteria and accounting: does BDOI book only commission receivable from insurer for these?</t>
  </si>
  <si>
    <t xml:space="preserve">Insurance Advice</t>
  </si>
  <si>
    <t xml:space="preserve">IA trigger point and recipient (mortgagee bank unit) for mortgaged accounts.</t>
  </si>
  <si>
    <t xml:space="preserve">BRNB.070, 095</t>
  </si>
  <si>
    <t xml:space="preserve">E-policy receipt</t>
  </si>
  <si>
    <t xml:space="preserve">How are e-policies received (insurer e-mail to shared mailbox, SFTP, portal download)?</t>
  </si>
  <si>
    <t xml:space="preserve">Accounting</t>
  </si>
  <si>
    <t xml:space="preserve">Booking accounting entries (premium receivable/payable to insurer, commission income, VAT, EWT) and service invoice rules - is commission invoiced per booking or monthly per insurer?</t>
  </si>
  <si>
    <t xml:space="preserve">BRNB.027, 100</t>
  </si>
  <si>
    <t xml:space="preserve">Incentives</t>
  </si>
  <si>
    <t xml:space="preserve">Incentive qualification rules and whether incentive computation/payout is in scope.</t>
  </si>
  <si>
    <t xml:space="preserve">Cost center</t>
  </si>
  <si>
    <t xml:space="preserve">Cost center master data source and default rule (by AO, branch, segment).</t>
  </si>
  <si>
    <t xml:space="preserve">Multi-year</t>
  </si>
  <si>
    <t xml:space="preserve">Multi-year: premium paid upfront or yearly? Commission recognition per year or upfront? 81% vs 90% OD/Theft basis.</t>
  </si>
  <si>
    <t xml:space="preserve">FFY</t>
  </si>
  <si>
    <t xml:space="preserve">Free First-Year: who pays the first-year premium (dealer / bank), FFY period length and renewal hand-off.</t>
  </si>
  <si>
    <t xml:space="preserve">Data ownership</t>
  </si>
  <si>
    <t xml:space="preserve">Authoritative system per data element (client, vehicle, property, address, policy, invoice).</t>
  </si>
  <si>
    <t xml:space="preserve">GRF/ARF</t>
  </si>
  <si>
    <t xml:space="preserve">Describe the existing GRF and ARF request forms to replicate their behaviour.</t>
  </si>
  <si>
    <t xml:space="preserve">Retention</t>
  </si>
  <si>
    <t xml:space="preserve">Retention periods per record type and status (not proceeded, abandoned, voided) and purge vs archive.</t>
  </si>
  <si>
    <t xml:space="preserve">Dynamic reports</t>
  </si>
  <si>
    <t xml:space="preserve">Expected scope of 'dynamic reports' (ad-hoc column/filter builder vs saved report variants).</t>
  </si>
  <si>
    <t xml:space="preserve">Production stats</t>
  </si>
  <si>
    <t xml:space="preserve">Region / department / team hierarchy and target values per stage for production statistics.</t>
  </si>
  <si>
    <t xml:space="preserve">Login</t>
  </si>
  <si>
    <t xml:space="preserve">Authentication: BDO Active Directory / SSO? Clarify '30-min warning prior to system-triggered logout' (absolute session length?).</t>
  </si>
  <si>
    <t xml:space="preserve">Q43</t>
  </si>
  <si>
    <t xml:space="preserve">Taxes</t>
  </si>
  <si>
    <t xml:space="preserve">Appendix A shows PTX 12% of net premium for Fire; please confirm premium tax / VAT basis per line and whether BDOI computes taxes or copies insurer figures.</t>
  </si>
  <si>
    <t xml:space="preserve">Appendix A</t>
  </si>
  <si>
    <t xml:space="preserve">Q44</t>
  </si>
  <si>
    <t xml:space="preserve">Scope boundary</t>
  </si>
  <si>
    <t xml:space="preserve">Broker model: confirm insurer-only platform functions (reinsurance, technical reserves, IBNR, claims reserving) are not required for BDOI.</t>
  </si>
  <si>
    <t xml:space="preserve">Risk code</t>
  </si>
  <si>
    <t xml:space="preserve">Risk name</t>
  </si>
  <si>
    <t xml:space="preserve">Product line (BDOI to map)</t>
  </si>
  <si>
    <t xml:space="preserve">In scope (Y/N)</t>
  </si>
  <si>
    <t xml:space="preserve">CAR00</t>
  </si>
  <si>
    <t xml:space="preserve">BDOI Contractor's All Risk</t>
  </si>
  <si>
    <t xml:space="preserve">Annex I - Other Lines risk codes as of 22-Oct-2025</t>
  </si>
  <si>
    <t xml:space="preserve">CAR01</t>
  </si>
  <si>
    <t xml:space="preserve">BDO/SM Employees</t>
  </si>
  <si>
    <t xml:space="preserve">CAR02</t>
  </si>
  <si>
    <t xml:space="preserve">BDOI Commercial Banking Insurance Program - CAR/EAR (Group A)</t>
  </si>
  <si>
    <t xml:space="preserve">CAR03</t>
  </si>
  <si>
    <t xml:space="preserve">BDOI Mall Tenants and Consignors Contractor's All</t>
  </si>
  <si>
    <t xml:space="preserve">CAR04</t>
  </si>
  <si>
    <t xml:space="preserve">Non-SM, Non-BDO, Non-SM Tenants, Non-SM Consignors</t>
  </si>
  <si>
    <t xml:space="preserve">CAR05</t>
  </si>
  <si>
    <t xml:space="preserve">SM and BDO Owned Construction Projects</t>
  </si>
  <si>
    <t xml:space="preserve">CAR06</t>
  </si>
  <si>
    <t xml:space="preserve">Various Non-SM, Non-BDO, Non-SM Tenants and Non-SM Consignors</t>
  </si>
  <si>
    <t xml:space="preserve">CAR07</t>
  </si>
  <si>
    <t xml:space="preserve">Next Asialand Inc</t>
  </si>
  <si>
    <t xml:space="preserve">CAR09</t>
  </si>
  <si>
    <t xml:space="preserve">SM Owned Projects - CARI Open Cover - Php100M and below</t>
  </si>
  <si>
    <t xml:space="preserve">CAR10</t>
  </si>
  <si>
    <t xml:space="preserve">Mall Tenants and/or Consignors - CARI Open Cover - Php100M and below</t>
  </si>
  <si>
    <t xml:space="preserve">CAR11</t>
  </si>
  <si>
    <t xml:space="preserve">2021 BDOI CAR Program - Group A (Php500M and below)</t>
  </si>
  <si>
    <t xml:space="preserve">CAR12</t>
  </si>
  <si>
    <t xml:space="preserve">2021 Goldilocks Bakeshop Open CARI Program</t>
  </si>
  <si>
    <t xml:space="preserve">CAR13</t>
  </si>
  <si>
    <t xml:space="preserve">BDOI Commercial Banking Insurance Program - CAR/EAR (Group B)</t>
  </si>
  <si>
    <t xml:space="preserve">CAR14</t>
  </si>
  <si>
    <t xml:space="preserve">BDOI Commercial Banking Insurance Program - CAR/EAR (Group C)</t>
  </si>
  <si>
    <t xml:space="preserve">CAR15</t>
  </si>
  <si>
    <t xml:space="preserve">BDOI Commercial Banking Insurance Program - CAR/EAR (Group D)</t>
  </si>
  <si>
    <t xml:space="preserve">CAR16</t>
  </si>
  <si>
    <t xml:space="preserve">BDOI Commercial Banking Insurance Program - CAR/EAR (Group E)</t>
  </si>
  <si>
    <t xml:space="preserve">CAR17</t>
  </si>
  <si>
    <t xml:space="preserve">BDOI Commercial Banking Insurance Program - CAR/EAR (Group F)</t>
  </si>
  <si>
    <t xml:space="preserve">CAR18</t>
  </si>
  <si>
    <t xml:space="preserve">2021 BDOI CAR Program - Group B (more than Php500M up to Php1B)</t>
  </si>
  <si>
    <t xml:space="preserve">CAR19</t>
  </si>
  <si>
    <t xml:space="preserve">2021 BDOI CAR Program - Group C (more than Php1B up to Php2B)</t>
  </si>
  <si>
    <t xml:space="preserve">CAR20</t>
  </si>
  <si>
    <t xml:space="preserve">2021 BDOI CAR Program - Group D (more than Php2B up to Php3B)</t>
  </si>
  <si>
    <t xml:space="preserve">CAR21</t>
  </si>
  <si>
    <t xml:space="preserve">2021 BDOI CAR Program - Group E (more than Php3B up to Php4B)</t>
  </si>
  <si>
    <t xml:space="preserve">CAR22</t>
  </si>
  <si>
    <t xml:space="preserve">2021 BDOI CAR Program - Group E (more than Php4B up to Php5B)</t>
  </si>
  <si>
    <t xml:space="preserve">CAR23</t>
  </si>
  <si>
    <t xml:space="preserve">2023 Contractors' All Risks Insurance (CARI) - Demolition Works (PGA)</t>
  </si>
  <si>
    <t xml:space="preserve">CAR24</t>
  </si>
  <si>
    <t xml:space="preserve">2023 BDOI CARI Open Cover (Php100M and below)</t>
  </si>
  <si>
    <t xml:space="preserve">CAR25</t>
  </si>
  <si>
    <t xml:space="preserve">2023 BDOI Contractor's All Risk Insurance Program</t>
  </si>
  <si>
    <t xml:space="preserve">CAR26</t>
  </si>
  <si>
    <t xml:space="preserve">SM Contractors Erection All Risk (Open Cover - single and one-time declaration projects)</t>
  </si>
  <si>
    <t xml:space="preserve">CAR27</t>
  </si>
  <si>
    <t xml:space="preserve">2024 BDOI CARI Program (SM Construction only)</t>
  </si>
  <si>
    <t xml:space="preserve">CAR29</t>
  </si>
  <si>
    <t xml:space="preserve">2024 BDOI CAR Insurance Program - SM Owned Projects (Stronghold Insurance Co., Inc)</t>
  </si>
  <si>
    <t xml:space="preserve">CARI</t>
  </si>
  <si>
    <t xml:space="preserve">Contractors All Risk Insurance Package (Residential/Commercial - CLG)</t>
  </si>
  <si>
    <t xml:space="preserve">CGL01</t>
  </si>
  <si>
    <t xml:space="preserve">2020 BDOI Service Contractor's CGL Insurance Program</t>
  </si>
  <si>
    <t xml:space="preserve">CGL02</t>
  </si>
  <si>
    <t xml:space="preserve">BDOI Mall Tenants and Consignors CGL Insurance Program</t>
  </si>
  <si>
    <t xml:space="preserve">CGL03</t>
  </si>
  <si>
    <t xml:space="preserve">BDOI CGL Program - Business Permit and Premises / Operation</t>
  </si>
  <si>
    <t xml:space="preserve">CGL06</t>
  </si>
  <si>
    <t xml:space="preserve">CGL Insurance Program for Prime Spots, Inc.</t>
  </si>
  <si>
    <t xml:space="preserve">CGL07</t>
  </si>
  <si>
    <t xml:space="preserve">CGL Insurance Program - Non-SM, Non-BDO, Non-SM Tenants, Non-SM Consignors</t>
  </si>
  <si>
    <t xml:space="preserve">CGL08</t>
  </si>
  <si>
    <t xml:space="preserve">CGL Insurance Program - Non-SM, Non-BDO, Non-SM Tenants, Non-SM Consignors (Installation/Dismantling/Demolition)</t>
  </si>
  <si>
    <t xml:space="preserve">CGL09</t>
  </si>
  <si>
    <t xml:space="preserve">2023 2GO Truckers CGL Insurance Program</t>
  </si>
  <si>
    <t xml:space="preserve">CTP01</t>
  </si>
  <si>
    <t xml:space="preserve">Compulsory Third Party Liability</t>
  </si>
  <si>
    <t xml:space="preserve">CTP02</t>
  </si>
  <si>
    <t xml:space="preserve">Compulsory Third Party Liability (Non-VAT)</t>
  </si>
  <si>
    <t xml:space="preserve">EEI01</t>
  </si>
  <si>
    <t xml:space="preserve">BDOI Electronic Equipment Insurance with EAR Extension for Medical/Stationary Equipment</t>
  </si>
  <si>
    <t xml:space="preserve">EEI03</t>
  </si>
  <si>
    <t xml:space="preserve">BDOI Electronic Equipment Insurance - Mirani Group</t>
  </si>
  <si>
    <t xml:space="preserve">EEI04</t>
  </si>
  <si>
    <t xml:space="preserve">BDOI Electronic Equipment Insurance with EAR Extension for Mobile Equipment</t>
  </si>
  <si>
    <t xml:space="preserve">EPF02</t>
  </si>
  <si>
    <t xml:space="preserve">BDO Remedial Property Floater Program (Package 2)</t>
  </si>
  <si>
    <t xml:space="preserve">EPF04</t>
  </si>
  <si>
    <t xml:space="preserve">2021 Orix Metro Leasing EFP</t>
  </si>
  <si>
    <t xml:space="preserve">EPF05</t>
  </si>
  <si>
    <t xml:space="preserve">BDOI EPF with Political Violence</t>
  </si>
  <si>
    <t xml:space="preserve">GIP01</t>
  </si>
  <si>
    <t xml:space="preserve">2021 Golfer's Insurance Package</t>
  </si>
  <si>
    <t xml:space="preserve">INL01</t>
  </si>
  <si>
    <t xml:space="preserve">2021 Inland Marine Insurance Program</t>
  </si>
  <si>
    <t xml:space="preserve">INL02</t>
  </si>
  <si>
    <t xml:space="preserve">2021 Comprehensive Inland Transit (Non-2GO) Insurance Program</t>
  </si>
  <si>
    <t xml:space="preserve">INL03</t>
  </si>
  <si>
    <t xml:space="preserve">Inland Marine Insurance Program - Paramount</t>
  </si>
  <si>
    <t xml:space="preserve">INL05</t>
  </si>
  <si>
    <t xml:space="preserve">2022 Comprehensive Inland Transit Insurance 2GO Program</t>
  </si>
  <si>
    <t xml:space="preserve">INL06</t>
  </si>
  <si>
    <t xml:space="preserve">Inland Marine Insurance Program - Cocogen</t>
  </si>
  <si>
    <t xml:space="preserve">MOP02</t>
  </si>
  <si>
    <t xml:space="preserve">Marine Open Policy - Axa</t>
  </si>
  <si>
    <t xml:space="preserve">MOP04</t>
  </si>
  <si>
    <t xml:space="preserve">Marine Open Policy for SM Investments / SM Prime / SM Development and/or Banco De Oro</t>
  </si>
  <si>
    <t xml:space="preserve">MOP05</t>
  </si>
  <si>
    <t xml:space="preserve">Marine Open Policy for BDOI Corporate Accounts</t>
  </si>
  <si>
    <t xml:space="preserve">MON05</t>
  </si>
  <si>
    <t xml:space="preserve">Marine Open Policy for BDOI Corporate Accounts (Non-VAT)</t>
  </si>
  <si>
    <t xml:space="preserve">MOP06</t>
  </si>
  <si>
    <t xml:space="preserve">BDOI Marine Open Policy and Trust Receipts per Declaration and Annualized</t>
  </si>
  <si>
    <t xml:space="preserve">MOP07</t>
  </si>
  <si>
    <t xml:space="preserve">Marine Open Policy for Ramesh Trading Corp</t>
  </si>
  <si>
    <t xml:space="preserve">MOP08</t>
  </si>
  <si>
    <t xml:space="preserve">Marine Open Policy for Agrotrade Integrated Ventures Corp</t>
  </si>
  <si>
    <t xml:space="preserve">MOP09</t>
  </si>
  <si>
    <t xml:space="preserve">Marine Open Policy for San Fernando Eric Commercial Inc</t>
  </si>
  <si>
    <t xml:space="preserve">MOP10</t>
  </si>
  <si>
    <t xml:space="preserve">Marine Open Policy for Travellers International Hotel Group</t>
  </si>
  <si>
    <t xml:space="preserve">MOP11</t>
  </si>
  <si>
    <t xml:space="preserve">BDOI Marine Open Policy - Mercantile Insurance</t>
  </si>
  <si>
    <t xml:space="preserve">MOP12</t>
  </si>
  <si>
    <t xml:space="preserve">Marine Open Policy for Seven Seas &amp; Leisure and/or Pamalican Resort</t>
  </si>
  <si>
    <t xml:space="preserve">MOP13</t>
  </si>
  <si>
    <t xml:space="preserve">Marine Open Policy for ERA1 Petroleum Corporation</t>
  </si>
  <si>
    <t xml:space="preserve">MOP14</t>
  </si>
  <si>
    <t xml:space="preserve">MOP for Micro Dragon</t>
  </si>
  <si>
    <t xml:space="preserve">PA001</t>
  </si>
  <si>
    <t xml:space="preserve">Personal Accident Insurance Program for Clients of BDOI</t>
  </si>
  <si>
    <t xml:space="preserve">TRP01</t>
  </si>
  <si>
    <t xml:space="preserve">Trust Receipt Program</t>
  </si>
  <si>
    <t xml:space="preserve">TRP02</t>
  </si>
  <si>
    <t xml:space="preserve">Trust Receipt Program - Mercantile</t>
  </si>
  <si>
    <t xml:space="preserve">TRP03</t>
  </si>
  <si>
    <t xml:space="preserve">Combank Leasing BBG Branches - Trust Receipt Program</t>
  </si>
  <si>
    <t xml:space="preserve">MTR08</t>
  </si>
  <si>
    <t xml:space="preserve">Motor package - product matrix file (content not in BRD)</t>
  </si>
  <si>
    <t xml:space="preserve">Appendix B - Fire &amp; Motor product matrix</t>
  </si>
  <si>
    <t xml:space="preserve">Motor</t>
  </si>
  <si>
    <t xml:space="preserve">MTR10</t>
  </si>
  <si>
    <t xml:space="preserve">MTR12</t>
  </si>
  <si>
    <t xml:space="preserve">MTR15</t>
  </si>
  <si>
    <t xml:space="preserve">MTR22</t>
  </si>
  <si>
    <t xml:space="preserve">MTR23</t>
  </si>
  <si>
    <t xml:space="preserve">MTR24</t>
  </si>
  <si>
    <t xml:space="preserve">MTR25</t>
  </si>
  <si>
    <t xml:space="preserve">MTR26</t>
  </si>
  <si>
    <t xml:space="preserve">MTR27</t>
  </si>
  <si>
    <t xml:space="preserve">MTR28</t>
  </si>
  <si>
    <t xml:space="preserve">MTR29</t>
  </si>
  <si>
    <t xml:space="preserve">MTR31</t>
  </si>
  <si>
    <t xml:space="preserve">MTR32</t>
  </si>
  <si>
    <t xml:space="preserve">MTR34</t>
  </si>
  <si>
    <t xml:space="preserve">MTR35</t>
  </si>
  <si>
    <t xml:space="preserve">MTR38</t>
  </si>
  <si>
    <t xml:space="preserve">PAR01</t>
  </si>
  <si>
    <t xml:space="preserve">Property package - product matrix file (content not in BRD)</t>
  </si>
  <si>
    <t xml:space="preserve">Property</t>
  </si>
  <si>
    <t xml:space="preserve">PAR08</t>
  </si>
  <si>
    <t xml:space="preserve">PAR09</t>
  </si>
  <si>
    <t xml:space="preserve">PAR13</t>
  </si>
  <si>
    <t xml:space="preserve">PAR19</t>
  </si>
  <si>
    <t xml:space="preserve">PAR25</t>
  </si>
  <si>
    <t xml:space="preserve">#</t>
  </si>
  <si>
    <t xml:space="preserve">Product line</t>
  </si>
  <si>
    <t xml:space="preserve">Types of cover (Annex II)</t>
  </si>
  <si>
    <t xml:space="preserve">Fire and Lightning only; All-Risk; Broad-Named Perils</t>
  </si>
  <si>
    <t xml:space="preserve">TPL only (no L/D cover); Comprehensive</t>
  </si>
  <si>
    <t xml:space="preserve">Engineering</t>
  </si>
  <si>
    <t xml:space="preserve">CAR; EAR</t>
  </si>
  <si>
    <t xml:space="preserve">Liability</t>
  </si>
  <si>
    <t xml:space="preserve">CGL; CPL; Employers; Products; Professional; D&amp;O; E&amp;O; Cyber; Contaminated Products; Pollution Legal; Contractor's Pollution</t>
  </si>
  <si>
    <t xml:space="preserve">Crime</t>
  </si>
  <si>
    <t xml:space="preserve">MSP; FG; MSP + FG; DDD; BBB</t>
  </si>
  <si>
    <t xml:space="preserve">Property / Equipment Floater</t>
  </si>
  <si>
    <t xml:space="preserve">Marine</t>
  </si>
  <si>
    <t xml:space="preserve">Inland; Inter-Island; Import; Export; combinations; Project Cargo; Charterer's Liability; Terminal Operators Liability; Freight Forwarder's Liability; Stock Throughput; Trust Receipt</t>
  </si>
  <si>
    <t xml:space="preserve">Marine Hull</t>
  </si>
  <si>
    <t xml:space="preserve">Hull and Machinery; Ship Repairer's Liability; Builder's Risk; Protection &amp; Indemnity</t>
  </si>
  <si>
    <t xml:space="preserve">Aviation</t>
  </si>
  <si>
    <t xml:space="preserve">General Aviation; Drone; Airport Contractor's Liability; Airport Owner's &amp; Operator's Liability; Aviation Products Liability; Aviation Refuellers Liability; Hangar Keepers Liability; Pilot Loss of License</t>
  </si>
  <si>
    <t xml:space="preserve">Personal Accident</t>
  </si>
  <si>
    <t xml:space="preserve">Individual PA; Group PA; Marine PA; Travel PA</t>
  </si>
  <si>
    <t xml:space="preserve">Electronic Equipment</t>
  </si>
  <si>
    <t xml:space="preserve">Others / Miscellaneous</t>
  </si>
  <si>
    <t xml:space="preserve">S&amp;T; PV; Trade Credit; Parametric; Golfer's / Hole-in-One; Fine Arts; Jewelers Block</t>
  </si>
  <si>
    <t xml:space="preserve">Line</t>
  </si>
  <si>
    <t xml:space="preserve">Field</t>
  </si>
  <si>
    <t xml:space="preserve">Formula (Appendix A, as written)</t>
  </si>
  <si>
    <t xml:space="preserve">BDOI confirmation</t>
  </si>
  <si>
    <t xml:space="preserve">Comments</t>
  </si>
  <si>
    <t xml:space="preserve">All lines</t>
  </si>
  <si>
    <t xml:space="preserve">Pro-rata</t>
  </si>
  <si>
    <t xml:space="preserve">Premium components x days covered / 365 (or 366)</t>
  </si>
  <si>
    <t xml:space="preserve">Short-term period rate</t>
  </si>
  <si>
    <t xml:space="preserve">Premium x short-period % by months/days covered (cancellation before expiry) - table needed</t>
  </si>
  <si>
    <t xml:space="preserve">Minimum premium</t>
  </si>
  <si>
    <t xml:space="preserve">Applied when TSI below package threshold; not for endorsements or pro-rata (per product matrix)</t>
  </si>
  <si>
    <t xml:space="preserve">Fire</t>
  </si>
  <si>
    <t xml:space="preserve">Net premium</t>
  </si>
  <si>
    <t xml:space="preserve">TSI x premium rate</t>
  </si>
  <si>
    <t xml:space="preserve">DST</t>
  </si>
  <si>
    <t xml:space="preserve">12.5% of net premium; rounding: .01-.49 -&gt; .50, .51-.99 -&gt; next 1.00</t>
  </si>
  <si>
    <t xml:space="preserve">PTX (premium tax)</t>
  </si>
  <si>
    <t xml:space="preserve">12% of net premium  [note: statutory PH premium tax for non-life is generally 2% / VAT 12% - to confirm]</t>
  </si>
  <si>
    <t xml:space="preserve">FST (fire service tax)</t>
  </si>
  <si>
    <t xml:space="preserve">2% of net premium</t>
  </si>
  <si>
    <t xml:space="preserve">LGT</t>
  </si>
  <si>
    <t xml:space="preserve">Rate depends on insurer branch</t>
  </si>
  <si>
    <t xml:space="preserve">Total charges / Gross premium</t>
  </si>
  <si>
    <t xml:space="preserve">DST + PTX + FST + LGT (+OTH); gross = net + charges</t>
  </si>
  <si>
    <t xml:space="preserve">Commission</t>
  </si>
  <si>
    <t xml:space="preserve">Commission rate x net premium</t>
  </si>
  <si>
    <t xml:space="preserve">VAT on commission</t>
  </si>
  <si>
    <t xml:space="preserve">12% of commission</t>
  </si>
  <si>
    <t xml:space="preserve">OD/Theft coverage</t>
  </si>
  <si>
    <t xml:space="preserve">Annual: 90% of TSI; multi-year: 81% of TSI  [to confirm which column applies]</t>
  </si>
  <si>
    <t xml:space="preserve">OD/PV rate</t>
  </si>
  <si>
    <t xml:space="preserve">Premium rate / 100</t>
  </si>
  <si>
    <t xml:space="preserve">OD/Theft premium</t>
  </si>
  <si>
    <t xml:space="preserve">OD/Theft coverage x OD/PV rate</t>
  </si>
  <si>
    <t xml:space="preserve">BI / PD premium</t>
  </si>
  <si>
    <t xml:space="preserve">Excess BI / PD premium amounts per limit table</t>
  </si>
  <si>
    <t xml:space="preserve">Basic premium</t>
  </si>
  <si>
    <t xml:space="preserve">OD/Theft + BI + PD premium</t>
  </si>
  <si>
    <t xml:space="preserve">12.5% of basic premium with same rounding rule</t>
  </si>
  <si>
    <t xml:space="preserve">VAT</t>
  </si>
  <si>
    <t xml:space="preserve">12% of basic premium</t>
  </si>
  <si>
    <t xml:space="preserve">Basic premium x LGT rate (by insurer branch)</t>
  </si>
  <si>
    <t xml:space="preserve">Total premium</t>
  </si>
  <si>
    <t xml:space="preserve">Basic premium + DST + VAT + LGT</t>
  </si>
  <si>
    <t xml:space="preserve">BRD requirement</t>
  </si>
  <si>
    <t xml:space="preserve">BrokerVerse approach</t>
  </si>
  <si>
    <t xml:space="preserve">Users</t>
  </si>
  <si>
    <t xml:space="preserve">485 named users (392 Marketing AO/TL, 82 Processing, 3 System Admin); max concurrent 145</t>
  </si>
  <si>
    <t xml:space="preserve">Platform is stateless; horizontal scaling (k8s HPA). Size for 150 concurrent + 20%/yr growth</t>
  </si>
  <si>
    <t xml:space="preserve">Volume</t>
  </si>
  <si>
    <t xml:space="preserve">21,200 transactions/month across quotation, client, account, upload, booking; endorsements 1,300/month; +20%/yr</t>
  </si>
  <si>
    <t xml:space="preserve">~1,000/day; bulk jobs chunked (500 rows/commit)</t>
  </si>
  <si>
    <t xml:space="preserve">Response time</t>
  </si>
  <si>
    <t xml:space="preserve">10 seconds for all listed functions</t>
  </si>
  <si>
    <t xml:space="preserve">Target p95 &lt; 3 s online; bulk jobs asynchronous with progress</t>
  </si>
  <si>
    <t xml:space="preserve">Peak hours</t>
  </si>
  <si>
    <t xml:space="preserve">08:00-10:00 and 15:00-17:00</t>
  </si>
  <si>
    <t xml:space="preserve">Run batch booking / e-mail dispatch outside peaks</t>
  </si>
  <si>
    <t xml:space="preserve">Availability</t>
  </si>
  <si>
    <t xml:space="preserve">07:00-22:00 Mon-Sat; other items 'follow existing QPS set-up'</t>
  </si>
  <si>
    <t xml:space="preserve">Maintenance window outside service hours; HA deployment</t>
  </si>
  <si>
    <t xml:space="preserve">Application, DB, audit logs and historical data: 5 years online, 15 years archive, backup every 4 hours, backup retention 5 years</t>
  </si>
  <si>
    <t xml:space="preserve">Archive tablespace/object storage + retention job (BRNB.106); DB backups every 4h</t>
  </si>
  <si>
    <t xml:space="preserve">All outbound documents encrypted / password protected; insurers have no system access</t>
  </si>
  <si>
    <t xml:space="preserve">PDF/XLSX encryption; no external user roles</t>
  </si>
  <si>
    <t xml:space="preserve">Devices</t>
  </si>
  <si>
    <t xml:space="preserve">Any BDO-issued device / workstation</t>
  </si>
  <si>
    <t xml:space="preserve">Browser-based; optional IP allow-list / SSO</t>
  </si>
  <si>
    <t xml:space="preserve">Legacy BRD ID</t>
  </si>
  <si>
    <t xml:space="preserve">BRD 1.1.1.1</t>
  </si>
  <si>
    <t xml:space="preserve">BRD 1.1.2.1</t>
  </si>
  <si>
    <t xml:space="preserve">BRD 1.1.5.1</t>
  </si>
  <si>
    <t xml:space="preserve">BRD 1.1.7.1</t>
  </si>
  <si>
    <t xml:space="preserve">BRD 1.1.8</t>
  </si>
  <si>
    <t xml:space="preserve">BRD 1.1.8.1-1.1.8.4</t>
  </si>
  <si>
    <t xml:space="preserve">BRD 1.1.9</t>
  </si>
  <si>
    <t xml:space="preserve">BRD 1.1.9.1</t>
  </si>
  <si>
    <t xml:space="preserve">BRD 1.1.10</t>
  </si>
  <si>
    <t xml:space="preserve">BRD 1.1.11</t>
  </si>
  <si>
    <t xml:space="preserve">BRD 1.1.11.2</t>
  </si>
  <si>
    <t xml:space="preserve">BRD 1.1.11.4</t>
  </si>
  <si>
    <t xml:space="preserve">BRD 1.1.12</t>
  </si>
  <si>
    <t xml:space="preserve">BRD 1.1.13.1-1.1.13.3</t>
  </si>
  <si>
    <t xml:space="preserve">BRD 1.1.14</t>
  </si>
  <si>
    <t xml:space="preserve">BRD 1.1.14.4.1</t>
  </si>
  <si>
    <t xml:space="preserve">BRD 1.2.1.1</t>
  </si>
  <si>
    <t xml:space="preserve">BRD 1.2.2.1</t>
  </si>
  <si>
    <t xml:space="preserve">BRD 1.2.3.1</t>
  </si>
  <si>
    <t xml:space="preserve">BRD 1.2.4</t>
  </si>
  <si>
    <t xml:space="preserve">BRD 1.2.4.1</t>
  </si>
  <si>
    <t xml:space="preserve">BRD 1.2.5</t>
  </si>
  <si>
    <t xml:space="preserve">BRD 1.2.5.2</t>
  </si>
  <si>
    <t xml:space="preserve">BRD 1.2.5.4</t>
  </si>
  <si>
    <t xml:space="preserve">BRD 1.2.6.2-1.2.6.5</t>
  </si>
  <si>
    <t xml:space="preserve">BRD 1.2.7.1</t>
  </si>
  <si>
    <t xml:space="preserve">BRD 1.2.8</t>
  </si>
  <si>
    <t xml:space="preserve">BRD 1.2.9</t>
  </si>
  <si>
    <t xml:space="preserve">BRD 1.2.10</t>
  </si>
  <si>
    <t xml:space="preserve">BRD 1.2.10.1-1.2.10.4</t>
  </si>
  <si>
    <t xml:space="preserve">BRD 1.3.3</t>
  </si>
  <si>
    <t xml:space="preserve">BRD 1.3.4.1.3</t>
  </si>
  <si>
    <t xml:space="preserve">BRD 1.3.5.1.7</t>
  </si>
  <si>
    <t xml:space="preserve">BRD 1.3.6</t>
  </si>
  <si>
    <t xml:space="preserve">BRD 1.3.7.1-1.3.7.2</t>
  </si>
  <si>
    <t xml:space="preserve">BRD 1.3.8.1</t>
  </si>
  <si>
    <t xml:space="preserve">BRD 1.3.9.1</t>
  </si>
  <si>
    <t xml:space="preserve">BRD 1.3.10.1</t>
  </si>
  <si>
    <t xml:space="preserve">BRD 1.3.11.1</t>
  </si>
  <si>
    <t xml:space="preserve">BRD 1.3.12.1-1.3.12.2</t>
  </si>
  <si>
    <t xml:space="preserve">BRD 1.3.13.1-1.3.13.2</t>
  </si>
  <si>
    <t xml:space="preserve">BRD 1.3.13.1.3</t>
  </si>
  <si>
    <t xml:space="preserve">BRD 1.3.14</t>
  </si>
  <si>
    <t xml:space="preserve">BRD 1.3.14.1-1.3.14.3</t>
  </si>
  <si>
    <t xml:space="preserve">BRD 1.4.1.1</t>
  </si>
  <si>
    <t xml:space="preserve">BRD 1.4.1.2.1</t>
  </si>
  <si>
    <t xml:space="preserve">BRD 1.4.1.2.1.1.1</t>
  </si>
  <si>
    <t xml:space="preserve">BRD 1.4.1.3.1-1.4.1.3.2</t>
  </si>
  <si>
    <t xml:space="preserve">BRD 2.1.1.1</t>
  </si>
  <si>
    <t xml:space="preserve">BRD 2.1.2.1</t>
  </si>
  <si>
    <t xml:space="preserve">BRD 2.1.5</t>
  </si>
  <si>
    <t xml:space="preserve">BRD 2.1.6.1</t>
  </si>
  <si>
    <t xml:space="preserve">BRD 2.1.8.1.5</t>
  </si>
  <si>
    <t xml:space="preserve">BRD 2.1.9.1</t>
  </si>
  <si>
    <t xml:space="preserve">BRD 2.1.10</t>
  </si>
  <si>
    <t xml:space="preserve">BRD 2.1.11</t>
  </si>
  <si>
    <t xml:space="preserve">BRD 2.1.11.1</t>
  </si>
  <si>
    <t xml:space="preserve">BRD 2.1.12</t>
  </si>
  <si>
    <t xml:space="preserve">BRD 2.1.13</t>
  </si>
  <si>
    <t xml:space="preserve">BRD 2.1.13.2</t>
  </si>
  <si>
    <t xml:space="preserve">BRD 2.1.13.4</t>
  </si>
  <si>
    <t xml:space="preserve">BRD 2.1.14</t>
  </si>
  <si>
    <t xml:space="preserve">BRD 2.1.15</t>
  </si>
  <si>
    <t xml:space="preserve">BRD 2.1.15.4.1</t>
  </si>
  <si>
    <t xml:space="preserve">BRD 2.2.1.1</t>
  </si>
  <si>
    <t xml:space="preserve">BRD 2.2.1.2.1</t>
  </si>
  <si>
    <t xml:space="preserve">BRD 2.2.1.3.1</t>
  </si>
  <si>
    <t xml:space="preserve">BRD 2.2.1.4.1.1</t>
  </si>
  <si>
    <t xml:space="preserve">BRD 2.2.1.5</t>
  </si>
  <si>
    <t xml:space="preserve">BRD 2.2.1.5.2</t>
  </si>
  <si>
    <t xml:space="preserve">BRD 2.2.1.5.4</t>
  </si>
  <si>
    <t xml:space="preserve">BRD 2.2.1.6</t>
  </si>
  <si>
    <t xml:space="preserve">BRD 2.2.1.7</t>
  </si>
  <si>
    <t xml:space="preserve">BRD 2.2.1.7.1</t>
  </si>
  <si>
    <t xml:space="preserve">BRD 2.2.1.8</t>
  </si>
  <si>
    <t xml:space="preserve">BRD 2.2.1.9</t>
  </si>
  <si>
    <t xml:space="preserve">BRD 2.2.1.10</t>
  </si>
  <si>
    <t xml:space="preserve">BRD 2.3.1</t>
  </si>
  <si>
    <t xml:space="preserve">BRD 2.3.2.1</t>
  </si>
  <si>
    <t xml:space="preserve">BRD 2.3.3</t>
  </si>
  <si>
    <t xml:space="preserve">BRD 2.3.3.1</t>
  </si>
  <si>
    <t xml:space="preserve">BRD 2.3.4</t>
  </si>
  <si>
    <t xml:space="preserve">BRD 2.3.5</t>
  </si>
  <si>
    <t xml:space="preserve">BRD 2.3.6</t>
  </si>
  <si>
    <t xml:space="preserve">BRD 2.3.7</t>
  </si>
  <si>
    <t xml:space="preserve">BRD 2.3.8</t>
  </si>
  <si>
    <t xml:space="preserve">BRD 2.3.9</t>
  </si>
  <si>
    <t xml:space="preserve">BRD 2.3.9.1.3</t>
  </si>
  <si>
    <t xml:space="preserve">BRD 2.3.10</t>
  </si>
  <si>
    <t xml:space="preserve">BRD 2.3.10.2</t>
  </si>
  <si>
    <t xml:space="preserve">BRD 2.4.1.1</t>
  </si>
  <si>
    <t xml:space="preserve">BRD 2.4.1.2</t>
  </si>
  <si>
    <t xml:space="preserve">BRD 2.4.1.2.1.1.1</t>
  </si>
  <si>
    <t xml:space="preserve">BRD 2.4.1.3</t>
  </si>
  <si>
    <t xml:space="preserve">BRD 3.1.1.1</t>
  </si>
  <si>
    <t xml:space="preserve">BRD 3.1.4</t>
  </si>
  <si>
    <t xml:space="preserve">BRD 3.1.4.2</t>
  </si>
  <si>
    <t xml:space="preserve">BRD 3.2.1.1</t>
  </si>
  <si>
    <t xml:space="preserve">BRD 3.3.1.1</t>
  </si>
  <si>
    <t xml:space="preserve">BRD 3.4.2.2.13</t>
  </si>
  <si>
    <t xml:space="preserve">BRD 3.4.2.2.35</t>
  </si>
  <si>
    <t xml:space="preserve">Sign-off</t>
  </si>
  <si>
    <t xml:space="preserve">Concurrence on the BRD-1 New Business fit/gap before build</t>
  </si>
  <si>
    <t xml:space="preserve">Organisation</t>
  </si>
  <si>
    <t xml:space="preserve">Name</t>
  </si>
  <si>
    <t xml:space="preserve">Designation</t>
  </si>
  <si>
    <t xml:space="preserve">Signature</t>
  </si>
  <si>
    <t xml:space="preserve">BDOI - Product Owner</t>
  </si>
  <si>
    <t xml:space="preserve">BDOI - Marketing Business Services</t>
  </si>
  <si>
    <t xml:space="preserve">BDOI - Processing</t>
  </si>
  <si>
    <t xml:space="preserve">BDOI - TSU</t>
  </si>
  <si>
    <t xml:space="preserve">BDOI - Comptrollership</t>
  </si>
  <si>
    <t xml:space="preserve">BDO ESG - Business Project Services</t>
  </si>
  <si>
    <t xml:space="preserve">iORTA TechNXT - Delivery</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</si>
</sst>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00205B"/>
      <name val="Arial"/>
      <family val="0"/>
      <charset val="1"/>
    </font>
    <font>
      <sz val="11"/>
      <color rgb="FF5A6784"/>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5A6784"/>
      <name val="Arial"/>
      <family val="0"/>
      <charset val="1"/>
    </font>
  </fonts>
  <fills count="5">
    <fill>
      <patternFill patternType="none"/>
    </fill>
    <fill>
      <patternFill patternType="gray125"/>
    </fill>
    <fill>
      <patternFill patternType="solid">
        <fgColor rgb="FF00205B"/>
        <bgColor rgb="FF000080"/>
      </patternFill>
    </fill>
    <fill>
      <patternFill patternType="solid">
        <fgColor rgb="FFF3F5FA"/>
        <bgColor rgb="FFEEEEEE"/>
      </patternFill>
    </fill>
    <fill>
      <patternFill patternType="solid">
        <fgColor rgb="FFFFF4D6"/>
        <bgColor rgb="FFFDECEA"/>
      </patternFill>
    </fill>
  </fills>
  <borders count="2">
    <border diagonalUp="false" diagonalDown="false">
      <left/>
      <right/>
      <top/>
      <bottom/>
      <diagonal/>
    </border>
    <border diagonalUp="false" diagonalDown="false">
      <left style="thin">
        <color rgb="FFD9DFEC"/>
      </left>
      <right style="thin">
        <color rgb="FFD9DFEC"/>
      </right>
      <top style="thin">
        <color rgb="FFD9DFEC"/>
      </top>
      <bottom style="thin">
        <color rgb="FFD9DF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205B"/>
          <bgColor rgb="FF000000"/>
        </patternFill>
      </fill>
    </dxf>
    <dxf>
      <fill>
        <patternFill patternType="solid">
          <fgColor rgb="FFFFFFFF"/>
          <bgColor rgb="FF000000"/>
        </patternFill>
      </fill>
    </dxf>
    <dxf>
      <fill>
        <patternFill>
          <bgColor rgb="FFE3F4EA"/>
        </patternFill>
      </fill>
    </dxf>
    <dxf>
      <fill>
        <patternFill>
          <bgColor rgb="FFE6F0FF"/>
        </patternFill>
      </fill>
    </dxf>
    <dxf>
      <fill>
        <patternFill>
          <bgColor rgb="FFFFE8B3"/>
        </patternFill>
      </fill>
    </dxf>
    <dxf>
      <fill>
        <patternFill>
          <bgColor rgb="FFFDECEA"/>
        </patternFill>
      </fill>
    </dxf>
    <dxf>
      <fill>
        <patternFill>
          <bgColor rgb="FFEEEE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F5FA"/>
      <rgbColor rgb="FF808080"/>
      <rgbColor rgb="FF9999FF"/>
      <rgbColor rgb="FF993366"/>
      <rgbColor rgb="FFFFF4D6"/>
      <rgbColor rgb="FFE3F4EA"/>
      <rgbColor rgb="FF660066"/>
      <rgbColor rgb="FFFF8080"/>
      <rgbColor rgb="FF0066CC"/>
      <rgbColor rgb="FFD9DFEC"/>
      <rgbColor rgb="FF000080"/>
      <rgbColor rgb="FFFF00FF"/>
      <rgbColor rgb="FFFFFF00"/>
      <rgbColor rgb="FF00FFFF"/>
      <rgbColor rgb="FF800080"/>
      <rgbColor rgb="FF800000"/>
      <rgbColor rgb="FF008080"/>
      <rgbColor rgb="FF0000FF"/>
      <rgbColor rgb="FF00CCFF"/>
      <rgbColor rgb="FFE6F0FF"/>
      <rgbColor rgb="FFEEEEEE"/>
      <rgbColor rgb="FFFFE8B3"/>
      <rgbColor rgb="FF99CCFF"/>
      <rgbColor rgb="FFFF99CC"/>
      <rgbColor rgb="FFCC99FF"/>
      <rgbColor rgb="FFFDECEA"/>
      <rgbColor rgb="FF3366FF"/>
      <rgbColor rgb="FF33CCCC"/>
      <rgbColor rgb="FF99CC00"/>
      <rgbColor rgb="FFFDB913"/>
      <rgbColor rgb="FFFF9900"/>
      <rgbColor rgb="FFFF6600"/>
      <rgbColor rgb="FF5A6784"/>
      <rgbColor rgb="FF969696"/>
      <rgbColor rgb="FF0020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B913"/>
    <pageSetUpPr fitToPage="true"/>
  </sheetPr>
  <dimension ref="B2: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120" hidden="false" customHeight="true" outlineLevel="0" collapsed="false">
      <c r="B6" s="3" t="s">
        <v>4</v>
      </c>
      <c r="C6" s="4" t="s">
        <v>5</v>
      </c>
    </row>
    <row r="7" customFormat="false" ht="60" hidden="false" customHeight="true" outlineLevel="0" collapsed="false">
      <c r="B7" s="3" t="s">
        <v>6</v>
      </c>
      <c r="C7" s="4" t="s">
        <v>7</v>
      </c>
    </row>
    <row r="8" customFormat="false" ht="90" hidden="false" customHeight="true" outlineLevel="0" collapsed="false">
      <c r="B8" s="3" t="s">
        <v>8</v>
      </c>
      <c r="C8" s="4" t="s">
        <v>9</v>
      </c>
    </row>
    <row r="9" customFormat="false" ht="18" hidden="false" customHeight="true" outlineLevel="0" collapsed="false">
      <c r="B9" s="3" t="s">
        <v>10</v>
      </c>
      <c r="C9" s="4" t="s">
        <v>11</v>
      </c>
    </row>
    <row r="10" customFormat="false" ht="105" hidden="false" customHeight="true" outlineLevel="0" collapsed="false">
      <c r="B10" s="3" t="s">
        <v>12</v>
      </c>
      <c r="C10" s="4" t="s">
        <v>13</v>
      </c>
    </row>
    <row r="11" customFormat="false" ht="30" hidden="false" customHeight="true" outlineLevel="0" collapsed="false">
      <c r="B11" s="3" t="s">
        <v>14</v>
      </c>
      <c r="C11"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B913"/>
    <pageSetUpPr fitToPage="true"/>
  </sheetPr>
  <dimension ref="B2: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40"/>
    <col collapsed="false" customWidth="true" hidden="false" outlineLevel="0" max="11" min="3" style="0" width="13"/>
  </cols>
  <sheetData>
    <row r="2" customFormat="false" ht="22.05" hidden="false" customHeight="false" outlineLevel="0" collapsed="false">
      <c r="B2" s="1" t="s">
        <v>16</v>
      </c>
    </row>
    <row r="3" customFormat="false" ht="15" hidden="false" customHeight="false" outlineLevel="0" collapsed="false">
      <c r="B3" s="2" t="s">
        <v>17</v>
      </c>
    </row>
    <row r="5" customFormat="false" ht="15" hidden="false" customHeight="false" outlineLevel="0" collapsed="false">
      <c r="B5" s="5" t="s">
        <v>18</v>
      </c>
      <c r="C5" s="5" t="s">
        <v>19</v>
      </c>
      <c r="D5" s="5" t="s">
        <v>20</v>
      </c>
      <c r="E5" s="5" t="s">
        <v>21</v>
      </c>
      <c r="F5" s="5" t="s">
        <v>22</v>
      </c>
      <c r="G5" s="5" t="s">
        <v>23</v>
      </c>
      <c r="H5" s="5" t="s">
        <v>24</v>
      </c>
      <c r="I5" s="5" t="s">
        <v>25</v>
      </c>
      <c r="J5" s="5" t="s">
        <v>26</v>
      </c>
    </row>
    <row r="6" customFormat="false" ht="15" hidden="false" customHeight="false" outlineLevel="0" collapsed="false">
      <c r="B6" s="6" t="s">
        <v>27</v>
      </c>
      <c r="C6" s="7" t="n">
        <f aca="false">COUNTIFS('Fit-Gap'!$B$2:$B$400,$B6,'Fit-Gap'!$H$2:$H$400,"FIT")</f>
        <v>0</v>
      </c>
      <c r="D6" s="7" t="n">
        <f aca="false">COUNTIFS('Fit-Gap'!$B$2:$B$400,$B6,'Fit-Gap'!$H$2:$H$400,"CONFIGURE")</f>
        <v>0</v>
      </c>
      <c r="E6" s="7" t="n">
        <f aca="false">COUNTIFS('Fit-Gap'!$B$2:$B$400,$B6,'Fit-Gap'!$H$2:$H$400,"CHANGE")</f>
        <v>4</v>
      </c>
      <c r="F6" s="7" t="n">
        <f aca="false">COUNTIFS('Fit-Gap'!$B$2:$B$400,$B6,'Fit-Gap'!$H$2:$H$400,"NEW")</f>
        <v>2</v>
      </c>
      <c r="G6" s="7" t="n">
        <f aca="false">COUNTIFS('Fit-Gap'!$B$2:$B$400,$B6,'Fit-Gap'!$H$2:$H$400,"OUT")</f>
        <v>0</v>
      </c>
      <c r="H6" s="7" t="n">
        <f aca="false">SUM(C6:G6)</f>
        <v>6</v>
      </c>
      <c r="I6" s="7" t="n">
        <f aca="false">COUNTIFS('Fit-Gap'!$B$2:$B$400,$B6,'Fit-Gap'!$N$2:$N$400,"Agreed")+COUNTIFS('Fit-Gap'!$B$2:$B$400,$B6,'Fit-Gap'!$N$2:$N$400,"Agreed with changes")</f>
        <v>0</v>
      </c>
      <c r="J6" s="7" t="n">
        <f aca="false">H6-I6</f>
        <v>6</v>
      </c>
    </row>
    <row r="7" customFormat="false" ht="15" hidden="false" customHeight="false" outlineLevel="0" collapsed="false">
      <c r="B7" s="8" t="s">
        <v>28</v>
      </c>
      <c r="C7" s="9" t="n">
        <f aca="false">COUNTIFS('Fit-Gap'!$B$2:$B$400,$B7,'Fit-Gap'!$H$2:$H$400,"FIT")</f>
        <v>1</v>
      </c>
      <c r="D7" s="9" t="n">
        <f aca="false">COUNTIFS('Fit-Gap'!$B$2:$B$400,$B7,'Fit-Gap'!$H$2:$H$400,"CONFIGURE")</f>
        <v>0</v>
      </c>
      <c r="E7" s="9" t="n">
        <f aca="false">COUNTIFS('Fit-Gap'!$B$2:$B$400,$B7,'Fit-Gap'!$H$2:$H$400,"CHANGE")</f>
        <v>5</v>
      </c>
      <c r="F7" s="9" t="n">
        <f aca="false">COUNTIFS('Fit-Gap'!$B$2:$B$400,$B7,'Fit-Gap'!$H$2:$H$400,"NEW")</f>
        <v>8</v>
      </c>
      <c r="G7" s="9" t="n">
        <f aca="false">COUNTIFS('Fit-Gap'!$B$2:$B$400,$B7,'Fit-Gap'!$H$2:$H$400,"OUT")</f>
        <v>0</v>
      </c>
      <c r="H7" s="9" t="n">
        <f aca="false">SUM(C7:G7)</f>
        <v>14</v>
      </c>
      <c r="I7" s="9" t="n">
        <f aca="false">COUNTIFS('Fit-Gap'!$B$2:$B$400,$B7,'Fit-Gap'!$N$2:$N$400,"Agreed")+COUNTIFS('Fit-Gap'!$B$2:$B$400,$B7,'Fit-Gap'!$N$2:$N$400,"Agreed with changes")</f>
        <v>0</v>
      </c>
      <c r="J7" s="9" t="n">
        <f aca="false">H7-I7</f>
        <v>14</v>
      </c>
    </row>
    <row r="8" customFormat="false" ht="15" hidden="false" customHeight="false" outlineLevel="0" collapsed="false">
      <c r="B8" s="6" t="s">
        <v>29</v>
      </c>
      <c r="C8" s="7" t="n">
        <f aca="false">COUNTIFS('Fit-Gap'!$B$2:$B$400,$B8,'Fit-Gap'!$H$2:$H$400,"FIT")</f>
        <v>1</v>
      </c>
      <c r="D8" s="7" t="n">
        <f aca="false">COUNTIFS('Fit-Gap'!$B$2:$B$400,$B8,'Fit-Gap'!$H$2:$H$400,"CONFIGURE")</f>
        <v>0</v>
      </c>
      <c r="E8" s="7" t="n">
        <f aca="false">COUNTIFS('Fit-Gap'!$B$2:$B$400,$B8,'Fit-Gap'!$H$2:$H$400,"CHANGE")</f>
        <v>4</v>
      </c>
      <c r="F8" s="7" t="n">
        <f aca="false">COUNTIFS('Fit-Gap'!$B$2:$B$400,$B8,'Fit-Gap'!$H$2:$H$400,"NEW")</f>
        <v>3</v>
      </c>
      <c r="G8" s="7" t="n">
        <f aca="false">COUNTIFS('Fit-Gap'!$B$2:$B$400,$B8,'Fit-Gap'!$H$2:$H$400,"OUT")</f>
        <v>0</v>
      </c>
      <c r="H8" s="7" t="n">
        <f aca="false">SUM(C8:G8)</f>
        <v>8</v>
      </c>
      <c r="I8" s="7" t="n">
        <f aca="false">COUNTIFS('Fit-Gap'!$B$2:$B$400,$B8,'Fit-Gap'!$N$2:$N$400,"Agreed")+COUNTIFS('Fit-Gap'!$B$2:$B$400,$B8,'Fit-Gap'!$N$2:$N$400,"Agreed with changes")</f>
        <v>0</v>
      </c>
      <c r="J8" s="7" t="n">
        <f aca="false">H8-I8</f>
        <v>8</v>
      </c>
    </row>
    <row r="9" customFormat="false" ht="15" hidden="false" customHeight="false" outlineLevel="0" collapsed="false">
      <c r="B9" s="8" t="s">
        <v>30</v>
      </c>
      <c r="C9" s="9" t="n">
        <f aca="false">COUNTIFS('Fit-Gap'!$B$2:$B$400,$B9,'Fit-Gap'!$H$2:$H$400,"FIT")</f>
        <v>1</v>
      </c>
      <c r="D9" s="9" t="n">
        <f aca="false">COUNTIFS('Fit-Gap'!$B$2:$B$400,$B9,'Fit-Gap'!$H$2:$H$400,"CONFIGURE")</f>
        <v>0</v>
      </c>
      <c r="E9" s="9" t="n">
        <f aca="false">COUNTIFS('Fit-Gap'!$B$2:$B$400,$B9,'Fit-Gap'!$H$2:$H$400,"CHANGE")</f>
        <v>5</v>
      </c>
      <c r="F9" s="9" t="n">
        <f aca="false">COUNTIFS('Fit-Gap'!$B$2:$B$400,$B9,'Fit-Gap'!$H$2:$H$400,"NEW")</f>
        <v>6</v>
      </c>
      <c r="G9" s="9" t="n">
        <f aca="false">COUNTIFS('Fit-Gap'!$B$2:$B$400,$B9,'Fit-Gap'!$H$2:$H$400,"OUT")</f>
        <v>0</v>
      </c>
      <c r="H9" s="9" t="n">
        <f aca="false">SUM(C9:G9)</f>
        <v>12</v>
      </c>
      <c r="I9" s="9" t="n">
        <f aca="false">COUNTIFS('Fit-Gap'!$B$2:$B$400,$B9,'Fit-Gap'!$N$2:$N$400,"Agreed")+COUNTIFS('Fit-Gap'!$B$2:$B$400,$B9,'Fit-Gap'!$N$2:$N$400,"Agreed with changes")</f>
        <v>0</v>
      </c>
      <c r="J9" s="9" t="n">
        <f aca="false">H9-I9</f>
        <v>12</v>
      </c>
    </row>
    <row r="10" customFormat="false" ht="15" hidden="false" customHeight="false" outlineLevel="0" collapsed="false">
      <c r="B10" s="6" t="s">
        <v>31</v>
      </c>
      <c r="C10" s="7" t="n">
        <f aca="false">COUNTIFS('Fit-Gap'!$B$2:$B$400,$B10,'Fit-Gap'!$H$2:$H$400,"FIT")</f>
        <v>0</v>
      </c>
      <c r="D10" s="7" t="n">
        <f aca="false">COUNTIFS('Fit-Gap'!$B$2:$B$400,$B10,'Fit-Gap'!$H$2:$H$400,"CONFIGURE")</f>
        <v>0</v>
      </c>
      <c r="E10" s="7" t="n">
        <f aca="false">COUNTIFS('Fit-Gap'!$B$2:$B$400,$B10,'Fit-Gap'!$H$2:$H$400,"CHANGE")</f>
        <v>4</v>
      </c>
      <c r="F10" s="7" t="n">
        <f aca="false">COUNTIFS('Fit-Gap'!$B$2:$B$400,$B10,'Fit-Gap'!$H$2:$H$400,"NEW")</f>
        <v>4</v>
      </c>
      <c r="G10" s="7" t="n">
        <f aca="false">COUNTIFS('Fit-Gap'!$B$2:$B$400,$B10,'Fit-Gap'!$H$2:$H$400,"OUT")</f>
        <v>0</v>
      </c>
      <c r="H10" s="7" t="n">
        <f aca="false">SUM(C10:G10)</f>
        <v>8</v>
      </c>
      <c r="I10" s="7" t="n">
        <f aca="false">COUNTIFS('Fit-Gap'!$B$2:$B$400,$B10,'Fit-Gap'!$N$2:$N$400,"Agreed")+COUNTIFS('Fit-Gap'!$B$2:$B$400,$B10,'Fit-Gap'!$N$2:$N$400,"Agreed with changes")</f>
        <v>0</v>
      </c>
      <c r="J10" s="7" t="n">
        <f aca="false">H10-I10</f>
        <v>8</v>
      </c>
    </row>
    <row r="11" customFormat="false" ht="15" hidden="false" customHeight="false" outlineLevel="0" collapsed="false">
      <c r="B11" s="8" t="s">
        <v>32</v>
      </c>
      <c r="C11" s="9" t="n">
        <f aca="false">COUNTIFS('Fit-Gap'!$B$2:$B$400,$B11,'Fit-Gap'!$H$2:$H$400,"FIT")</f>
        <v>0</v>
      </c>
      <c r="D11" s="9" t="n">
        <f aca="false">COUNTIFS('Fit-Gap'!$B$2:$B$400,$B11,'Fit-Gap'!$H$2:$H$400,"CONFIGURE")</f>
        <v>0</v>
      </c>
      <c r="E11" s="9" t="n">
        <f aca="false">COUNTIFS('Fit-Gap'!$B$2:$B$400,$B11,'Fit-Gap'!$H$2:$H$400,"CHANGE")</f>
        <v>0</v>
      </c>
      <c r="F11" s="9" t="n">
        <f aca="false">COUNTIFS('Fit-Gap'!$B$2:$B$400,$B11,'Fit-Gap'!$H$2:$H$400,"NEW")</f>
        <v>7</v>
      </c>
      <c r="G11" s="9" t="n">
        <f aca="false">COUNTIFS('Fit-Gap'!$B$2:$B$400,$B11,'Fit-Gap'!$H$2:$H$400,"OUT")</f>
        <v>0</v>
      </c>
      <c r="H11" s="9" t="n">
        <f aca="false">SUM(C11:G11)</f>
        <v>7</v>
      </c>
      <c r="I11" s="9" t="n">
        <f aca="false">COUNTIFS('Fit-Gap'!$B$2:$B$400,$B11,'Fit-Gap'!$N$2:$N$400,"Agreed")+COUNTIFS('Fit-Gap'!$B$2:$B$400,$B11,'Fit-Gap'!$N$2:$N$400,"Agreed with changes")</f>
        <v>0</v>
      </c>
      <c r="J11" s="9" t="n">
        <f aca="false">H11-I11</f>
        <v>7</v>
      </c>
    </row>
    <row r="12" customFormat="false" ht="15" hidden="false" customHeight="false" outlineLevel="0" collapsed="false">
      <c r="B12" s="6" t="s">
        <v>33</v>
      </c>
      <c r="C12" s="7" t="n">
        <f aca="false">COUNTIFS('Fit-Gap'!$B$2:$B$400,$B12,'Fit-Gap'!$H$2:$H$400,"FIT")</f>
        <v>0</v>
      </c>
      <c r="D12" s="7" t="n">
        <f aca="false">COUNTIFS('Fit-Gap'!$B$2:$B$400,$B12,'Fit-Gap'!$H$2:$H$400,"CONFIGURE")</f>
        <v>0</v>
      </c>
      <c r="E12" s="7" t="n">
        <f aca="false">COUNTIFS('Fit-Gap'!$B$2:$B$400,$B12,'Fit-Gap'!$H$2:$H$400,"CHANGE")</f>
        <v>3</v>
      </c>
      <c r="F12" s="7" t="n">
        <f aca="false">COUNTIFS('Fit-Gap'!$B$2:$B$400,$B12,'Fit-Gap'!$H$2:$H$400,"NEW")</f>
        <v>2</v>
      </c>
      <c r="G12" s="7" t="n">
        <f aca="false">COUNTIFS('Fit-Gap'!$B$2:$B$400,$B12,'Fit-Gap'!$H$2:$H$400,"OUT")</f>
        <v>0</v>
      </c>
      <c r="H12" s="7" t="n">
        <f aca="false">SUM(C12:G12)</f>
        <v>5</v>
      </c>
      <c r="I12" s="7" t="n">
        <f aca="false">COUNTIFS('Fit-Gap'!$B$2:$B$400,$B12,'Fit-Gap'!$N$2:$N$400,"Agreed")+COUNTIFS('Fit-Gap'!$B$2:$B$400,$B12,'Fit-Gap'!$N$2:$N$400,"Agreed with changes")</f>
        <v>0</v>
      </c>
      <c r="J12" s="7" t="n">
        <f aca="false">H12-I12</f>
        <v>5</v>
      </c>
    </row>
    <row r="13" customFormat="false" ht="15" hidden="false" customHeight="false" outlineLevel="0" collapsed="false">
      <c r="B13" s="8" t="s">
        <v>34</v>
      </c>
      <c r="C13" s="9" t="n">
        <f aca="false">COUNTIFS('Fit-Gap'!$B$2:$B$400,$B13,'Fit-Gap'!$H$2:$H$400,"FIT")</f>
        <v>0</v>
      </c>
      <c r="D13" s="9" t="n">
        <f aca="false">COUNTIFS('Fit-Gap'!$B$2:$B$400,$B13,'Fit-Gap'!$H$2:$H$400,"CONFIGURE")</f>
        <v>0</v>
      </c>
      <c r="E13" s="9" t="n">
        <f aca="false">COUNTIFS('Fit-Gap'!$B$2:$B$400,$B13,'Fit-Gap'!$H$2:$H$400,"CHANGE")</f>
        <v>0</v>
      </c>
      <c r="F13" s="9" t="n">
        <f aca="false">COUNTIFS('Fit-Gap'!$B$2:$B$400,$B13,'Fit-Gap'!$H$2:$H$400,"NEW")</f>
        <v>10</v>
      </c>
      <c r="G13" s="9" t="n">
        <f aca="false">COUNTIFS('Fit-Gap'!$B$2:$B$400,$B13,'Fit-Gap'!$H$2:$H$400,"OUT")</f>
        <v>0</v>
      </c>
      <c r="H13" s="9" t="n">
        <f aca="false">SUM(C13:G13)</f>
        <v>10</v>
      </c>
      <c r="I13" s="9" t="n">
        <f aca="false">COUNTIFS('Fit-Gap'!$B$2:$B$400,$B13,'Fit-Gap'!$N$2:$N$400,"Agreed")+COUNTIFS('Fit-Gap'!$B$2:$B$400,$B13,'Fit-Gap'!$N$2:$N$400,"Agreed with changes")</f>
        <v>0</v>
      </c>
      <c r="J13" s="9" t="n">
        <f aca="false">H13-I13</f>
        <v>10</v>
      </c>
    </row>
    <row r="14" customFormat="false" ht="15" hidden="false" customHeight="false" outlineLevel="0" collapsed="false">
      <c r="B14" s="6" t="s">
        <v>35</v>
      </c>
      <c r="C14" s="7" t="n">
        <f aca="false">COUNTIFS('Fit-Gap'!$B$2:$B$400,$B14,'Fit-Gap'!$H$2:$H$400,"FIT")</f>
        <v>0</v>
      </c>
      <c r="D14" s="7" t="n">
        <f aca="false">COUNTIFS('Fit-Gap'!$B$2:$B$400,$B14,'Fit-Gap'!$H$2:$H$400,"CONFIGURE")</f>
        <v>0</v>
      </c>
      <c r="E14" s="7" t="n">
        <f aca="false">COUNTIFS('Fit-Gap'!$B$2:$B$400,$B14,'Fit-Gap'!$H$2:$H$400,"CHANGE")</f>
        <v>1</v>
      </c>
      <c r="F14" s="7" t="n">
        <f aca="false">COUNTIFS('Fit-Gap'!$B$2:$B$400,$B14,'Fit-Gap'!$H$2:$H$400,"NEW")</f>
        <v>2</v>
      </c>
      <c r="G14" s="7" t="n">
        <f aca="false">COUNTIFS('Fit-Gap'!$B$2:$B$400,$B14,'Fit-Gap'!$H$2:$H$400,"OUT")</f>
        <v>0</v>
      </c>
      <c r="H14" s="7" t="n">
        <f aca="false">SUM(C14:G14)</f>
        <v>3</v>
      </c>
      <c r="I14" s="7" t="n">
        <f aca="false">COUNTIFS('Fit-Gap'!$B$2:$B$400,$B14,'Fit-Gap'!$N$2:$N$400,"Agreed")+COUNTIFS('Fit-Gap'!$B$2:$B$400,$B14,'Fit-Gap'!$N$2:$N$400,"Agreed with changes")</f>
        <v>0</v>
      </c>
      <c r="J14" s="7" t="n">
        <f aca="false">H14-I14</f>
        <v>3</v>
      </c>
    </row>
    <row r="15" customFormat="false" ht="15" hidden="false" customHeight="false" outlineLevel="0" collapsed="false">
      <c r="B15" s="8" t="s">
        <v>36</v>
      </c>
      <c r="C15" s="9" t="n">
        <f aca="false">COUNTIFS('Fit-Gap'!$B$2:$B$400,$B15,'Fit-Gap'!$H$2:$H$400,"FIT")</f>
        <v>0</v>
      </c>
      <c r="D15" s="9" t="n">
        <f aca="false">COUNTIFS('Fit-Gap'!$B$2:$B$400,$B15,'Fit-Gap'!$H$2:$H$400,"CONFIGURE")</f>
        <v>0</v>
      </c>
      <c r="E15" s="9" t="n">
        <f aca="false">COUNTIFS('Fit-Gap'!$B$2:$B$400,$B15,'Fit-Gap'!$H$2:$H$400,"CHANGE")</f>
        <v>0</v>
      </c>
      <c r="F15" s="9" t="n">
        <f aca="false">COUNTIFS('Fit-Gap'!$B$2:$B$400,$B15,'Fit-Gap'!$H$2:$H$400,"NEW")</f>
        <v>8</v>
      </c>
      <c r="G15" s="9" t="n">
        <f aca="false">COUNTIFS('Fit-Gap'!$B$2:$B$400,$B15,'Fit-Gap'!$H$2:$H$400,"OUT")</f>
        <v>0</v>
      </c>
      <c r="H15" s="9" t="n">
        <f aca="false">SUM(C15:G15)</f>
        <v>8</v>
      </c>
      <c r="I15" s="9" t="n">
        <f aca="false">COUNTIFS('Fit-Gap'!$B$2:$B$400,$B15,'Fit-Gap'!$N$2:$N$400,"Agreed")+COUNTIFS('Fit-Gap'!$B$2:$B$400,$B15,'Fit-Gap'!$N$2:$N$400,"Agreed with changes")</f>
        <v>0</v>
      </c>
      <c r="J15" s="9" t="n">
        <f aca="false">H15-I15</f>
        <v>8</v>
      </c>
    </row>
    <row r="16" customFormat="false" ht="15" hidden="false" customHeight="false" outlineLevel="0" collapsed="false">
      <c r="B16" s="6" t="s">
        <v>37</v>
      </c>
      <c r="C16" s="7" t="n">
        <f aca="false">COUNTIFS('Fit-Gap'!$B$2:$B$400,$B16,'Fit-Gap'!$H$2:$H$400,"FIT")</f>
        <v>0</v>
      </c>
      <c r="D16" s="7" t="n">
        <f aca="false">COUNTIFS('Fit-Gap'!$B$2:$B$400,$B16,'Fit-Gap'!$H$2:$H$400,"CONFIGURE")</f>
        <v>1</v>
      </c>
      <c r="E16" s="7" t="n">
        <f aca="false">COUNTIFS('Fit-Gap'!$B$2:$B$400,$B16,'Fit-Gap'!$H$2:$H$400,"CHANGE")</f>
        <v>8</v>
      </c>
      <c r="F16" s="7" t="n">
        <f aca="false">COUNTIFS('Fit-Gap'!$B$2:$B$400,$B16,'Fit-Gap'!$H$2:$H$400,"NEW")</f>
        <v>5</v>
      </c>
      <c r="G16" s="7" t="n">
        <f aca="false">COUNTIFS('Fit-Gap'!$B$2:$B$400,$B16,'Fit-Gap'!$H$2:$H$400,"OUT")</f>
        <v>0</v>
      </c>
      <c r="H16" s="7" t="n">
        <f aca="false">SUM(C16:G16)</f>
        <v>14</v>
      </c>
      <c r="I16" s="7" t="n">
        <f aca="false">COUNTIFS('Fit-Gap'!$B$2:$B$400,$B16,'Fit-Gap'!$N$2:$N$400,"Agreed")+COUNTIFS('Fit-Gap'!$B$2:$B$400,$B16,'Fit-Gap'!$N$2:$N$400,"Agreed with changes")</f>
        <v>0</v>
      </c>
      <c r="J16" s="7" t="n">
        <f aca="false">H16-I16</f>
        <v>14</v>
      </c>
    </row>
    <row r="17" customFormat="false" ht="15" hidden="false" customHeight="false" outlineLevel="0" collapsed="false">
      <c r="B17" s="8" t="s">
        <v>38</v>
      </c>
      <c r="C17" s="9" t="n">
        <f aca="false">COUNTIFS('Fit-Gap'!$B$2:$B$400,$B17,'Fit-Gap'!$H$2:$H$400,"FIT")</f>
        <v>1</v>
      </c>
      <c r="D17" s="9" t="n">
        <f aca="false">COUNTIFS('Fit-Gap'!$B$2:$B$400,$B17,'Fit-Gap'!$H$2:$H$400,"CONFIGURE")</f>
        <v>0</v>
      </c>
      <c r="E17" s="9" t="n">
        <f aca="false">COUNTIFS('Fit-Gap'!$B$2:$B$400,$B17,'Fit-Gap'!$H$2:$H$400,"CHANGE")</f>
        <v>2</v>
      </c>
      <c r="F17" s="9" t="n">
        <f aca="false">COUNTIFS('Fit-Gap'!$B$2:$B$400,$B17,'Fit-Gap'!$H$2:$H$400,"NEW")</f>
        <v>6</v>
      </c>
      <c r="G17" s="9" t="n">
        <f aca="false">COUNTIFS('Fit-Gap'!$B$2:$B$400,$B17,'Fit-Gap'!$H$2:$H$400,"OUT")</f>
        <v>1</v>
      </c>
      <c r="H17" s="9" t="n">
        <f aca="false">SUM(C17:G17)</f>
        <v>10</v>
      </c>
      <c r="I17" s="9" t="n">
        <f aca="false">COUNTIFS('Fit-Gap'!$B$2:$B$400,$B17,'Fit-Gap'!$N$2:$N$400,"Agreed")+COUNTIFS('Fit-Gap'!$B$2:$B$400,$B17,'Fit-Gap'!$N$2:$N$400,"Agreed with changes")</f>
        <v>0</v>
      </c>
      <c r="J17" s="9" t="n">
        <f aca="false">H17-I17</f>
        <v>10</v>
      </c>
    </row>
    <row r="18" customFormat="false" ht="15" hidden="false" customHeight="false" outlineLevel="0" collapsed="false">
      <c r="B18" s="6" t="s">
        <v>39</v>
      </c>
      <c r="C18" s="7" t="n">
        <f aca="false">COUNTIFS('Fit-Gap'!$B$2:$B$400,$B18,'Fit-Gap'!$H$2:$H$400,"FIT")</f>
        <v>0</v>
      </c>
      <c r="D18" s="7" t="n">
        <f aca="false">COUNTIFS('Fit-Gap'!$B$2:$B$400,$B18,'Fit-Gap'!$H$2:$H$400,"CONFIGURE")</f>
        <v>0</v>
      </c>
      <c r="E18" s="7" t="n">
        <f aca="false">COUNTIFS('Fit-Gap'!$B$2:$B$400,$B18,'Fit-Gap'!$H$2:$H$400,"CHANGE")</f>
        <v>3</v>
      </c>
      <c r="F18" s="7" t="n">
        <f aca="false">COUNTIFS('Fit-Gap'!$B$2:$B$400,$B18,'Fit-Gap'!$H$2:$H$400,"NEW")</f>
        <v>1</v>
      </c>
      <c r="G18" s="7" t="n">
        <f aca="false">COUNTIFS('Fit-Gap'!$B$2:$B$400,$B18,'Fit-Gap'!$H$2:$H$400,"OUT")</f>
        <v>1</v>
      </c>
      <c r="H18" s="7" t="n">
        <f aca="false">SUM(C18:G18)</f>
        <v>5</v>
      </c>
      <c r="I18" s="7" t="n">
        <f aca="false">COUNTIFS('Fit-Gap'!$B$2:$B$400,$B18,'Fit-Gap'!$N$2:$N$400,"Agreed")+COUNTIFS('Fit-Gap'!$B$2:$B$400,$B18,'Fit-Gap'!$N$2:$N$400,"Agreed with changes")</f>
        <v>0</v>
      </c>
      <c r="J18" s="7" t="n">
        <f aca="false">H18-I18</f>
        <v>5</v>
      </c>
    </row>
    <row r="19" customFormat="false" ht="15" hidden="false" customHeight="false" outlineLevel="0" collapsed="false">
      <c r="B19" s="8" t="s">
        <v>40</v>
      </c>
      <c r="C19" s="9" t="n">
        <f aca="false">COUNTIFS('Fit-Gap'!$B$2:$B$400,$B19,'Fit-Gap'!$H$2:$H$400,"FIT")</f>
        <v>4</v>
      </c>
      <c r="D19" s="9" t="n">
        <f aca="false">COUNTIFS('Fit-Gap'!$B$2:$B$400,$B19,'Fit-Gap'!$H$2:$H$400,"CONFIGURE")</f>
        <v>1</v>
      </c>
      <c r="E19" s="9" t="n">
        <f aca="false">COUNTIFS('Fit-Gap'!$B$2:$B$400,$B19,'Fit-Gap'!$H$2:$H$400,"CHANGE")</f>
        <v>3</v>
      </c>
      <c r="F19" s="9" t="n">
        <f aca="false">COUNTIFS('Fit-Gap'!$B$2:$B$400,$B19,'Fit-Gap'!$H$2:$H$400,"NEW")</f>
        <v>1</v>
      </c>
      <c r="G19" s="9" t="n">
        <f aca="false">COUNTIFS('Fit-Gap'!$B$2:$B$400,$B19,'Fit-Gap'!$H$2:$H$400,"OUT")</f>
        <v>0</v>
      </c>
      <c r="H19" s="9" t="n">
        <f aca="false">SUM(C19:G19)</f>
        <v>9</v>
      </c>
      <c r="I19" s="9" t="n">
        <f aca="false">COUNTIFS('Fit-Gap'!$B$2:$B$400,$B19,'Fit-Gap'!$N$2:$N$400,"Agreed")+COUNTIFS('Fit-Gap'!$B$2:$B$400,$B19,'Fit-Gap'!$N$2:$N$400,"Agreed with changes")</f>
        <v>0</v>
      </c>
      <c r="J19" s="9" t="n">
        <f aca="false">H19-I19</f>
        <v>9</v>
      </c>
    </row>
    <row r="20" customFormat="false" ht="15" hidden="false" customHeight="false" outlineLevel="0" collapsed="false">
      <c r="B20" s="10" t="s">
        <v>24</v>
      </c>
      <c r="C20" s="10" t="n">
        <f aca="false">SUM(C6:C19)</f>
        <v>8</v>
      </c>
      <c r="D20" s="10" t="n">
        <f aca="false">SUM(D6:D19)</f>
        <v>2</v>
      </c>
      <c r="E20" s="10" t="n">
        <f aca="false">SUM(E6:E19)</f>
        <v>42</v>
      </c>
      <c r="F20" s="10" t="n">
        <f aca="false">SUM(F6:F19)</f>
        <v>65</v>
      </c>
      <c r="G20" s="10" t="n">
        <f aca="false">SUM(G6:G19)</f>
        <v>2</v>
      </c>
      <c r="H20" s="10" t="n">
        <f aca="false">SUM(H6:H19)</f>
        <v>119</v>
      </c>
      <c r="I20" s="10" t="n">
        <f aca="false">SUM(I6:I19)</f>
        <v>0</v>
      </c>
      <c r="J20" s="10" t="n">
        <f aca="false">SUM(J6:J19)</f>
        <v>119</v>
      </c>
    </row>
    <row r="22" customFormat="false" ht="15" hidden="false" customHeight="false" outlineLevel="0" collapsed="false">
      <c r="B22" s="3" t="s">
        <v>41</v>
      </c>
    </row>
    <row r="23" customFormat="false" ht="15" hidden="false" customHeight="false" outlineLevel="0" collapsed="false">
      <c r="B23" s="5" t="s">
        <v>42</v>
      </c>
      <c r="C23" s="5" t="s">
        <v>43</v>
      </c>
      <c r="D23" s="5" t="s">
        <v>44</v>
      </c>
      <c r="E23" s="5" t="s">
        <v>45</v>
      </c>
      <c r="F23" s="5" t="s">
        <v>46</v>
      </c>
      <c r="G23" s="5" t="s">
        <v>47</v>
      </c>
    </row>
    <row r="24" customFormat="false" ht="15" hidden="false" customHeight="false" outlineLevel="0" collapsed="false">
      <c r="B24" s="9" t="s">
        <v>48</v>
      </c>
      <c r="C24" s="9" t="n">
        <f aca="false">COUNTIFS('Fit-Gap'!$K$2:$K$400,$B24,'Fit-Gap'!$L$2:$L$400,"S")</f>
        <v>5</v>
      </c>
      <c r="D24" s="9" t="n">
        <f aca="false">COUNTIFS('Fit-Gap'!$K$2:$K$400,$B24,'Fit-Gap'!$L$2:$L$400,"M")</f>
        <v>3</v>
      </c>
      <c r="E24" s="9" t="n">
        <f aca="false">COUNTIFS('Fit-Gap'!$K$2:$K$400,$B24,'Fit-Gap'!$L$2:$L$400,"L")</f>
        <v>1</v>
      </c>
      <c r="F24" s="9" t="n">
        <f aca="false">COUNTIFS('Fit-Gap'!$K$2:$K$400,$B24,'Fit-Gap'!$L$2:$L$400,"XL")</f>
        <v>0</v>
      </c>
      <c r="G24" s="9" t="n">
        <f aca="false">SUM(C24:F24)</f>
        <v>9</v>
      </c>
    </row>
    <row r="25" customFormat="false" ht="15" hidden="false" customHeight="false" outlineLevel="0" collapsed="false">
      <c r="B25" s="9" t="s">
        <v>49</v>
      </c>
      <c r="C25" s="9" t="n">
        <f aca="false">COUNTIFS('Fit-Gap'!$K$2:$K$400,$B25,'Fit-Gap'!$L$2:$L$400,"S")</f>
        <v>4</v>
      </c>
      <c r="D25" s="9" t="n">
        <f aca="false">COUNTIFS('Fit-Gap'!$K$2:$K$400,$B25,'Fit-Gap'!$L$2:$L$400,"M")</f>
        <v>1</v>
      </c>
      <c r="E25" s="9" t="n">
        <f aca="false">COUNTIFS('Fit-Gap'!$K$2:$K$400,$B25,'Fit-Gap'!$L$2:$L$400,"L")</f>
        <v>0</v>
      </c>
      <c r="F25" s="9" t="n">
        <f aca="false">COUNTIFS('Fit-Gap'!$K$2:$K$400,$B25,'Fit-Gap'!$L$2:$L$400,"XL")</f>
        <v>0</v>
      </c>
      <c r="G25" s="9" t="n">
        <f aca="false">SUM(C25:F25)</f>
        <v>5</v>
      </c>
    </row>
    <row r="26" customFormat="false" ht="15" hidden="false" customHeight="false" outlineLevel="0" collapsed="false">
      <c r="B26" s="9" t="s">
        <v>50</v>
      </c>
      <c r="C26" s="9" t="n">
        <f aca="false">COUNTIFS('Fit-Gap'!$K$2:$K$400,$B26,'Fit-Gap'!$L$2:$L$400,"S")</f>
        <v>0</v>
      </c>
      <c r="D26" s="9" t="n">
        <f aca="false">COUNTIFS('Fit-Gap'!$K$2:$K$400,$B26,'Fit-Gap'!$L$2:$L$400,"M")</f>
        <v>2</v>
      </c>
      <c r="E26" s="9" t="n">
        <f aca="false">COUNTIFS('Fit-Gap'!$K$2:$K$400,$B26,'Fit-Gap'!$L$2:$L$400,"L")</f>
        <v>1</v>
      </c>
      <c r="F26" s="9" t="n">
        <f aca="false">COUNTIFS('Fit-Gap'!$K$2:$K$400,$B26,'Fit-Gap'!$L$2:$L$400,"XL")</f>
        <v>0</v>
      </c>
      <c r="G26" s="9" t="n">
        <f aca="false">SUM(C26:F26)</f>
        <v>3</v>
      </c>
    </row>
    <row r="27" customFormat="false" ht="15" hidden="false" customHeight="false" outlineLevel="0" collapsed="false">
      <c r="B27" s="9" t="s">
        <v>51</v>
      </c>
      <c r="C27" s="9" t="n">
        <f aca="false">COUNTIFS('Fit-Gap'!$K$2:$K$400,$B27,'Fit-Gap'!$L$2:$L$400,"S")</f>
        <v>4</v>
      </c>
      <c r="D27" s="9" t="n">
        <f aca="false">COUNTIFS('Fit-Gap'!$K$2:$K$400,$B27,'Fit-Gap'!$L$2:$L$400,"M")</f>
        <v>7</v>
      </c>
      <c r="E27" s="9" t="n">
        <f aca="false">COUNTIFS('Fit-Gap'!$K$2:$K$400,$B27,'Fit-Gap'!$L$2:$L$400,"L")</f>
        <v>1</v>
      </c>
      <c r="F27" s="9" t="n">
        <f aca="false">COUNTIFS('Fit-Gap'!$K$2:$K$400,$B27,'Fit-Gap'!$L$2:$L$400,"XL")</f>
        <v>0</v>
      </c>
      <c r="G27" s="9" t="n">
        <f aca="false">SUM(C27:F27)</f>
        <v>12</v>
      </c>
    </row>
    <row r="28" customFormat="false" ht="15" hidden="false" customHeight="false" outlineLevel="0" collapsed="false">
      <c r="B28" s="9" t="s">
        <v>52</v>
      </c>
      <c r="C28" s="9" t="n">
        <f aca="false">COUNTIFS('Fit-Gap'!$K$2:$K$400,$B28,'Fit-Gap'!$L$2:$L$400,"S")</f>
        <v>1</v>
      </c>
      <c r="D28" s="9" t="n">
        <f aca="false">COUNTIFS('Fit-Gap'!$K$2:$K$400,$B28,'Fit-Gap'!$L$2:$L$400,"M")</f>
        <v>7</v>
      </c>
      <c r="E28" s="9" t="n">
        <f aca="false">COUNTIFS('Fit-Gap'!$K$2:$K$400,$B28,'Fit-Gap'!$L$2:$L$400,"L")</f>
        <v>1</v>
      </c>
      <c r="F28" s="9" t="n">
        <f aca="false">COUNTIFS('Fit-Gap'!$K$2:$K$400,$B28,'Fit-Gap'!$L$2:$L$400,"XL")</f>
        <v>0</v>
      </c>
      <c r="G28" s="9" t="n">
        <f aca="false">SUM(C28:F28)</f>
        <v>9</v>
      </c>
    </row>
    <row r="29" customFormat="false" ht="15" hidden="false" customHeight="false" outlineLevel="0" collapsed="false">
      <c r="B29" s="9" t="s">
        <v>53</v>
      </c>
      <c r="C29" s="9" t="n">
        <f aca="false">COUNTIFS('Fit-Gap'!$K$2:$K$400,$B29,'Fit-Gap'!$L$2:$L$400,"S")</f>
        <v>7</v>
      </c>
      <c r="D29" s="9" t="n">
        <f aca="false">COUNTIFS('Fit-Gap'!$K$2:$K$400,$B29,'Fit-Gap'!$L$2:$L$400,"M")</f>
        <v>5</v>
      </c>
      <c r="E29" s="9" t="n">
        <f aca="false">COUNTIFS('Fit-Gap'!$K$2:$K$400,$B29,'Fit-Gap'!$L$2:$L$400,"L")</f>
        <v>0</v>
      </c>
      <c r="F29" s="9" t="n">
        <f aca="false">COUNTIFS('Fit-Gap'!$K$2:$K$400,$B29,'Fit-Gap'!$L$2:$L$400,"XL")</f>
        <v>0</v>
      </c>
      <c r="G29" s="9" t="n">
        <f aca="false">SUM(C29:F29)</f>
        <v>12</v>
      </c>
    </row>
    <row r="30" customFormat="false" ht="15" hidden="false" customHeight="false" outlineLevel="0" collapsed="false">
      <c r="B30" s="9" t="s">
        <v>33</v>
      </c>
      <c r="C30" s="9" t="n">
        <f aca="false">COUNTIFS('Fit-Gap'!$K$2:$K$400,$B30,'Fit-Gap'!$L$2:$L$400,"S")</f>
        <v>3</v>
      </c>
      <c r="D30" s="9" t="n">
        <f aca="false">COUNTIFS('Fit-Gap'!$K$2:$K$400,$B30,'Fit-Gap'!$L$2:$L$400,"M")</f>
        <v>2</v>
      </c>
      <c r="E30" s="9" t="n">
        <f aca="false">COUNTIFS('Fit-Gap'!$K$2:$K$400,$B30,'Fit-Gap'!$L$2:$L$400,"L")</f>
        <v>1</v>
      </c>
      <c r="F30" s="9" t="n">
        <f aca="false">COUNTIFS('Fit-Gap'!$K$2:$K$400,$B30,'Fit-Gap'!$L$2:$L$400,"XL")</f>
        <v>1</v>
      </c>
      <c r="G30" s="9" t="n">
        <f aca="false">SUM(C30:F30)</f>
        <v>7</v>
      </c>
    </row>
    <row r="31" customFormat="false" ht="15" hidden="false" customHeight="false" outlineLevel="0" collapsed="false">
      <c r="B31" s="9" t="s">
        <v>54</v>
      </c>
      <c r="C31" s="9" t="n">
        <f aca="false">COUNTIFS('Fit-Gap'!$K$2:$K$400,$B31,'Fit-Gap'!$L$2:$L$400,"S")</f>
        <v>0</v>
      </c>
      <c r="D31" s="9" t="n">
        <f aca="false">COUNTIFS('Fit-Gap'!$K$2:$K$400,$B31,'Fit-Gap'!$L$2:$L$400,"M")</f>
        <v>1</v>
      </c>
      <c r="E31" s="9" t="n">
        <f aca="false">COUNTIFS('Fit-Gap'!$K$2:$K$400,$B31,'Fit-Gap'!$L$2:$L$400,"L")</f>
        <v>0</v>
      </c>
      <c r="F31" s="9" t="n">
        <f aca="false">COUNTIFS('Fit-Gap'!$K$2:$K$400,$B31,'Fit-Gap'!$L$2:$L$400,"XL")</f>
        <v>0</v>
      </c>
      <c r="G31" s="9" t="n">
        <f aca="false">SUM(C31:F31)</f>
        <v>1</v>
      </c>
    </row>
    <row r="32" customFormat="false" ht="15" hidden="false" customHeight="false" outlineLevel="0" collapsed="false">
      <c r="B32" s="9" t="s">
        <v>55</v>
      </c>
      <c r="C32" s="9" t="n">
        <f aca="false">COUNTIFS('Fit-Gap'!$K$2:$K$400,$B32,'Fit-Gap'!$L$2:$L$400,"S")</f>
        <v>0</v>
      </c>
      <c r="D32" s="9" t="n">
        <f aca="false">COUNTIFS('Fit-Gap'!$K$2:$K$400,$B32,'Fit-Gap'!$L$2:$L$400,"M")</f>
        <v>0</v>
      </c>
      <c r="E32" s="9" t="n">
        <f aca="false">COUNTIFS('Fit-Gap'!$K$2:$K$400,$B32,'Fit-Gap'!$L$2:$L$400,"L")</f>
        <v>1</v>
      </c>
      <c r="F32" s="9" t="n">
        <f aca="false">COUNTIFS('Fit-Gap'!$K$2:$K$400,$B32,'Fit-Gap'!$L$2:$L$400,"XL")</f>
        <v>0</v>
      </c>
      <c r="G32" s="9" t="n">
        <f aca="false">SUM(C32:F32)</f>
        <v>1</v>
      </c>
    </row>
    <row r="33" customFormat="false" ht="15" hidden="false" customHeight="false" outlineLevel="0" collapsed="false">
      <c r="B33" s="9" t="s">
        <v>56</v>
      </c>
      <c r="C33" s="9" t="n">
        <f aca="false">COUNTIFS('Fit-Gap'!$K$2:$K$400,$B33,'Fit-Gap'!$L$2:$L$400,"S")</f>
        <v>1</v>
      </c>
      <c r="D33" s="9" t="n">
        <f aca="false">COUNTIFS('Fit-Gap'!$K$2:$K$400,$B33,'Fit-Gap'!$L$2:$L$400,"M")</f>
        <v>4</v>
      </c>
      <c r="E33" s="9" t="n">
        <f aca="false">COUNTIFS('Fit-Gap'!$K$2:$K$400,$B33,'Fit-Gap'!$L$2:$L$400,"L")</f>
        <v>2</v>
      </c>
      <c r="F33" s="9" t="n">
        <f aca="false">COUNTIFS('Fit-Gap'!$K$2:$K$400,$B33,'Fit-Gap'!$L$2:$L$400,"XL")</f>
        <v>0</v>
      </c>
      <c r="G33" s="9" t="n">
        <f aca="false">SUM(C33:F33)</f>
        <v>7</v>
      </c>
    </row>
    <row r="34" customFormat="false" ht="15" hidden="false" customHeight="false" outlineLevel="0" collapsed="false">
      <c r="B34" s="9" t="s">
        <v>57</v>
      </c>
      <c r="C34" s="9" t="n">
        <f aca="false">COUNTIFS('Fit-Gap'!$K$2:$K$400,$B34,'Fit-Gap'!$L$2:$L$400,"S")</f>
        <v>5</v>
      </c>
      <c r="D34" s="9" t="n">
        <f aca="false">COUNTIFS('Fit-Gap'!$K$2:$K$400,$B34,'Fit-Gap'!$L$2:$L$400,"M")</f>
        <v>3</v>
      </c>
      <c r="E34" s="9" t="n">
        <f aca="false">COUNTIFS('Fit-Gap'!$K$2:$K$400,$B34,'Fit-Gap'!$L$2:$L$400,"L")</f>
        <v>0</v>
      </c>
      <c r="F34" s="9" t="n">
        <f aca="false">COUNTIFS('Fit-Gap'!$K$2:$K$400,$B34,'Fit-Gap'!$L$2:$L$400,"XL")</f>
        <v>0</v>
      </c>
      <c r="G34" s="9" t="n">
        <f aca="false">SUM(C34:F34)</f>
        <v>8</v>
      </c>
    </row>
    <row r="35" customFormat="false" ht="15" hidden="false" customHeight="false" outlineLevel="0" collapsed="false">
      <c r="B35" s="9" t="s">
        <v>58</v>
      </c>
      <c r="C35" s="9" t="n">
        <f aca="false">COUNTIFS('Fit-Gap'!$K$2:$K$400,$B35,'Fit-Gap'!$L$2:$L$400,"S")</f>
        <v>2</v>
      </c>
      <c r="D35" s="9" t="n">
        <f aca="false">COUNTIFS('Fit-Gap'!$K$2:$K$400,$B35,'Fit-Gap'!$L$2:$L$400,"M")</f>
        <v>2</v>
      </c>
      <c r="E35" s="9" t="n">
        <f aca="false">COUNTIFS('Fit-Gap'!$K$2:$K$400,$B35,'Fit-Gap'!$L$2:$L$400,"L")</f>
        <v>0</v>
      </c>
      <c r="F35" s="9" t="n">
        <f aca="false">COUNTIFS('Fit-Gap'!$K$2:$K$400,$B35,'Fit-Gap'!$L$2:$L$400,"XL")</f>
        <v>0</v>
      </c>
      <c r="G35" s="9" t="n">
        <f aca="false">SUM(C35:F35)</f>
        <v>4</v>
      </c>
    </row>
    <row r="36" customFormat="false" ht="15" hidden="false" customHeight="false" outlineLevel="0" collapsed="false">
      <c r="B36" s="9" t="s">
        <v>59</v>
      </c>
      <c r="C36" s="9" t="n">
        <f aca="false">COUNTIFS('Fit-Gap'!$K$2:$K$400,$B36,'Fit-Gap'!$L$2:$L$400,"S")</f>
        <v>1</v>
      </c>
      <c r="D36" s="9" t="n">
        <f aca="false">COUNTIFS('Fit-Gap'!$K$2:$K$400,$B36,'Fit-Gap'!$L$2:$L$400,"M")</f>
        <v>5</v>
      </c>
      <c r="E36" s="9" t="n">
        <f aca="false">COUNTIFS('Fit-Gap'!$K$2:$K$400,$B36,'Fit-Gap'!$L$2:$L$400,"L")</f>
        <v>0</v>
      </c>
      <c r="F36" s="9" t="n">
        <f aca="false">COUNTIFS('Fit-Gap'!$K$2:$K$400,$B36,'Fit-Gap'!$L$2:$L$400,"XL")</f>
        <v>0</v>
      </c>
      <c r="G36" s="9" t="n">
        <f aca="false">SUM(C36:F36)</f>
        <v>6</v>
      </c>
    </row>
    <row r="37" customFormat="false" ht="15" hidden="false" customHeight="false" outlineLevel="0" collapsed="false">
      <c r="B37" s="9" t="s">
        <v>60</v>
      </c>
      <c r="C37" s="9" t="n">
        <f aca="false">COUNTIFS('Fit-Gap'!$K$2:$K$400,$B37,'Fit-Gap'!$L$2:$L$400,"S")</f>
        <v>0</v>
      </c>
      <c r="D37" s="9" t="n">
        <f aca="false">COUNTIFS('Fit-Gap'!$K$2:$K$400,$B37,'Fit-Gap'!$L$2:$L$400,"M")</f>
        <v>3</v>
      </c>
      <c r="E37" s="9" t="n">
        <f aca="false">COUNTIFS('Fit-Gap'!$K$2:$K$400,$B37,'Fit-Gap'!$L$2:$L$400,"L")</f>
        <v>1</v>
      </c>
      <c r="F37" s="9" t="n">
        <f aca="false">COUNTIFS('Fit-Gap'!$K$2:$K$400,$B37,'Fit-Gap'!$L$2:$L$400,"XL")</f>
        <v>0</v>
      </c>
      <c r="G37" s="9" t="n">
        <f aca="false">SUM(C37:F37)</f>
        <v>4</v>
      </c>
    </row>
    <row r="38" customFormat="false" ht="15" hidden="false" customHeight="false" outlineLevel="0" collapsed="false">
      <c r="B38" s="9" t="s">
        <v>61</v>
      </c>
      <c r="C38" s="9" t="n">
        <f aca="false">COUNTIFS('Fit-Gap'!$K$2:$K$400,$B38,'Fit-Gap'!$L$2:$L$400,"S")</f>
        <v>3</v>
      </c>
      <c r="D38" s="9" t="n">
        <f aca="false">COUNTIFS('Fit-Gap'!$K$2:$K$400,$B38,'Fit-Gap'!$L$2:$L$400,"M")</f>
        <v>1</v>
      </c>
      <c r="E38" s="9" t="n">
        <f aca="false">COUNTIFS('Fit-Gap'!$K$2:$K$400,$B38,'Fit-Gap'!$L$2:$L$400,"L")</f>
        <v>0</v>
      </c>
      <c r="F38" s="9" t="n">
        <f aca="false">COUNTIFS('Fit-Gap'!$K$2:$K$400,$B38,'Fit-Gap'!$L$2:$L$400,"XL")</f>
        <v>0</v>
      </c>
      <c r="G38" s="9" t="n">
        <f aca="false">SUM(C38:F38)</f>
        <v>4</v>
      </c>
    </row>
    <row r="39" customFormat="false" ht="15" hidden="false" customHeight="false" outlineLevel="0" collapsed="false">
      <c r="B39" s="9" t="s">
        <v>62</v>
      </c>
      <c r="C39" s="9" t="n">
        <f aca="false">COUNTIFS('Fit-Gap'!$K$2:$K$400,$B39,'Fit-Gap'!$L$2:$L$400,"S")</f>
        <v>5</v>
      </c>
      <c r="D39" s="9" t="n">
        <f aca="false">COUNTIFS('Fit-Gap'!$K$2:$K$400,$B39,'Fit-Gap'!$L$2:$L$400,"M")</f>
        <v>2</v>
      </c>
      <c r="E39" s="9" t="n">
        <f aca="false">COUNTIFS('Fit-Gap'!$K$2:$K$400,$B39,'Fit-Gap'!$L$2:$L$400,"L")</f>
        <v>1</v>
      </c>
      <c r="F39" s="9" t="n">
        <f aca="false">COUNTIFS('Fit-Gap'!$K$2:$K$400,$B39,'Fit-Gap'!$L$2:$L$400,"XL")</f>
        <v>0</v>
      </c>
      <c r="G39" s="9" t="n">
        <f aca="false">SUM(C39:F39)</f>
        <v>8</v>
      </c>
    </row>
    <row r="40" customFormat="false" ht="15" hidden="false" customHeight="false" outlineLevel="0" collapsed="false">
      <c r="B40" s="9" t="s">
        <v>63</v>
      </c>
      <c r="C40" s="9" t="n">
        <f aca="false">COUNTIFS('Fit-Gap'!$K$2:$K$400,$B40,'Fit-Gap'!$L$2:$L$400,"S")</f>
        <v>4</v>
      </c>
      <c r="D40" s="9" t="n">
        <f aca="false">COUNTIFS('Fit-Gap'!$K$2:$K$400,$B40,'Fit-Gap'!$L$2:$L$400,"M")</f>
        <v>0</v>
      </c>
      <c r="E40" s="9" t="n">
        <f aca="false">COUNTIFS('Fit-Gap'!$K$2:$K$400,$B40,'Fit-Gap'!$L$2:$L$400,"L")</f>
        <v>0</v>
      </c>
      <c r="F40" s="9" t="n">
        <f aca="false">COUNTIFS('Fit-Gap'!$K$2:$K$400,$B40,'Fit-Gap'!$L$2:$L$400,"XL")</f>
        <v>0</v>
      </c>
      <c r="G40" s="9" t="n">
        <f aca="false">SUM(C40:F40)</f>
        <v>4</v>
      </c>
    </row>
    <row r="41" customFormat="false" ht="15" hidden="false" customHeight="false" outlineLevel="0" collapsed="false">
      <c r="B41" s="9" t="s">
        <v>64</v>
      </c>
      <c r="C41" s="9" t="n">
        <f aca="false">COUNTIFS('Fit-Gap'!$K$2:$K$400,$B41,'Fit-Gap'!$L$2:$L$400,"S")</f>
        <v>6</v>
      </c>
      <c r="D41" s="9" t="n">
        <f aca="false">COUNTIFS('Fit-Gap'!$K$2:$K$400,$B41,'Fit-Gap'!$L$2:$L$400,"M")</f>
        <v>6</v>
      </c>
      <c r="E41" s="9" t="n">
        <f aca="false">COUNTIFS('Fit-Gap'!$K$2:$K$400,$B41,'Fit-Gap'!$L$2:$L$400,"L")</f>
        <v>1</v>
      </c>
      <c r="F41" s="9" t="n">
        <f aca="false">COUNTIFS('Fit-Gap'!$K$2:$K$400,$B41,'Fit-Gap'!$L$2:$L$400,"XL")</f>
        <v>0</v>
      </c>
      <c r="G41" s="9" t="n">
        <f aca="false">SUM(C41:F41)</f>
        <v>13</v>
      </c>
    </row>
    <row r="42" customFormat="false" ht="15" hidden="false" customHeight="false" outlineLevel="0" collapsed="false">
      <c r="B42" s="3" t="s">
        <v>24</v>
      </c>
      <c r="C42" s="3" t="n">
        <f aca="false">SUM(C24:C41)</f>
        <v>51</v>
      </c>
      <c r="D42" s="3" t="n">
        <f aca="false">SUM(D24:D41)</f>
        <v>54</v>
      </c>
      <c r="E42" s="3" t="n">
        <f aca="false">SUM(E24:E41)</f>
        <v>11</v>
      </c>
      <c r="F42" s="3" t="n">
        <f aca="false">SUM(F24:F41)</f>
        <v>1</v>
      </c>
      <c r="G42" s="3" t="n">
        <f aca="false">SUM(G24:G41)</f>
        <v>117</v>
      </c>
    </row>
    <row r="44" customFormat="false" ht="15" hidden="false" customHeight="false" outlineLevel="0" collapsed="false">
      <c r="B44" s="3" t="s">
        <v>65</v>
      </c>
      <c r="C44" s="0" t="str">
        <f aca="false">COUNTA('Open Questions'!$E$2:$E$200)&amp;" of "&amp;COUNTA('Open Questions'!$A$2:$A$200)</f>
        <v>0 of 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O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6"/>
    <col collapsed="false" customWidth="true" hidden="false" outlineLevel="0" max="4" min="4" style="0" width="55"/>
    <col collapsed="false" customWidth="true" hidden="false" outlineLevel="0" max="5" min="5" style="0" width="45"/>
    <col collapsed="false" customWidth="true" hidden="false" outlineLevel="0" max="6" min="6" style="0" width="20"/>
    <col collapsed="false" customWidth="true" hidden="false" outlineLevel="0" max="7" min="7" style="0" width="24"/>
    <col collapsed="false" customWidth="true" hidden="false" outlineLevel="0" max="8" min="8" style="0" width="11"/>
    <col collapsed="false" customWidth="true" hidden="false" outlineLevel="0" max="9" min="9" style="0" width="36"/>
    <col collapsed="false" customWidth="true" hidden="false" outlineLevel="0" max="10" min="10" style="0" width="50"/>
    <col collapsed="false" customWidth="true" hidden="false" outlineLevel="0" max="11" min="11" style="0" width="18"/>
    <col collapsed="false" customWidth="true" hidden="false" outlineLevel="0" max="12" min="12" style="0" width="7"/>
    <col collapsed="false" customWidth="true" hidden="false" outlineLevel="0" max="13" min="13" style="0" width="10"/>
    <col collapsed="false" customWidth="true" hidden="false" outlineLevel="0" max="14" min="14" style="0" width="16"/>
    <col collapsed="false" customWidth="true" hidden="false" outlineLevel="0" max="15" min="15" style="0" width="36"/>
  </cols>
  <sheetData>
    <row r="1" customFormat="false" ht="31.5" hidden="false" customHeight="true" outlineLevel="0" collapsed="false">
      <c r="A1" s="11" t="s">
        <v>66</v>
      </c>
      <c r="B1" s="11" t="s">
        <v>18</v>
      </c>
      <c r="C1" s="11" t="s">
        <v>67</v>
      </c>
      <c r="D1" s="11" t="s">
        <v>68</v>
      </c>
      <c r="E1" s="11" t="s">
        <v>69</v>
      </c>
      <c r="F1" s="11" t="s">
        <v>70</v>
      </c>
      <c r="G1" s="11" t="s">
        <v>71</v>
      </c>
      <c r="H1" s="11" t="s">
        <v>72</v>
      </c>
      <c r="I1" s="11" t="s">
        <v>73</v>
      </c>
      <c r="J1" s="11" t="s">
        <v>74</v>
      </c>
      <c r="K1" s="11" t="s">
        <v>42</v>
      </c>
      <c r="L1" s="11" t="s">
        <v>10</v>
      </c>
      <c r="M1" s="11" t="s">
        <v>75</v>
      </c>
      <c r="N1" s="11" t="s">
        <v>76</v>
      </c>
      <c r="O1" s="11" t="s">
        <v>77</v>
      </c>
    </row>
    <row r="2" customFormat="false" ht="23.85" hidden="false" customHeight="false" outlineLevel="0" collapsed="false">
      <c r="A2" s="12" t="s">
        <v>78</v>
      </c>
      <c r="B2" s="12" t="s">
        <v>27</v>
      </c>
      <c r="C2" s="12" t="s">
        <v>79</v>
      </c>
      <c r="D2" s="12" t="s">
        <v>80</v>
      </c>
      <c r="E2" s="12" t="s">
        <v>81</v>
      </c>
      <c r="F2" s="12"/>
      <c r="G2" s="12" t="s">
        <v>82</v>
      </c>
      <c r="H2" s="13" t="s">
        <v>21</v>
      </c>
      <c r="I2" s="12" t="s">
        <v>83</v>
      </c>
      <c r="J2" s="12" t="s">
        <v>84</v>
      </c>
      <c r="K2" s="12" t="s">
        <v>60</v>
      </c>
      <c r="L2" s="12" t="s">
        <v>44</v>
      </c>
      <c r="M2" s="12" t="s">
        <v>85</v>
      </c>
      <c r="N2" s="14"/>
      <c r="O2" s="14"/>
    </row>
    <row r="3" customFormat="false" ht="23.85" hidden="false" customHeight="false" outlineLevel="0" collapsed="false">
      <c r="A3" s="15" t="s">
        <v>86</v>
      </c>
      <c r="B3" s="15" t="s">
        <v>27</v>
      </c>
      <c r="C3" s="15" t="s">
        <v>79</v>
      </c>
      <c r="D3" s="15" t="s">
        <v>87</v>
      </c>
      <c r="E3" s="15" t="s">
        <v>88</v>
      </c>
      <c r="F3" s="15"/>
      <c r="G3" s="15" t="s">
        <v>82</v>
      </c>
      <c r="H3" s="16" t="s">
        <v>21</v>
      </c>
      <c r="I3" s="15" t="s">
        <v>89</v>
      </c>
      <c r="J3" s="15" t="s">
        <v>90</v>
      </c>
      <c r="K3" s="15" t="s">
        <v>60</v>
      </c>
      <c r="L3" s="15" t="s">
        <v>45</v>
      </c>
      <c r="M3" s="15" t="s">
        <v>91</v>
      </c>
      <c r="N3" s="14"/>
      <c r="O3" s="14"/>
    </row>
    <row r="4" customFormat="false" ht="23.85" hidden="false" customHeight="false" outlineLevel="0" collapsed="false">
      <c r="A4" s="12" t="s">
        <v>92</v>
      </c>
      <c r="B4" s="12" t="s">
        <v>27</v>
      </c>
      <c r="C4" s="12" t="s">
        <v>79</v>
      </c>
      <c r="D4" s="12" t="s">
        <v>93</v>
      </c>
      <c r="E4" s="12" t="s">
        <v>94</v>
      </c>
      <c r="F4" s="12"/>
      <c r="G4" s="12" t="s">
        <v>82</v>
      </c>
      <c r="H4" s="13" t="s">
        <v>21</v>
      </c>
      <c r="I4" s="12" t="s">
        <v>95</v>
      </c>
      <c r="J4" s="12" t="s">
        <v>96</v>
      </c>
      <c r="K4" s="12" t="s">
        <v>60</v>
      </c>
      <c r="L4" s="12" t="s">
        <v>44</v>
      </c>
      <c r="M4" s="12" t="s">
        <v>91</v>
      </c>
      <c r="N4" s="14"/>
      <c r="O4" s="14"/>
    </row>
    <row r="5" customFormat="false" ht="46.25" hidden="false" customHeight="false" outlineLevel="0" collapsed="false">
      <c r="A5" s="15" t="s">
        <v>97</v>
      </c>
      <c r="B5" s="15" t="s">
        <v>27</v>
      </c>
      <c r="C5" s="15" t="s">
        <v>98</v>
      </c>
      <c r="D5" s="15" t="s">
        <v>99</v>
      </c>
      <c r="E5" s="15" t="s">
        <v>100</v>
      </c>
      <c r="F5" s="15"/>
      <c r="G5" s="15" t="s">
        <v>101</v>
      </c>
      <c r="H5" s="16" t="s">
        <v>22</v>
      </c>
      <c r="I5" s="15" t="s">
        <v>102</v>
      </c>
      <c r="J5" s="15" t="s">
        <v>103</v>
      </c>
      <c r="K5" s="15" t="s">
        <v>33</v>
      </c>
      <c r="L5" s="15" t="s">
        <v>45</v>
      </c>
      <c r="M5" s="15" t="s">
        <v>104</v>
      </c>
      <c r="N5" s="14"/>
      <c r="O5" s="14"/>
    </row>
    <row r="6" customFormat="false" ht="23.85" hidden="false" customHeight="false" outlineLevel="0" collapsed="false">
      <c r="A6" s="12" t="s">
        <v>105</v>
      </c>
      <c r="B6" s="12" t="s">
        <v>27</v>
      </c>
      <c r="C6" s="12" t="s">
        <v>98</v>
      </c>
      <c r="D6" s="12" t="s">
        <v>106</v>
      </c>
      <c r="E6" s="12" t="s">
        <v>107</v>
      </c>
      <c r="F6" s="12"/>
      <c r="G6" s="12" t="s">
        <v>108</v>
      </c>
      <c r="H6" s="13" t="s">
        <v>21</v>
      </c>
      <c r="I6" s="12" t="s">
        <v>109</v>
      </c>
      <c r="J6" s="12" t="s">
        <v>110</v>
      </c>
      <c r="K6" s="12" t="s">
        <v>60</v>
      </c>
      <c r="L6" s="12" t="s">
        <v>44</v>
      </c>
      <c r="M6" s="12" t="s">
        <v>91</v>
      </c>
      <c r="N6" s="14"/>
      <c r="O6" s="14"/>
    </row>
    <row r="7" customFormat="false" ht="23.85" hidden="false" customHeight="false" outlineLevel="0" collapsed="false">
      <c r="A7" s="15" t="s">
        <v>111</v>
      </c>
      <c r="B7" s="15" t="s">
        <v>27</v>
      </c>
      <c r="C7" s="15" t="s">
        <v>112</v>
      </c>
      <c r="D7" s="15" t="s">
        <v>113</v>
      </c>
      <c r="E7" s="15" t="s">
        <v>114</v>
      </c>
      <c r="F7" s="15"/>
      <c r="G7" s="15" t="s">
        <v>108</v>
      </c>
      <c r="H7" s="16" t="s">
        <v>22</v>
      </c>
      <c r="I7" s="15" t="s">
        <v>115</v>
      </c>
      <c r="J7" s="15" t="s">
        <v>116</v>
      </c>
      <c r="K7" s="15" t="s">
        <v>64</v>
      </c>
      <c r="L7" s="15" t="s">
        <v>44</v>
      </c>
      <c r="M7" s="15" t="s">
        <v>117</v>
      </c>
      <c r="N7" s="14"/>
      <c r="O7" s="14"/>
    </row>
    <row r="8" customFormat="false" ht="35.05" hidden="false" customHeight="false" outlineLevel="0" collapsed="false">
      <c r="A8" s="12" t="s">
        <v>118</v>
      </c>
      <c r="B8" s="12" t="s">
        <v>28</v>
      </c>
      <c r="C8" s="12" t="s">
        <v>119</v>
      </c>
      <c r="D8" s="12" t="s">
        <v>120</v>
      </c>
      <c r="E8" s="12" t="s">
        <v>121</v>
      </c>
      <c r="F8" s="12"/>
      <c r="G8" s="12" t="s">
        <v>82</v>
      </c>
      <c r="H8" s="13" t="s">
        <v>22</v>
      </c>
      <c r="I8" s="12" t="s">
        <v>122</v>
      </c>
      <c r="J8" s="12" t="s">
        <v>123</v>
      </c>
      <c r="K8" s="12" t="s">
        <v>56</v>
      </c>
      <c r="L8" s="12" t="s">
        <v>45</v>
      </c>
      <c r="M8" s="12" t="s">
        <v>124</v>
      </c>
      <c r="N8" s="14"/>
      <c r="O8" s="14"/>
    </row>
    <row r="9" customFormat="false" ht="23.85" hidden="false" customHeight="false" outlineLevel="0" collapsed="false">
      <c r="A9" s="15" t="s">
        <v>125</v>
      </c>
      <c r="B9" s="15" t="s">
        <v>28</v>
      </c>
      <c r="C9" s="15" t="s">
        <v>79</v>
      </c>
      <c r="D9" s="15" t="s">
        <v>126</v>
      </c>
      <c r="E9" s="15" t="s">
        <v>127</v>
      </c>
      <c r="F9" s="15"/>
      <c r="G9" s="15" t="s">
        <v>82</v>
      </c>
      <c r="H9" s="16" t="s">
        <v>21</v>
      </c>
      <c r="I9" s="15" t="s">
        <v>128</v>
      </c>
      <c r="J9" s="15" t="s">
        <v>129</v>
      </c>
      <c r="K9" s="15" t="s">
        <v>56</v>
      </c>
      <c r="L9" s="15" t="s">
        <v>43</v>
      </c>
      <c r="M9" s="15"/>
      <c r="N9" s="14"/>
      <c r="O9" s="14"/>
    </row>
    <row r="10" customFormat="false" ht="23.85" hidden="false" customHeight="false" outlineLevel="0" collapsed="false">
      <c r="A10" s="12" t="s">
        <v>130</v>
      </c>
      <c r="B10" s="12" t="s">
        <v>28</v>
      </c>
      <c r="C10" s="12" t="s">
        <v>112</v>
      </c>
      <c r="D10" s="12" t="s">
        <v>131</v>
      </c>
      <c r="E10" s="12" t="s">
        <v>132</v>
      </c>
      <c r="F10" s="12"/>
      <c r="G10" s="12" t="s">
        <v>82</v>
      </c>
      <c r="H10" s="13" t="s">
        <v>22</v>
      </c>
      <c r="I10" s="12" t="s">
        <v>133</v>
      </c>
      <c r="J10" s="12" t="s">
        <v>134</v>
      </c>
      <c r="K10" s="12" t="s">
        <v>56</v>
      </c>
      <c r="L10" s="12" t="s">
        <v>44</v>
      </c>
      <c r="M10" s="12"/>
      <c r="N10" s="14"/>
      <c r="O10" s="14"/>
    </row>
    <row r="11" customFormat="false" ht="35.05" hidden="false" customHeight="false" outlineLevel="0" collapsed="false">
      <c r="A11" s="15" t="s">
        <v>135</v>
      </c>
      <c r="B11" s="15" t="s">
        <v>28</v>
      </c>
      <c r="C11" s="15" t="s">
        <v>112</v>
      </c>
      <c r="D11" s="15" t="s">
        <v>136</v>
      </c>
      <c r="E11" s="15" t="s">
        <v>137</v>
      </c>
      <c r="F11" s="15"/>
      <c r="G11" s="15" t="s">
        <v>82</v>
      </c>
      <c r="H11" s="16" t="s">
        <v>22</v>
      </c>
      <c r="I11" s="15" t="s">
        <v>138</v>
      </c>
      <c r="J11" s="15" t="s">
        <v>139</v>
      </c>
      <c r="K11" s="15" t="s">
        <v>56</v>
      </c>
      <c r="L11" s="15" t="s">
        <v>45</v>
      </c>
      <c r="M11" s="15" t="s">
        <v>140</v>
      </c>
      <c r="N11" s="14"/>
      <c r="O11" s="14"/>
    </row>
    <row r="12" customFormat="false" ht="23.85" hidden="false" customHeight="false" outlineLevel="0" collapsed="false">
      <c r="A12" s="12" t="s">
        <v>141</v>
      </c>
      <c r="B12" s="12" t="s">
        <v>28</v>
      </c>
      <c r="C12" s="12" t="s">
        <v>112</v>
      </c>
      <c r="D12" s="12" t="s">
        <v>142</v>
      </c>
      <c r="E12" s="12" t="s">
        <v>143</v>
      </c>
      <c r="F12" s="12"/>
      <c r="G12" s="12" t="s">
        <v>82</v>
      </c>
      <c r="H12" s="13" t="s">
        <v>22</v>
      </c>
      <c r="I12" s="12" t="s">
        <v>144</v>
      </c>
      <c r="J12" s="12" t="s">
        <v>145</v>
      </c>
      <c r="K12" s="12" t="s">
        <v>56</v>
      </c>
      <c r="L12" s="12" t="s">
        <v>44</v>
      </c>
      <c r="M12" s="12"/>
      <c r="N12" s="14"/>
      <c r="O12" s="14"/>
    </row>
    <row r="13" customFormat="false" ht="23.85" hidden="false" customHeight="false" outlineLevel="0" collapsed="false">
      <c r="A13" s="15" t="s">
        <v>146</v>
      </c>
      <c r="B13" s="15" t="s">
        <v>28</v>
      </c>
      <c r="C13" s="15" t="s">
        <v>79</v>
      </c>
      <c r="D13" s="15" t="s">
        <v>147</v>
      </c>
      <c r="E13" s="15" t="s">
        <v>148</v>
      </c>
      <c r="F13" s="15"/>
      <c r="G13" s="15" t="s">
        <v>82</v>
      </c>
      <c r="H13" s="16" t="s">
        <v>22</v>
      </c>
      <c r="I13" s="15" t="s">
        <v>149</v>
      </c>
      <c r="J13" s="15" t="s">
        <v>150</v>
      </c>
      <c r="K13" s="15" t="s">
        <v>56</v>
      </c>
      <c r="L13" s="15" t="s">
        <v>44</v>
      </c>
      <c r="M13" s="15"/>
      <c r="N13" s="14"/>
      <c r="O13" s="14"/>
    </row>
    <row r="14" customFormat="false" ht="23.85" hidden="false" customHeight="false" outlineLevel="0" collapsed="false">
      <c r="A14" s="12" t="s">
        <v>151</v>
      </c>
      <c r="B14" s="12" t="s">
        <v>28</v>
      </c>
      <c r="C14" s="12" t="s">
        <v>152</v>
      </c>
      <c r="D14" s="12" t="s">
        <v>153</v>
      </c>
      <c r="E14" s="12" t="s">
        <v>154</v>
      </c>
      <c r="F14" s="12"/>
      <c r="G14" s="12" t="s">
        <v>82</v>
      </c>
      <c r="H14" s="13" t="s">
        <v>22</v>
      </c>
      <c r="I14" s="12" t="s">
        <v>155</v>
      </c>
      <c r="J14" s="12" t="s">
        <v>156</v>
      </c>
      <c r="K14" s="12" t="s">
        <v>62</v>
      </c>
      <c r="L14" s="12" t="s">
        <v>43</v>
      </c>
      <c r="M14" s="12"/>
      <c r="N14" s="14"/>
      <c r="O14" s="14"/>
    </row>
    <row r="15" customFormat="false" ht="23.85" hidden="false" customHeight="false" outlineLevel="0" collapsed="false">
      <c r="A15" s="15" t="s">
        <v>157</v>
      </c>
      <c r="B15" s="15" t="s">
        <v>28</v>
      </c>
      <c r="C15" s="15" t="s">
        <v>152</v>
      </c>
      <c r="D15" s="15" t="s">
        <v>158</v>
      </c>
      <c r="E15" s="15" t="s">
        <v>159</v>
      </c>
      <c r="F15" s="15"/>
      <c r="G15" s="15" t="s">
        <v>82</v>
      </c>
      <c r="H15" s="16" t="s">
        <v>21</v>
      </c>
      <c r="I15" s="15" t="s">
        <v>160</v>
      </c>
      <c r="J15" s="15" t="s">
        <v>161</v>
      </c>
      <c r="K15" s="15" t="s">
        <v>62</v>
      </c>
      <c r="L15" s="15" t="s">
        <v>44</v>
      </c>
      <c r="M15" s="15"/>
      <c r="N15" s="14"/>
      <c r="O15" s="14"/>
    </row>
    <row r="16" customFormat="false" ht="23.85" hidden="false" customHeight="false" outlineLevel="0" collapsed="false">
      <c r="A16" s="12" t="s">
        <v>162</v>
      </c>
      <c r="B16" s="12" t="s">
        <v>28</v>
      </c>
      <c r="C16" s="12" t="s">
        <v>79</v>
      </c>
      <c r="D16" s="12" t="s">
        <v>163</v>
      </c>
      <c r="E16" s="12" t="s">
        <v>164</v>
      </c>
      <c r="F16" s="12"/>
      <c r="G16" s="12" t="s">
        <v>82</v>
      </c>
      <c r="H16" s="13" t="s">
        <v>22</v>
      </c>
      <c r="I16" s="12" t="s">
        <v>149</v>
      </c>
      <c r="J16" s="12" t="s">
        <v>165</v>
      </c>
      <c r="K16" s="12" t="s">
        <v>33</v>
      </c>
      <c r="L16" s="12" t="s">
        <v>44</v>
      </c>
      <c r="M16" s="12" t="s">
        <v>166</v>
      </c>
      <c r="N16" s="14"/>
      <c r="O16" s="14"/>
    </row>
    <row r="17" customFormat="false" ht="23.85" hidden="false" customHeight="false" outlineLevel="0" collapsed="false">
      <c r="A17" s="15" t="s">
        <v>167</v>
      </c>
      <c r="B17" s="15" t="s">
        <v>28</v>
      </c>
      <c r="C17" s="15" t="s">
        <v>79</v>
      </c>
      <c r="D17" s="15" t="s">
        <v>168</v>
      </c>
      <c r="E17" s="15" t="s">
        <v>169</v>
      </c>
      <c r="F17" s="15"/>
      <c r="G17" s="15" t="s">
        <v>82</v>
      </c>
      <c r="H17" s="16" t="s">
        <v>21</v>
      </c>
      <c r="I17" s="15" t="s">
        <v>170</v>
      </c>
      <c r="J17" s="15" t="s">
        <v>171</v>
      </c>
      <c r="K17" s="15" t="s">
        <v>64</v>
      </c>
      <c r="L17" s="15" t="s">
        <v>44</v>
      </c>
      <c r="M17" s="15" t="s">
        <v>124</v>
      </c>
      <c r="N17" s="14"/>
      <c r="O17" s="14"/>
    </row>
    <row r="18" customFormat="false" ht="23.85" hidden="false" customHeight="false" outlineLevel="0" collapsed="false">
      <c r="A18" s="12" t="s">
        <v>172</v>
      </c>
      <c r="B18" s="12" t="s">
        <v>28</v>
      </c>
      <c r="C18" s="12" t="s">
        <v>79</v>
      </c>
      <c r="D18" s="12" t="s">
        <v>173</v>
      </c>
      <c r="E18" s="12" t="s">
        <v>174</v>
      </c>
      <c r="F18" s="12"/>
      <c r="G18" s="12" t="s">
        <v>82</v>
      </c>
      <c r="H18" s="13" t="s">
        <v>21</v>
      </c>
      <c r="I18" s="12" t="s">
        <v>175</v>
      </c>
      <c r="J18" s="12" t="s">
        <v>176</v>
      </c>
      <c r="K18" s="12" t="s">
        <v>64</v>
      </c>
      <c r="L18" s="12" t="s">
        <v>44</v>
      </c>
      <c r="M18" s="12" t="s">
        <v>177</v>
      </c>
      <c r="N18" s="14"/>
      <c r="O18" s="14"/>
    </row>
    <row r="19" customFormat="false" ht="23.85" hidden="false" customHeight="false" outlineLevel="0" collapsed="false">
      <c r="A19" s="15" t="s">
        <v>178</v>
      </c>
      <c r="B19" s="15" t="s">
        <v>28</v>
      </c>
      <c r="C19" s="15" t="s">
        <v>79</v>
      </c>
      <c r="D19" s="15" t="s">
        <v>179</v>
      </c>
      <c r="E19" s="15" t="s">
        <v>180</v>
      </c>
      <c r="F19" s="15"/>
      <c r="G19" s="15" t="s">
        <v>82</v>
      </c>
      <c r="H19" s="16" t="s">
        <v>19</v>
      </c>
      <c r="I19" s="15" t="s">
        <v>181</v>
      </c>
      <c r="J19" s="15" t="s">
        <v>182</v>
      </c>
      <c r="K19" s="15" t="s">
        <v>58</v>
      </c>
      <c r="L19" s="15" t="s">
        <v>43</v>
      </c>
      <c r="M19" s="15"/>
      <c r="N19" s="14"/>
      <c r="O19" s="14"/>
    </row>
    <row r="20" customFormat="false" ht="23.85" hidden="false" customHeight="false" outlineLevel="0" collapsed="false">
      <c r="A20" s="12" t="s">
        <v>183</v>
      </c>
      <c r="B20" s="12" t="s">
        <v>28</v>
      </c>
      <c r="C20" s="12" t="s">
        <v>112</v>
      </c>
      <c r="D20" s="12" t="s">
        <v>184</v>
      </c>
      <c r="E20" s="12" t="s">
        <v>185</v>
      </c>
      <c r="F20" s="12"/>
      <c r="G20" s="12" t="s">
        <v>82</v>
      </c>
      <c r="H20" s="13" t="s">
        <v>22</v>
      </c>
      <c r="I20" s="12" t="s">
        <v>149</v>
      </c>
      <c r="J20" s="12" t="s">
        <v>186</v>
      </c>
      <c r="K20" s="12" t="s">
        <v>56</v>
      </c>
      <c r="L20" s="12" t="s">
        <v>44</v>
      </c>
      <c r="M20" s="12"/>
      <c r="N20" s="14"/>
      <c r="O20" s="14"/>
    </row>
    <row r="21" customFormat="false" ht="23.85" hidden="false" customHeight="false" outlineLevel="0" collapsed="false">
      <c r="A21" s="15" t="s">
        <v>187</v>
      </c>
      <c r="B21" s="15" t="s">
        <v>28</v>
      </c>
      <c r="C21" s="15" t="s">
        <v>112</v>
      </c>
      <c r="D21" s="15" t="s">
        <v>188</v>
      </c>
      <c r="E21" s="15" t="s">
        <v>189</v>
      </c>
      <c r="F21" s="15"/>
      <c r="G21" s="15" t="s">
        <v>82</v>
      </c>
      <c r="H21" s="16" t="s">
        <v>21</v>
      </c>
      <c r="I21" s="15" t="s">
        <v>190</v>
      </c>
      <c r="J21" s="15" t="s">
        <v>191</v>
      </c>
      <c r="K21" s="15" t="s">
        <v>62</v>
      </c>
      <c r="L21" s="15" t="s">
        <v>43</v>
      </c>
      <c r="M21" s="15" t="s">
        <v>192</v>
      </c>
      <c r="N21" s="14"/>
      <c r="O21" s="14"/>
    </row>
    <row r="22" customFormat="false" ht="23.85" hidden="false" customHeight="false" outlineLevel="0" collapsed="false">
      <c r="A22" s="12" t="s">
        <v>193</v>
      </c>
      <c r="B22" s="12" t="s">
        <v>38</v>
      </c>
      <c r="C22" s="12" t="s">
        <v>194</v>
      </c>
      <c r="D22" s="12" t="s">
        <v>195</v>
      </c>
      <c r="E22" s="12" t="s">
        <v>196</v>
      </c>
      <c r="F22" s="12"/>
      <c r="G22" s="12" t="s">
        <v>82</v>
      </c>
      <c r="H22" s="13" t="s">
        <v>21</v>
      </c>
      <c r="I22" s="12" t="s">
        <v>197</v>
      </c>
      <c r="J22" s="12" t="s">
        <v>198</v>
      </c>
      <c r="K22" s="12" t="s">
        <v>58</v>
      </c>
      <c r="L22" s="12" t="s">
        <v>43</v>
      </c>
      <c r="M22" s="12"/>
      <c r="N22" s="14"/>
      <c r="O22" s="14"/>
    </row>
    <row r="23" customFormat="false" ht="23.85" hidden="false" customHeight="false" outlineLevel="0" collapsed="false">
      <c r="A23" s="15" t="s">
        <v>199</v>
      </c>
      <c r="B23" s="15" t="s">
        <v>29</v>
      </c>
      <c r="C23" s="15" t="s">
        <v>194</v>
      </c>
      <c r="D23" s="15" t="s">
        <v>200</v>
      </c>
      <c r="E23" s="15" t="s">
        <v>201</v>
      </c>
      <c r="F23" s="15"/>
      <c r="G23" s="15" t="s">
        <v>82</v>
      </c>
      <c r="H23" s="16" t="s">
        <v>21</v>
      </c>
      <c r="I23" s="15" t="s">
        <v>202</v>
      </c>
      <c r="J23" s="15" t="s">
        <v>203</v>
      </c>
      <c r="K23" s="15" t="s">
        <v>61</v>
      </c>
      <c r="L23" s="15" t="s">
        <v>43</v>
      </c>
      <c r="M23" s="15"/>
      <c r="N23" s="14"/>
      <c r="O23" s="14"/>
    </row>
    <row r="24" customFormat="false" ht="23.85" hidden="false" customHeight="false" outlineLevel="0" collapsed="false">
      <c r="A24" s="12" t="s">
        <v>204</v>
      </c>
      <c r="B24" s="12" t="s">
        <v>29</v>
      </c>
      <c r="C24" s="12" t="s">
        <v>205</v>
      </c>
      <c r="D24" s="12" t="s">
        <v>206</v>
      </c>
      <c r="E24" s="12" t="s">
        <v>207</v>
      </c>
      <c r="F24" s="12"/>
      <c r="G24" s="12" t="s">
        <v>82</v>
      </c>
      <c r="H24" s="13" t="s">
        <v>19</v>
      </c>
      <c r="I24" s="12" t="s">
        <v>208</v>
      </c>
      <c r="J24" s="12" t="s">
        <v>209</v>
      </c>
      <c r="K24" s="12" t="s">
        <v>61</v>
      </c>
      <c r="L24" s="12" t="s">
        <v>43</v>
      </c>
      <c r="M24" s="12"/>
      <c r="N24" s="14"/>
      <c r="O24" s="14"/>
    </row>
    <row r="25" customFormat="false" ht="46.25" hidden="false" customHeight="false" outlineLevel="0" collapsed="false">
      <c r="A25" s="15" t="s">
        <v>210</v>
      </c>
      <c r="B25" s="15" t="s">
        <v>38</v>
      </c>
      <c r="C25" s="15" t="s">
        <v>79</v>
      </c>
      <c r="D25" s="15" t="s">
        <v>211</v>
      </c>
      <c r="E25" s="15" t="s">
        <v>212</v>
      </c>
      <c r="F25" s="15" t="s">
        <v>213</v>
      </c>
      <c r="G25" s="15" t="s">
        <v>101</v>
      </c>
      <c r="H25" s="16" t="s">
        <v>22</v>
      </c>
      <c r="I25" s="15" t="s">
        <v>214</v>
      </c>
      <c r="J25" s="15" t="s">
        <v>215</v>
      </c>
      <c r="K25" s="15" t="s">
        <v>64</v>
      </c>
      <c r="L25" s="15" t="s">
        <v>45</v>
      </c>
      <c r="M25" s="15" t="s">
        <v>216</v>
      </c>
      <c r="N25" s="14"/>
      <c r="O25" s="14"/>
    </row>
    <row r="26" customFormat="false" ht="23.85" hidden="false" customHeight="false" outlineLevel="0" collapsed="false">
      <c r="A26" s="12" t="s">
        <v>217</v>
      </c>
      <c r="B26" s="12" t="s">
        <v>32</v>
      </c>
      <c r="C26" s="12" t="s">
        <v>98</v>
      </c>
      <c r="D26" s="12" t="s">
        <v>218</v>
      </c>
      <c r="E26" s="12" t="s">
        <v>219</v>
      </c>
      <c r="F26" s="12" t="s">
        <v>220</v>
      </c>
      <c r="G26" s="12" t="s">
        <v>82</v>
      </c>
      <c r="H26" s="13" t="s">
        <v>22</v>
      </c>
      <c r="I26" s="12" t="s">
        <v>149</v>
      </c>
      <c r="J26" s="12" t="s">
        <v>221</v>
      </c>
      <c r="K26" s="12" t="s">
        <v>55</v>
      </c>
      <c r="L26" s="12" t="s">
        <v>45</v>
      </c>
      <c r="M26" s="12" t="s">
        <v>222</v>
      </c>
      <c r="N26" s="14"/>
      <c r="O26" s="14"/>
    </row>
    <row r="27" customFormat="false" ht="23.85" hidden="false" customHeight="false" outlineLevel="0" collapsed="false">
      <c r="A27" s="15" t="s">
        <v>223</v>
      </c>
      <c r="B27" s="15" t="s">
        <v>29</v>
      </c>
      <c r="C27" s="15" t="s">
        <v>98</v>
      </c>
      <c r="D27" s="15" t="s">
        <v>224</v>
      </c>
      <c r="E27" s="15" t="s">
        <v>225</v>
      </c>
      <c r="F27" s="15" t="s">
        <v>220</v>
      </c>
      <c r="G27" s="15" t="s">
        <v>226</v>
      </c>
      <c r="H27" s="16" t="s">
        <v>22</v>
      </c>
      <c r="I27" s="15" t="s">
        <v>149</v>
      </c>
      <c r="J27" s="15" t="s">
        <v>227</v>
      </c>
      <c r="K27" s="15" t="s">
        <v>54</v>
      </c>
      <c r="L27" s="15" t="s">
        <v>44</v>
      </c>
      <c r="M27" s="15" t="s">
        <v>228</v>
      </c>
      <c r="N27" s="14"/>
      <c r="O27" s="14"/>
    </row>
    <row r="28" customFormat="false" ht="23.85" hidden="false" customHeight="false" outlineLevel="0" collapsed="false">
      <c r="A28" s="12" t="s">
        <v>229</v>
      </c>
      <c r="B28" s="12" t="s">
        <v>29</v>
      </c>
      <c r="C28" s="12" t="s">
        <v>98</v>
      </c>
      <c r="D28" s="12" t="s">
        <v>230</v>
      </c>
      <c r="E28" s="12" t="s">
        <v>231</v>
      </c>
      <c r="F28" s="12" t="s">
        <v>232</v>
      </c>
      <c r="G28" s="12" t="s">
        <v>82</v>
      </c>
      <c r="H28" s="13" t="s">
        <v>22</v>
      </c>
      <c r="I28" s="12" t="s">
        <v>233</v>
      </c>
      <c r="J28" s="12" t="s">
        <v>234</v>
      </c>
      <c r="K28" s="12" t="s">
        <v>52</v>
      </c>
      <c r="L28" s="12" t="s">
        <v>45</v>
      </c>
      <c r="M28" s="12"/>
      <c r="N28" s="14"/>
      <c r="O28" s="14"/>
    </row>
    <row r="29" customFormat="false" ht="23.85" hidden="false" customHeight="false" outlineLevel="0" collapsed="false">
      <c r="A29" s="15" t="s">
        <v>235</v>
      </c>
      <c r="B29" s="15" t="s">
        <v>32</v>
      </c>
      <c r="C29" s="15" t="s">
        <v>79</v>
      </c>
      <c r="D29" s="15" t="s">
        <v>236</v>
      </c>
      <c r="E29" s="15" t="s">
        <v>237</v>
      </c>
      <c r="F29" s="15" t="s">
        <v>238</v>
      </c>
      <c r="G29" s="15" t="s">
        <v>82</v>
      </c>
      <c r="H29" s="16" t="s">
        <v>22</v>
      </c>
      <c r="I29" s="15" t="s">
        <v>149</v>
      </c>
      <c r="J29" s="15" t="s">
        <v>239</v>
      </c>
      <c r="K29" s="15" t="s">
        <v>52</v>
      </c>
      <c r="L29" s="15" t="s">
        <v>44</v>
      </c>
      <c r="M29" s="15" t="s">
        <v>222</v>
      </c>
      <c r="N29" s="14"/>
      <c r="O29" s="14"/>
    </row>
    <row r="30" customFormat="false" ht="23.85" hidden="false" customHeight="false" outlineLevel="0" collapsed="false">
      <c r="A30" s="12" t="s">
        <v>240</v>
      </c>
      <c r="B30" s="12" t="s">
        <v>29</v>
      </c>
      <c r="C30" s="12" t="s">
        <v>79</v>
      </c>
      <c r="D30" s="12" t="s">
        <v>241</v>
      </c>
      <c r="E30" s="12" t="s">
        <v>242</v>
      </c>
      <c r="F30" s="12" t="s">
        <v>243</v>
      </c>
      <c r="G30" s="12" t="s">
        <v>82</v>
      </c>
      <c r="H30" s="13" t="s">
        <v>21</v>
      </c>
      <c r="I30" s="12" t="s">
        <v>244</v>
      </c>
      <c r="J30" s="12" t="s">
        <v>245</v>
      </c>
      <c r="K30" s="12" t="s">
        <v>53</v>
      </c>
      <c r="L30" s="12" t="s">
        <v>43</v>
      </c>
      <c r="M30" s="12" t="s">
        <v>246</v>
      </c>
      <c r="N30" s="14"/>
      <c r="O30" s="14"/>
    </row>
    <row r="31" customFormat="false" ht="23.85" hidden="false" customHeight="false" outlineLevel="0" collapsed="false">
      <c r="A31" s="15" t="s">
        <v>247</v>
      </c>
      <c r="B31" s="15" t="s">
        <v>32</v>
      </c>
      <c r="C31" s="15" t="s">
        <v>79</v>
      </c>
      <c r="D31" s="15" t="s">
        <v>248</v>
      </c>
      <c r="E31" s="15" t="s">
        <v>249</v>
      </c>
      <c r="F31" s="15" t="s">
        <v>250</v>
      </c>
      <c r="G31" s="15" t="s">
        <v>226</v>
      </c>
      <c r="H31" s="16" t="s">
        <v>22</v>
      </c>
      <c r="I31" s="15" t="s">
        <v>149</v>
      </c>
      <c r="J31" s="15" t="s">
        <v>251</v>
      </c>
      <c r="K31" s="15" t="s">
        <v>52</v>
      </c>
      <c r="L31" s="15" t="s">
        <v>44</v>
      </c>
      <c r="M31" s="15" t="s">
        <v>246</v>
      </c>
      <c r="N31" s="14"/>
      <c r="O31" s="14"/>
    </row>
    <row r="32" customFormat="false" ht="23.85" hidden="false" customHeight="false" outlineLevel="0" collapsed="false">
      <c r="A32" s="12" t="s">
        <v>252</v>
      </c>
      <c r="B32" s="12" t="s">
        <v>32</v>
      </c>
      <c r="C32" s="12" t="s">
        <v>79</v>
      </c>
      <c r="D32" s="12" t="s">
        <v>253</v>
      </c>
      <c r="E32" s="12" t="s">
        <v>249</v>
      </c>
      <c r="F32" s="12" t="s">
        <v>254</v>
      </c>
      <c r="G32" s="12" t="s">
        <v>226</v>
      </c>
      <c r="H32" s="13" t="s">
        <v>22</v>
      </c>
      <c r="I32" s="12" t="s">
        <v>149</v>
      </c>
      <c r="J32" s="12" t="s">
        <v>255</v>
      </c>
      <c r="K32" s="12" t="s">
        <v>52</v>
      </c>
      <c r="L32" s="12" t="s">
        <v>44</v>
      </c>
      <c r="M32" s="12" t="s">
        <v>256</v>
      </c>
      <c r="N32" s="14"/>
      <c r="O32" s="14"/>
    </row>
    <row r="33" customFormat="false" ht="23.85" hidden="false" customHeight="false" outlineLevel="0" collapsed="false">
      <c r="A33" s="15" t="s">
        <v>257</v>
      </c>
      <c r="B33" s="15" t="s">
        <v>32</v>
      </c>
      <c r="C33" s="15" t="s">
        <v>258</v>
      </c>
      <c r="D33" s="15" t="s">
        <v>259</v>
      </c>
      <c r="E33" s="15" t="s">
        <v>260</v>
      </c>
      <c r="F33" s="15" t="s">
        <v>261</v>
      </c>
      <c r="G33" s="15" t="s">
        <v>82</v>
      </c>
      <c r="H33" s="16" t="s">
        <v>22</v>
      </c>
      <c r="I33" s="15" t="s">
        <v>149</v>
      </c>
      <c r="J33" s="15" t="s">
        <v>262</v>
      </c>
      <c r="K33" s="15" t="s">
        <v>52</v>
      </c>
      <c r="L33" s="15" t="s">
        <v>43</v>
      </c>
      <c r="M33" s="15"/>
      <c r="N33" s="14"/>
      <c r="O33" s="14"/>
    </row>
    <row r="34" customFormat="false" ht="23.85" hidden="false" customHeight="false" outlineLevel="0" collapsed="false">
      <c r="A34" s="12" t="s">
        <v>263</v>
      </c>
      <c r="B34" s="12" t="s">
        <v>32</v>
      </c>
      <c r="C34" s="12" t="s">
        <v>98</v>
      </c>
      <c r="D34" s="12" t="s">
        <v>264</v>
      </c>
      <c r="E34" s="12" t="s">
        <v>249</v>
      </c>
      <c r="F34" s="12" t="s">
        <v>265</v>
      </c>
      <c r="G34" s="12" t="s">
        <v>226</v>
      </c>
      <c r="H34" s="13" t="s">
        <v>22</v>
      </c>
      <c r="I34" s="12" t="s">
        <v>149</v>
      </c>
      <c r="J34" s="12" t="s">
        <v>266</v>
      </c>
      <c r="K34" s="12" t="s">
        <v>52</v>
      </c>
      <c r="L34" s="12" t="s">
        <v>44</v>
      </c>
      <c r="M34" s="12"/>
      <c r="N34" s="14"/>
      <c r="O34" s="14"/>
    </row>
    <row r="35" customFormat="false" ht="23.85" hidden="false" customHeight="false" outlineLevel="0" collapsed="false">
      <c r="A35" s="15" t="s">
        <v>267</v>
      </c>
      <c r="B35" s="15" t="s">
        <v>32</v>
      </c>
      <c r="C35" s="15" t="s">
        <v>98</v>
      </c>
      <c r="D35" s="15" t="s">
        <v>268</v>
      </c>
      <c r="E35" s="15" t="s">
        <v>249</v>
      </c>
      <c r="F35" s="15" t="s">
        <v>269</v>
      </c>
      <c r="G35" s="15" t="s">
        <v>226</v>
      </c>
      <c r="H35" s="16" t="s">
        <v>22</v>
      </c>
      <c r="I35" s="15" t="s">
        <v>149</v>
      </c>
      <c r="J35" s="15" t="s">
        <v>270</v>
      </c>
      <c r="K35" s="15" t="s">
        <v>52</v>
      </c>
      <c r="L35" s="15" t="s">
        <v>44</v>
      </c>
      <c r="M35" s="15"/>
      <c r="N35" s="14"/>
      <c r="O35" s="14"/>
    </row>
    <row r="36" customFormat="false" ht="23.85" hidden="false" customHeight="false" outlineLevel="0" collapsed="false">
      <c r="A36" s="12" t="s">
        <v>271</v>
      </c>
      <c r="B36" s="12" t="s">
        <v>29</v>
      </c>
      <c r="C36" s="12" t="s">
        <v>98</v>
      </c>
      <c r="D36" s="12" t="s">
        <v>272</v>
      </c>
      <c r="E36" s="12" t="s">
        <v>249</v>
      </c>
      <c r="F36" s="12" t="s">
        <v>273</v>
      </c>
      <c r="G36" s="12" t="s">
        <v>226</v>
      </c>
      <c r="H36" s="13" t="s">
        <v>21</v>
      </c>
      <c r="I36" s="12" t="s">
        <v>274</v>
      </c>
      <c r="J36" s="12" t="s">
        <v>275</v>
      </c>
      <c r="K36" s="12" t="s">
        <v>61</v>
      </c>
      <c r="L36" s="12" t="s">
        <v>44</v>
      </c>
      <c r="M36" s="12"/>
      <c r="N36" s="14"/>
      <c r="O36" s="14"/>
    </row>
    <row r="37" customFormat="false" ht="23.85" hidden="false" customHeight="false" outlineLevel="0" collapsed="false">
      <c r="A37" s="15" t="s">
        <v>276</v>
      </c>
      <c r="B37" s="15" t="s">
        <v>29</v>
      </c>
      <c r="C37" s="15" t="s">
        <v>98</v>
      </c>
      <c r="D37" s="15" t="s">
        <v>277</v>
      </c>
      <c r="E37" s="15" t="s">
        <v>249</v>
      </c>
      <c r="F37" s="15" t="s">
        <v>278</v>
      </c>
      <c r="G37" s="15" t="s">
        <v>226</v>
      </c>
      <c r="H37" s="16" t="s">
        <v>22</v>
      </c>
      <c r="I37" s="15" t="s">
        <v>279</v>
      </c>
      <c r="J37" s="15" t="s">
        <v>280</v>
      </c>
      <c r="K37" s="15" t="s">
        <v>61</v>
      </c>
      <c r="L37" s="15" t="s">
        <v>43</v>
      </c>
      <c r="M37" s="15"/>
      <c r="N37" s="14"/>
      <c r="O37" s="14"/>
    </row>
    <row r="38" customFormat="false" ht="23.85" hidden="false" customHeight="false" outlineLevel="0" collapsed="false">
      <c r="A38" s="12" t="s">
        <v>281</v>
      </c>
      <c r="B38" s="12" t="s">
        <v>29</v>
      </c>
      <c r="C38" s="12" t="s">
        <v>282</v>
      </c>
      <c r="D38" s="12" t="s">
        <v>283</v>
      </c>
      <c r="E38" s="12" t="s">
        <v>284</v>
      </c>
      <c r="F38" s="12"/>
      <c r="G38" s="12" t="s">
        <v>108</v>
      </c>
      <c r="H38" s="13" t="s">
        <v>21</v>
      </c>
      <c r="I38" s="12" t="s">
        <v>285</v>
      </c>
      <c r="J38" s="12" t="s">
        <v>286</v>
      </c>
      <c r="K38" s="12" t="s">
        <v>48</v>
      </c>
      <c r="L38" s="12" t="s">
        <v>44</v>
      </c>
      <c r="M38" s="12" t="s">
        <v>287</v>
      </c>
      <c r="N38" s="14"/>
      <c r="O38" s="14"/>
    </row>
    <row r="39" customFormat="false" ht="23.85" hidden="false" customHeight="false" outlineLevel="0" collapsed="false">
      <c r="A39" s="15" t="s">
        <v>288</v>
      </c>
      <c r="B39" s="15" t="s">
        <v>30</v>
      </c>
      <c r="C39" s="15" t="s">
        <v>289</v>
      </c>
      <c r="D39" s="15" t="s">
        <v>290</v>
      </c>
      <c r="E39" s="15" t="s">
        <v>249</v>
      </c>
      <c r="F39" s="15" t="s">
        <v>291</v>
      </c>
      <c r="G39" s="15" t="s">
        <v>82</v>
      </c>
      <c r="H39" s="16" t="s">
        <v>21</v>
      </c>
      <c r="I39" s="15" t="s">
        <v>292</v>
      </c>
      <c r="J39" s="15" t="s">
        <v>293</v>
      </c>
      <c r="K39" s="15" t="s">
        <v>53</v>
      </c>
      <c r="L39" s="15" t="s">
        <v>44</v>
      </c>
      <c r="M39" s="15" t="s">
        <v>294</v>
      </c>
      <c r="N39" s="14"/>
      <c r="O39" s="14"/>
    </row>
    <row r="40" customFormat="false" ht="23.85" hidden="false" customHeight="false" outlineLevel="0" collapsed="false">
      <c r="A40" s="12" t="s">
        <v>295</v>
      </c>
      <c r="B40" s="12" t="s">
        <v>30</v>
      </c>
      <c r="C40" s="12" t="s">
        <v>258</v>
      </c>
      <c r="D40" s="12" t="s">
        <v>296</v>
      </c>
      <c r="E40" s="12" t="s">
        <v>297</v>
      </c>
      <c r="F40" s="12" t="s">
        <v>298</v>
      </c>
      <c r="G40" s="12" t="s">
        <v>82</v>
      </c>
      <c r="H40" s="13" t="s">
        <v>21</v>
      </c>
      <c r="I40" s="12" t="s">
        <v>299</v>
      </c>
      <c r="J40" s="12" t="s">
        <v>300</v>
      </c>
      <c r="K40" s="12" t="s">
        <v>53</v>
      </c>
      <c r="L40" s="12" t="s">
        <v>44</v>
      </c>
      <c r="M40" s="12" t="s">
        <v>301</v>
      </c>
      <c r="N40" s="14"/>
      <c r="O40" s="14"/>
    </row>
    <row r="41" customFormat="false" ht="23.85" hidden="false" customHeight="false" outlineLevel="0" collapsed="false">
      <c r="A41" s="15" t="s">
        <v>302</v>
      </c>
      <c r="B41" s="15" t="s">
        <v>30</v>
      </c>
      <c r="C41" s="15" t="s">
        <v>303</v>
      </c>
      <c r="D41" s="15" t="s">
        <v>304</v>
      </c>
      <c r="E41" s="15" t="s">
        <v>249</v>
      </c>
      <c r="F41" s="15" t="s">
        <v>305</v>
      </c>
      <c r="G41" s="15" t="s">
        <v>226</v>
      </c>
      <c r="H41" s="16" t="s">
        <v>19</v>
      </c>
      <c r="I41" s="15" t="s">
        <v>306</v>
      </c>
      <c r="J41" s="15" t="s">
        <v>307</v>
      </c>
      <c r="K41" s="15" t="s">
        <v>53</v>
      </c>
      <c r="L41" s="15" t="s">
        <v>43</v>
      </c>
      <c r="M41" s="15"/>
      <c r="N41" s="14"/>
      <c r="O41" s="14"/>
    </row>
    <row r="42" customFormat="false" ht="23.85" hidden="false" customHeight="false" outlineLevel="0" collapsed="false">
      <c r="A42" s="12" t="s">
        <v>308</v>
      </c>
      <c r="B42" s="12" t="s">
        <v>30</v>
      </c>
      <c r="C42" s="12" t="s">
        <v>98</v>
      </c>
      <c r="D42" s="12" t="s">
        <v>309</v>
      </c>
      <c r="E42" s="12" t="s">
        <v>249</v>
      </c>
      <c r="F42" s="12" t="s">
        <v>310</v>
      </c>
      <c r="G42" s="12" t="s">
        <v>226</v>
      </c>
      <c r="H42" s="13" t="s">
        <v>22</v>
      </c>
      <c r="I42" s="12" t="s">
        <v>149</v>
      </c>
      <c r="J42" s="12" t="s">
        <v>311</v>
      </c>
      <c r="K42" s="12" t="s">
        <v>53</v>
      </c>
      <c r="L42" s="12" t="s">
        <v>43</v>
      </c>
      <c r="M42" s="12"/>
      <c r="N42" s="14"/>
      <c r="O42" s="14"/>
    </row>
    <row r="43" customFormat="false" ht="23.85" hidden="false" customHeight="false" outlineLevel="0" collapsed="false">
      <c r="A43" s="15" t="s">
        <v>312</v>
      </c>
      <c r="B43" s="15" t="s">
        <v>30</v>
      </c>
      <c r="C43" s="15" t="s">
        <v>98</v>
      </c>
      <c r="D43" s="15" t="s">
        <v>313</v>
      </c>
      <c r="E43" s="15" t="s">
        <v>249</v>
      </c>
      <c r="F43" s="15" t="s">
        <v>314</v>
      </c>
      <c r="G43" s="15" t="s">
        <v>226</v>
      </c>
      <c r="H43" s="16" t="s">
        <v>21</v>
      </c>
      <c r="I43" s="15" t="s">
        <v>315</v>
      </c>
      <c r="J43" s="15" t="s">
        <v>316</v>
      </c>
      <c r="K43" s="15" t="s">
        <v>53</v>
      </c>
      <c r="L43" s="15" t="s">
        <v>43</v>
      </c>
      <c r="M43" s="15"/>
      <c r="N43" s="14"/>
      <c r="O43" s="14"/>
    </row>
    <row r="44" customFormat="false" ht="23.85" hidden="false" customHeight="false" outlineLevel="0" collapsed="false">
      <c r="A44" s="12" t="s">
        <v>317</v>
      </c>
      <c r="B44" s="12" t="s">
        <v>30</v>
      </c>
      <c r="C44" s="12" t="s">
        <v>98</v>
      </c>
      <c r="D44" s="12" t="s">
        <v>318</v>
      </c>
      <c r="E44" s="12" t="s">
        <v>249</v>
      </c>
      <c r="F44" s="12" t="s">
        <v>319</v>
      </c>
      <c r="G44" s="12" t="s">
        <v>226</v>
      </c>
      <c r="H44" s="13" t="s">
        <v>21</v>
      </c>
      <c r="I44" s="12" t="s">
        <v>320</v>
      </c>
      <c r="J44" s="12" t="s">
        <v>321</v>
      </c>
      <c r="K44" s="12" t="s">
        <v>53</v>
      </c>
      <c r="L44" s="12" t="s">
        <v>43</v>
      </c>
      <c r="M44" s="12"/>
      <c r="N44" s="14"/>
      <c r="O44" s="14"/>
    </row>
    <row r="45" customFormat="false" ht="23.85" hidden="false" customHeight="false" outlineLevel="0" collapsed="false">
      <c r="A45" s="15" t="s">
        <v>322</v>
      </c>
      <c r="B45" s="15" t="s">
        <v>30</v>
      </c>
      <c r="C45" s="15" t="s">
        <v>79</v>
      </c>
      <c r="D45" s="15" t="s">
        <v>323</v>
      </c>
      <c r="E45" s="15" t="s">
        <v>249</v>
      </c>
      <c r="F45" s="15" t="s">
        <v>324</v>
      </c>
      <c r="G45" s="15" t="s">
        <v>226</v>
      </c>
      <c r="H45" s="16" t="s">
        <v>22</v>
      </c>
      <c r="I45" s="15" t="s">
        <v>149</v>
      </c>
      <c r="J45" s="15" t="s">
        <v>325</v>
      </c>
      <c r="K45" s="15" t="s">
        <v>52</v>
      </c>
      <c r="L45" s="15" t="s">
        <v>44</v>
      </c>
      <c r="M45" s="15" t="s">
        <v>294</v>
      </c>
      <c r="N45" s="14"/>
      <c r="O45" s="14"/>
    </row>
    <row r="46" customFormat="false" ht="23.85" hidden="false" customHeight="false" outlineLevel="0" collapsed="false">
      <c r="A46" s="12" t="s">
        <v>326</v>
      </c>
      <c r="B46" s="12" t="s">
        <v>30</v>
      </c>
      <c r="C46" s="12" t="s">
        <v>282</v>
      </c>
      <c r="D46" s="12" t="s">
        <v>327</v>
      </c>
      <c r="E46" s="12" t="s">
        <v>328</v>
      </c>
      <c r="F46" s="12"/>
      <c r="G46" s="12" t="s">
        <v>108</v>
      </c>
      <c r="H46" s="13" t="s">
        <v>21</v>
      </c>
      <c r="I46" s="12" t="s">
        <v>329</v>
      </c>
      <c r="J46" s="12" t="s">
        <v>330</v>
      </c>
      <c r="K46" s="12" t="s">
        <v>53</v>
      </c>
      <c r="L46" s="12" t="s">
        <v>44</v>
      </c>
      <c r="M46" s="12" t="s">
        <v>294</v>
      </c>
      <c r="N46" s="14"/>
      <c r="O46" s="14"/>
    </row>
    <row r="47" customFormat="false" ht="23.85" hidden="false" customHeight="false" outlineLevel="0" collapsed="false">
      <c r="A47" s="15" t="s">
        <v>331</v>
      </c>
      <c r="B47" s="15" t="s">
        <v>30</v>
      </c>
      <c r="C47" s="15" t="s">
        <v>332</v>
      </c>
      <c r="D47" s="15" t="s">
        <v>333</v>
      </c>
      <c r="E47" s="15" t="s">
        <v>334</v>
      </c>
      <c r="F47" s="15"/>
      <c r="G47" s="15" t="s">
        <v>108</v>
      </c>
      <c r="H47" s="16" t="s">
        <v>22</v>
      </c>
      <c r="I47" s="15" t="s">
        <v>149</v>
      </c>
      <c r="J47" s="15" t="s">
        <v>335</v>
      </c>
      <c r="K47" s="15" t="s">
        <v>53</v>
      </c>
      <c r="L47" s="15" t="s">
        <v>44</v>
      </c>
      <c r="M47" s="15" t="s">
        <v>336</v>
      </c>
      <c r="N47" s="14"/>
      <c r="O47" s="14"/>
    </row>
    <row r="48" customFormat="false" ht="23.85" hidden="false" customHeight="false" outlineLevel="0" collapsed="false">
      <c r="A48" s="12" t="s">
        <v>337</v>
      </c>
      <c r="B48" s="12" t="s">
        <v>30</v>
      </c>
      <c r="C48" s="12" t="s">
        <v>338</v>
      </c>
      <c r="D48" s="12" t="s">
        <v>339</v>
      </c>
      <c r="E48" s="12" t="s">
        <v>340</v>
      </c>
      <c r="F48" s="12"/>
      <c r="G48" s="12" t="s">
        <v>108</v>
      </c>
      <c r="H48" s="13" t="s">
        <v>22</v>
      </c>
      <c r="I48" s="12" t="s">
        <v>149</v>
      </c>
      <c r="J48" s="12" t="s">
        <v>341</v>
      </c>
      <c r="K48" s="12" t="s">
        <v>53</v>
      </c>
      <c r="L48" s="12" t="s">
        <v>44</v>
      </c>
      <c r="M48" s="12" t="s">
        <v>342</v>
      </c>
      <c r="N48" s="14"/>
      <c r="O48" s="14"/>
    </row>
    <row r="49" customFormat="false" ht="23.85" hidden="false" customHeight="false" outlineLevel="0" collapsed="false">
      <c r="A49" s="15" t="s">
        <v>343</v>
      </c>
      <c r="B49" s="15" t="s">
        <v>30</v>
      </c>
      <c r="C49" s="15" t="s">
        <v>98</v>
      </c>
      <c r="D49" s="15" t="s">
        <v>344</v>
      </c>
      <c r="E49" s="15" t="s">
        <v>345</v>
      </c>
      <c r="F49" s="15"/>
      <c r="G49" s="15" t="s">
        <v>108</v>
      </c>
      <c r="H49" s="16" t="s">
        <v>22</v>
      </c>
      <c r="I49" s="15" t="s">
        <v>149</v>
      </c>
      <c r="J49" s="15" t="s">
        <v>346</v>
      </c>
      <c r="K49" s="15" t="s">
        <v>53</v>
      </c>
      <c r="L49" s="15" t="s">
        <v>43</v>
      </c>
      <c r="M49" s="15" t="s">
        <v>347</v>
      </c>
      <c r="N49" s="14"/>
      <c r="O49" s="14"/>
    </row>
    <row r="50" customFormat="false" ht="23.85" hidden="false" customHeight="false" outlineLevel="0" collapsed="false">
      <c r="A50" s="12" t="s">
        <v>348</v>
      </c>
      <c r="B50" s="12" t="s">
        <v>30</v>
      </c>
      <c r="C50" s="12" t="s">
        <v>98</v>
      </c>
      <c r="D50" s="12" t="s">
        <v>349</v>
      </c>
      <c r="E50" s="12" t="s">
        <v>350</v>
      </c>
      <c r="F50" s="12"/>
      <c r="G50" s="12" t="s">
        <v>108</v>
      </c>
      <c r="H50" s="13" t="s">
        <v>22</v>
      </c>
      <c r="I50" s="12" t="s">
        <v>351</v>
      </c>
      <c r="J50" s="12" t="s">
        <v>352</v>
      </c>
      <c r="K50" s="12" t="s">
        <v>53</v>
      </c>
      <c r="L50" s="12" t="s">
        <v>43</v>
      </c>
      <c r="M50" s="12" t="s">
        <v>353</v>
      </c>
      <c r="N50" s="14"/>
      <c r="O50" s="14"/>
    </row>
    <row r="51" customFormat="false" ht="23.85" hidden="false" customHeight="false" outlineLevel="0" collapsed="false">
      <c r="A51" s="15" t="s">
        <v>354</v>
      </c>
      <c r="B51" s="15" t="s">
        <v>31</v>
      </c>
      <c r="C51" s="15" t="s">
        <v>258</v>
      </c>
      <c r="D51" s="15" t="s">
        <v>355</v>
      </c>
      <c r="E51" s="15" t="s">
        <v>356</v>
      </c>
      <c r="F51" s="15" t="s">
        <v>357</v>
      </c>
      <c r="G51" s="15" t="s">
        <v>82</v>
      </c>
      <c r="H51" s="16" t="s">
        <v>22</v>
      </c>
      <c r="I51" s="15" t="s">
        <v>149</v>
      </c>
      <c r="J51" s="15" t="s">
        <v>358</v>
      </c>
      <c r="K51" s="15" t="s">
        <v>48</v>
      </c>
      <c r="L51" s="15" t="s">
        <v>44</v>
      </c>
      <c r="M51" s="15"/>
      <c r="N51" s="14"/>
      <c r="O51" s="14"/>
    </row>
    <row r="52" customFormat="false" ht="23.85" hidden="false" customHeight="false" outlineLevel="0" collapsed="false">
      <c r="A52" s="12" t="s">
        <v>359</v>
      </c>
      <c r="B52" s="12" t="s">
        <v>31</v>
      </c>
      <c r="C52" s="12" t="s">
        <v>303</v>
      </c>
      <c r="D52" s="12" t="s">
        <v>360</v>
      </c>
      <c r="E52" s="12" t="s">
        <v>249</v>
      </c>
      <c r="F52" s="12" t="s">
        <v>361</v>
      </c>
      <c r="G52" s="12" t="s">
        <v>226</v>
      </c>
      <c r="H52" s="13" t="s">
        <v>21</v>
      </c>
      <c r="I52" s="12" t="s">
        <v>362</v>
      </c>
      <c r="J52" s="12" t="s">
        <v>363</v>
      </c>
      <c r="K52" s="12" t="s">
        <v>48</v>
      </c>
      <c r="L52" s="12" t="s">
        <v>43</v>
      </c>
      <c r="M52" s="12"/>
      <c r="N52" s="14"/>
      <c r="O52" s="14"/>
    </row>
    <row r="53" customFormat="false" ht="35.05" hidden="false" customHeight="false" outlineLevel="0" collapsed="false">
      <c r="A53" s="15" t="s">
        <v>364</v>
      </c>
      <c r="B53" s="15" t="s">
        <v>31</v>
      </c>
      <c r="C53" s="15" t="s">
        <v>98</v>
      </c>
      <c r="D53" s="15" t="s">
        <v>365</v>
      </c>
      <c r="E53" s="15" t="s">
        <v>366</v>
      </c>
      <c r="F53" s="15" t="s">
        <v>367</v>
      </c>
      <c r="G53" s="15" t="s">
        <v>226</v>
      </c>
      <c r="H53" s="16" t="s">
        <v>21</v>
      </c>
      <c r="I53" s="15" t="s">
        <v>368</v>
      </c>
      <c r="J53" s="15" t="s">
        <v>369</v>
      </c>
      <c r="K53" s="15" t="s">
        <v>48</v>
      </c>
      <c r="L53" s="15" t="s">
        <v>45</v>
      </c>
      <c r="M53" s="15" t="s">
        <v>370</v>
      </c>
      <c r="N53" s="14"/>
      <c r="O53" s="14"/>
    </row>
    <row r="54" customFormat="false" ht="23.85" hidden="false" customHeight="false" outlineLevel="0" collapsed="false">
      <c r="A54" s="12" t="s">
        <v>371</v>
      </c>
      <c r="B54" s="12" t="s">
        <v>31</v>
      </c>
      <c r="C54" s="12" t="s">
        <v>303</v>
      </c>
      <c r="D54" s="12" t="s">
        <v>372</v>
      </c>
      <c r="E54" s="12" t="s">
        <v>249</v>
      </c>
      <c r="F54" s="12" t="s">
        <v>373</v>
      </c>
      <c r="G54" s="12" t="s">
        <v>226</v>
      </c>
      <c r="H54" s="13" t="s">
        <v>22</v>
      </c>
      <c r="I54" s="12" t="s">
        <v>149</v>
      </c>
      <c r="J54" s="12" t="s">
        <v>374</v>
      </c>
      <c r="K54" s="12" t="s">
        <v>48</v>
      </c>
      <c r="L54" s="12" t="s">
        <v>43</v>
      </c>
      <c r="M54" s="12"/>
      <c r="N54" s="14"/>
      <c r="O54" s="14"/>
    </row>
    <row r="55" customFormat="false" ht="23.85" hidden="false" customHeight="false" outlineLevel="0" collapsed="false">
      <c r="A55" s="15" t="s">
        <v>375</v>
      </c>
      <c r="B55" s="15" t="s">
        <v>31</v>
      </c>
      <c r="C55" s="15" t="s">
        <v>98</v>
      </c>
      <c r="D55" s="15" t="s">
        <v>376</v>
      </c>
      <c r="E55" s="15" t="s">
        <v>249</v>
      </c>
      <c r="F55" s="15" t="s">
        <v>377</v>
      </c>
      <c r="G55" s="15" t="s">
        <v>226</v>
      </c>
      <c r="H55" s="16" t="s">
        <v>21</v>
      </c>
      <c r="I55" s="15" t="s">
        <v>378</v>
      </c>
      <c r="J55" s="15" t="s">
        <v>379</v>
      </c>
      <c r="K55" s="15" t="s">
        <v>48</v>
      </c>
      <c r="L55" s="15" t="s">
        <v>43</v>
      </c>
      <c r="M55" s="15"/>
      <c r="N55" s="14"/>
      <c r="O55" s="14"/>
    </row>
    <row r="56" customFormat="false" ht="23.85" hidden="false" customHeight="false" outlineLevel="0" collapsed="false">
      <c r="A56" s="12" t="s">
        <v>380</v>
      </c>
      <c r="B56" s="12" t="s">
        <v>31</v>
      </c>
      <c r="C56" s="12" t="s">
        <v>338</v>
      </c>
      <c r="D56" s="12" t="s">
        <v>381</v>
      </c>
      <c r="E56" s="12" t="s">
        <v>249</v>
      </c>
      <c r="F56" s="12" t="s">
        <v>382</v>
      </c>
      <c r="G56" s="12" t="s">
        <v>226</v>
      </c>
      <c r="H56" s="13" t="s">
        <v>21</v>
      </c>
      <c r="I56" s="12" t="s">
        <v>378</v>
      </c>
      <c r="J56" s="12" t="s">
        <v>383</v>
      </c>
      <c r="K56" s="12" t="s">
        <v>48</v>
      </c>
      <c r="L56" s="12" t="s">
        <v>43</v>
      </c>
      <c r="M56" s="12"/>
      <c r="N56" s="14"/>
      <c r="O56" s="14"/>
    </row>
    <row r="57" customFormat="false" ht="35.05" hidden="false" customHeight="false" outlineLevel="0" collapsed="false">
      <c r="A57" s="15" t="s">
        <v>384</v>
      </c>
      <c r="B57" s="15" t="s">
        <v>31</v>
      </c>
      <c r="C57" s="15" t="s">
        <v>79</v>
      </c>
      <c r="D57" s="15" t="s">
        <v>385</v>
      </c>
      <c r="E57" s="15" t="s">
        <v>249</v>
      </c>
      <c r="F57" s="15" t="s">
        <v>386</v>
      </c>
      <c r="G57" s="15" t="s">
        <v>226</v>
      </c>
      <c r="H57" s="16" t="s">
        <v>22</v>
      </c>
      <c r="I57" s="15" t="s">
        <v>149</v>
      </c>
      <c r="J57" s="15" t="s">
        <v>387</v>
      </c>
      <c r="K57" s="15" t="s">
        <v>52</v>
      </c>
      <c r="L57" s="15" t="s">
        <v>44</v>
      </c>
      <c r="M57" s="15" t="s">
        <v>370</v>
      </c>
      <c r="N57" s="14"/>
      <c r="O57" s="14"/>
    </row>
    <row r="58" customFormat="false" ht="23.85" hidden="false" customHeight="false" outlineLevel="0" collapsed="false">
      <c r="A58" s="12" t="s">
        <v>388</v>
      </c>
      <c r="B58" s="12" t="s">
        <v>31</v>
      </c>
      <c r="C58" s="12" t="s">
        <v>98</v>
      </c>
      <c r="D58" s="12" t="s">
        <v>389</v>
      </c>
      <c r="E58" s="12" t="s">
        <v>390</v>
      </c>
      <c r="F58" s="12"/>
      <c r="G58" s="12" t="s">
        <v>108</v>
      </c>
      <c r="H58" s="13" t="s">
        <v>22</v>
      </c>
      <c r="I58" s="12" t="s">
        <v>391</v>
      </c>
      <c r="J58" s="12" t="s">
        <v>392</v>
      </c>
      <c r="K58" s="12" t="s">
        <v>48</v>
      </c>
      <c r="L58" s="12" t="s">
        <v>43</v>
      </c>
      <c r="M58" s="12"/>
      <c r="N58" s="14"/>
      <c r="O58" s="14"/>
    </row>
    <row r="59" customFormat="false" ht="23.85" hidden="false" customHeight="false" outlineLevel="0" collapsed="false">
      <c r="A59" s="15" t="s">
        <v>393</v>
      </c>
      <c r="B59" s="15" t="s">
        <v>33</v>
      </c>
      <c r="C59" s="15" t="s">
        <v>258</v>
      </c>
      <c r="D59" s="15" t="s">
        <v>394</v>
      </c>
      <c r="E59" s="15" t="s">
        <v>395</v>
      </c>
      <c r="F59" s="15" t="s">
        <v>396</v>
      </c>
      <c r="G59" s="15" t="s">
        <v>82</v>
      </c>
      <c r="H59" s="16" t="s">
        <v>21</v>
      </c>
      <c r="I59" s="15" t="s">
        <v>397</v>
      </c>
      <c r="J59" s="15" t="s">
        <v>398</v>
      </c>
      <c r="K59" s="15" t="s">
        <v>33</v>
      </c>
      <c r="L59" s="15" t="s">
        <v>43</v>
      </c>
      <c r="M59" s="15" t="s">
        <v>399</v>
      </c>
      <c r="N59" s="14"/>
      <c r="O59" s="14"/>
    </row>
    <row r="60" customFormat="false" ht="23.85" hidden="false" customHeight="false" outlineLevel="0" collapsed="false">
      <c r="A60" s="12" t="s">
        <v>400</v>
      </c>
      <c r="B60" s="12" t="s">
        <v>33</v>
      </c>
      <c r="C60" s="12" t="s">
        <v>401</v>
      </c>
      <c r="D60" s="12" t="s">
        <v>402</v>
      </c>
      <c r="E60" s="12" t="s">
        <v>249</v>
      </c>
      <c r="F60" s="12" t="s">
        <v>403</v>
      </c>
      <c r="G60" s="12" t="s">
        <v>226</v>
      </c>
      <c r="H60" s="13" t="s">
        <v>21</v>
      </c>
      <c r="I60" s="12" t="s">
        <v>404</v>
      </c>
      <c r="J60" s="12" t="s">
        <v>405</v>
      </c>
      <c r="K60" s="12" t="s">
        <v>33</v>
      </c>
      <c r="L60" s="12" t="s">
        <v>43</v>
      </c>
      <c r="M60" s="12"/>
      <c r="N60" s="14"/>
      <c r="O60" s="14"/>
    </row>
    <row r="61" customFormat="false" ht="23.85" hidden="false" customHeight="false" outlineLevel="0" collapsed="false">
      <c r="A61" s="15" t="s">
        <v>406</v>
      </c>
      <c r="B61" s="15" t="s">
        <v>33</v>
      </c>
      <c r="C61" s="15" t="s">
        <v>303</v>
      </c>
      <c r="D61" s="15" t="s">
        <v>407</v>
      </c>
      <c r="E61" s="15" t="s">
        <v>249</v>
      </c>
      <c r="F61" s="15" t="s">
        <v>408</v>
      </c>
      <c r="G61" s="15" t="s">
        <v>226</v>
      </c>
      <c r="H61" s="16" t="s">
        <v>21</v>
      </c>
      <c r="I61" s="15" t="s">
        <v>409</v>
      </c>
      <c r="J61" s="15" t="s">
        <v>410</v>
      </c>
      <c r="K61" s="15" t="s">
        <v>33</v>
      </c>
      <c r="L61" s="15" t="s">
        <v>43</v>
      </c>
      <c r="M61" s="15"/>
      <c r="N61" s="14"/>
      <c r="O61" s="14"/>
    </row>
    <row r="62" customFormat="false" ht="23.85" hidden="false" customHeight="false" outlineLevel="0" collapsed="false">
      <c r="A62" s="12" t="s">
        <v>411</v>
      </c>
      <c r="B62" s="12" t="s">
        <v>33</v>
      </c>
      <c r="C62" s="12" t="s">
        <v>79</v>
      </c>
      <c r="D62" s="12" t="s">
        <v>412</v>
      </c>
      <c r="E62" s="12" t="s">
        <v>413</v>
      </c>
      <c r="F62" s="12"/>
      <c r="G62" s="12" t="s">
        <v>108</v>
      </c>
      <c r="H62" s="13" t="s">
        <v>22</v>
      </c>
      <c r="I62" s="12" t="s">
        <v>149</v>
      </c>
      <c r="J62" s="12" t="s">
        <v>414</v>
      </c>
      <c r="K62" s="12" t="s">
        <v>33</v>
      </c>
      <c r="L62" s="12" t="s">
        <v>46</v>
      </c>
      <c r="M62" s="12" t="s">
        <v>415</v>
      </c>
      <c r="N62" s="14"/>
      <c r="O62" s="14"/>
    </row>
    <row r="63" customFormat="false" ht="23.85" hidden="false" customHeight="false" outlineLevel="0" collapsed="false">
      <c r="A63" s="15" t="s">
        <v>416</v>
      </c>
      <c r="B63" s="15" t="s">
        <v>33</v>
      </c>
      <c r="C63" s="15" t="s">
        <v>79</v>
      </c>
      <c r="D63" s="15" t="s">
        <v>417</v>
      </c>
      <c r="E63" s="15" t="s">
        <v>418</v>
      </c>
      <c r="F63" s="15"/>
      <c r="G63" s="15" t="s">
        <v>108</v>
      </c>
      <c r="H63" s="16" t="s">
        <v>22</v>
      </c>
      <c r="I63" s="15" t="s">
        <v>149</v>
      </c>
      <c r="J63" s="15" t="s">
        <v>419</v>
      </c>
      <c r="K63" s="15" t="s">
        <v>64</v>
      </c>
      <c r="L63" s="15" t="s">
        <v>44</v>
      </c>
      <c r="M63" s="15" t="s">
        <v>415</v>
      </c>
      <c r="N63" s="14"/>
      <c r="O63" s="14"/>
    </row>
    <row r="64" customFormat="false" ht="23.85" hidden="false" customHeight="false" outlineLevel="0" collapsed="false">
      <c r="A64" s="12" t="s">
        <v>420</v>
      </c>
      <c r="B64" s="12" t="s">
        <v>34</v>
      </c>
      <c r="C64" s="12" t="s">
        <v>98</v>
      </c>
      <c r="D64" s="12" t="s">
        <v>421</v>
      </c>
      <c r="E64" s="12" t="s">
        <v>422</v>
      </c>
      <c r="F64" s="12" t="s">
        <v>423</v>
      </c>
      <c r="G64" s="12" t="s">
        <v>82</v>
      </c>
      <c r="H64" s="13" t="s">
        <v>22</v>
      </c>
      <c r="I64" s="12" t="s">
        <v>424</v>
      </c>
      <c r="J64" s="12" t="s">
        <v>425</v>
      </c>
      <c r="K64" s="12" t="s">
        <v>64</v>
      </c>
      <c r="L64" s="12" t="s">
        <v>43</v>
      </c>
      <c r="M64" s="12"/>
      <c r="N64" s="14"/>
      <c r="O64" s="14"/>
    </row>
    <row r="65" customFormat="false" ht="23.85" hidden="false" customHeight="false" outlineLevel="0" collapsed="false">
      <c r="A65" s="15" t="s">
        <v>426</v>
      </c>
      <c r="B65" s="15" t="s">
        <v>34</v>
      </c>
      <c r="C65" s="15" t="s">
        <v>338</v>
      </c>
      <c r="D65" s="15" t="s">
        <v>427</v>
      </c>
      <c r="E65" s="15" t="s">
        <v>249</v>
      </c>
      <c r="F65" s="15" t="s">
        <v>428</v>
      </c>
      <c r="G65" s="15" t="s">
        <v>82</v>
      </c>
      <c r="H65" s="16" t="s">
        <v>22</v>
      </c>
      <c r="I65" s="15" t="s">
        <v>149</v>
      </c>
      <c r="J65" s="15" t="s">
        <v>429</v>
      </c>
      <c r="K65" s="15" t="s">
        <v>57</v>
      </c>
      <c r="L65" s="15" t="s">
        <v>44</v>
      </c>
      <c r="M65" s="15"/>
      <c r="N65" s="14"/>
      <c r="O65" s="14"/>
    </row>
    <row r="66" customFormat="false" ht="23.85" hidden="false" customHeight="false" outlineLevel="0" collapsed="false">
      <c r="A66" s="12" t="s">
        <v>430</v>
      </c>
      <c r="B66" s="12" t="s">
        <v>34</v>
      </c>
      <c r="C66" s="12" t="s">
        <v>98</v>
      </c>
      <c r="D66" s="12" t="s">
        <v>431</v>
      </c>
      <c r="E66" s="12" t="s">
        <v>249</v>
      </c>
      <c r="F66" s="12" t="s">
        <v>432</v>
      </c>
      <c r="G66" s="12" t="s">
        <v>226</v>
      </c>
      <c r="H66" s="13" t="s">
        <v>22</v>
      </c>
      <c r="I66" s="12" t="s">
        <v>149</v>
      </c>
      <c r="J66" s="12" t="s">
        <v>433</v>
      </c>
      <c r="K66" s="12" t="s">
        <v>64</v>
      </c>
      <c r="L66" s="12" t="s">
        <v>43</v>
      </c>
      <c r="M66" s="12"/>
      <c r="N66" s="14"/>
      <c r="O66" s="14"/>
    </row>
    <row r="67" customFormat="false" ht="23.85" hidden="false" customHeight="false" outlineLevel="0" collapsed="false">
      <c r="A67" s="15" t="s">
        <v>434</v>
      </c>
      <c r="B67" s="15" t="s">
        <v>34</v>
      </c>
      <c r="C67" s="15" t="s">
        <v>338</v>
      </c>
      <c r="D67" s="15" t="s">
        <v>435</v>
      </c>
      <c r="E67" s="15" t="s">
        <v>249</v>
      </c>
      <c r="F67" s="15" t="s">
        <v>436</v>
      </c>
      <c r="G67" s="15" t="s">
        <v>226</v>
      </c>
      <c r="H67" s="16" t="s">
        <v>22</v>
      </c>
      <c r="I67" s="15" t="s">
        <v>149</v>
      </c>
      <c r="J67" s="15" t="s">
        <v>437</v>
      </c>
      <c r="K67" s="15" t="s">
        <v>57</v>
      </c>
      <c r="L67" s="15" t="s">
        <v>43</v>
      </c>
      <c r="M67" s="15"/>
      <c r="N67" s="14"/>
      <c r="O67" s="14"/>
    </row>
    <row r="68" customFormat="false" ht="23.85" hidden="false" customHeight="false" outlineLevel="0" collapsed="false">
      <c r="A68" s="12" t="s">
        <v>438</v>
      </c>
      <c r="B68" s="12" t="s">
        <v>34</v>
      </c>
      <c r="C68" s="12" t="s">
        <v>338</v>
      </c>
      <c r="D68" s="12" t="s">
        <v>439</v>
      </c>
      <c r="E68" s="12" t="s">
        <v>249</v>
      </c>
      <c r="F68" s="12" t="s">
        <v>440</v>
      </c>
      <c r="G68" s="12" t="s">
        <v>226</v>
      </c>
      <c r="H68" s="13" t="s">
        <v>22</v>
      </c>
      <c r="I68" s="12" t="s">
        <v>149</v>
      </c>
      <c r="J68" s="12" t="s">
        <v>441</v>
      </c>
      <c r="K68" s="12" t="s">
        <v>57</v>
      </c>
      <c r="L68" s="12" t="s">
        <v>43</v>
      </c>
      <c r="M68" s="12"/>
      <c r="N68" s="14"/>
      <c r="O68" s="14"/>
    </row>
    <row r="69" customFormat="false" ht="23.85" hidden="false" customHeight="false" outlineLevel="0" collapsed="false">
      <c r="A69" s="15" t="s">
        <v>442</v>
      </c>
      <c r="B69" s="15" t="s">
        <v>34</v>
      </c>
      <c r="C69" s="15" t="s">
        <v>98</v>
      </c>
      <c r="D69" s="15" t="s">
        <v>443</v>
      </c>
      <c r="E69" s="15" t="s">
        <v>249</v>
      </c>
      <c r="F69" s="15" t="s">
        <v>444</v>
      </c>
      <c r="G69" s="15" t="s">
        <v>445</v>
      </c>
      <c r="H69" s="16" t="s">
        <v>22</v>
      </c>
      <c r="I69" s="15" t="s">
        <v>149</v>
      </c>
      <c r="J69" s="15" t="s">
        <v>446</v>
      </c>
      <c r="K69" s="15" t="s">
        <v>57</v>
      </c>
      <c r="L69" s="15" t="s">
        <v>43</v>
      </c>
      <c r="M69" s="15" t="s">
        <v>447</v>
      </c>
      <c r="N69" s="14"/>
      <c r="O69" s="14"/>
    </row>
    <row r="70" customFormat="false" ht="35.05" hidden="false" customHeight="false" outlineLevel="0" collapsed="false">
      <c r="A70" s="12" t="s">
        <v>448</v>
      </c>
      <c r="B70" s="12" t="s">
        <v>34</v>
      </c>
      <c r="C70" s="12" t="s">
        <v>449</v>
      </c>
      <c r="D70" s="12" t="s">
        <v>450</v>
      </c>
      <c r="E70" s="12" t="s">
        <v>451</v>
      </c>
      <c r="F70" s="12" t="s">
        <v>452</v>
      </c>
      <c r="G70" s="12" t="s">
        <v>453</v>
      </c>
      <c r="H70" s="13" t="s">
        <v>22</v>
      </c>
      <c r="I70" s="12" t="s">
        <v>149</v>
      </c>
      <c r="J70" s="12" t="s">
        <v>454</v>
      </c>
      <c r="K70" s="12" t="s">
        <v>57</v>
      </c>
      <c r="L70" s="12" t="s">
        <v>44</v>
      </c>
      <c r="M70" s="12" t="s">
        <v>455</v>
      </c>
      <c r="N70" s="14"/>
      <c r="O70" s="14"/>
    </row>
    <row r="71" customFormat="false" ht="23.85" hidden="false" customHeight="false" outlineLevel="0" collapsed="false">
      <c r="A71" s="15" t="s">
        <v>456</v>
      </c>
      <c r="B71" s="15" t="s">
        <v>34</v>
      </c>
      <c r="C71" s="15" t="s">
        <v>79</v>
      </c>
      <c r="D71" s="15" t="s">
        <v>457</v>
      </c>
      <c r="E71" s="15" t="s">
        <v>249</v>
      </c>
      <c r="F71" s="15" t="s">
        <v>458</v>
      </c>
      <c r="G71" s="15" t="s">
        <v>226</v>
      </c>
      <c r="H71" s="16" t="s">
        <v>22</v>
      </c>
      <c r="I71" s="15" t="s">
        <v>149</v>
      </c>
      <c r="J71" s="15" t="s">
        <v>459</v>
      </c>
      <c r="K71" s="15" t="s">
        <v>57</v>
      </c>
      <c r="L71" s="15" t="s">
        <v>44</v>
      </c>
      <c r="M71" s="15" t="s">
        <v>140</v>
      </c>
      <c r="N71" s="14"/>
      <c r="O71" s="14"/>
    </row>
    <row r="72" customFormat="false" ht="23.85" hidden="false" customHeight="false" outlineLevel="0" collapsed="false">
      <c r="A72" s="12" t="s">
        <v>460</v>
      </c>
      <c r="B72" s="12" t="s">
        <v>34</v>
      </c>
      <c r="C72" s="12" t="s">
        <v>79</v>
      </c>
      <c r="D72" s="12" t="s">
        <v>461</v>
      </c>
      <c r="E72" s="12" t="s">
        <v>249</v>
      </c>
      <c r="F72" s="12" t="s">
        <v>462</v>
      </c>
      <c r="G72" s="12" t="s">
        <v>226</v>
      </c>
      <c r="H72" s="13" t="s">
        <v>22</v>
      </c>
      <c r="I72" s="12" t="s">
        <v>149</v>
      </c>
      <c r="J72" s="12" t="s">
        <v>463</v>
      </c>
      <c r="K72" s="12" t="s">
        <v>57</v>
      </c>
      <c r="L72" s="12" t="s">
        <v>43</v>
      </c>
      <c r="M72" s="12" t="s">
        <v>464</v>
      </c>
      <c r="N72" s="14"/>
      <c r="O72" s="14"/>
    </row>
    <row r="73" customFormat="false" ht="23.85" hidden="false" customHeight="false" outlineLevel="0" collapsed="false">
      <c r="A73" s="15" t="s">
        <v>465</v>
      </c>
      <c r="B73" s="15" t="s">
        <v>34</v>
      </c>
      <c r="C73" s="15" t="s">
        <v>98</v>
      </c>
      <c r="D73" s="15" t="s">
        <v>466</v>
      </c>
      <c r="E73" s="15" t="s">
        <v>467</v>
      </c>
      <c r="F73" s="15"/>
      <c r="G73" s="15" t="s">
        <v>108</v>
      </c>
      <c r="H73" s="16" t="s">
        <v>22</v>
      </c>
      <c r="I73" s="15" t="s">
        <v>149</v>
      </c>
      <c r="J73" s="15" t="s">
        <v>468</v>
      </c>
      <c r="K73" s="15" t="s">
        <v>57</v>
      </c>
      <c r="L73" s="15" t="s">
        <v>43</v>
      </c>
      <c r="M73" s="15" t="s">
        <v>464</v>
      </c>
      <c r="N73" s="14"/>
      <c r="O73" s="14"/>
    </row>
    <row r="74" customFormat="false" ht="46.25" hidden="false" customHeight="false" outlineLevel="0" collapsed="false">
      <c r="A74" s="12" t="s">
        <v>469</v>
      </c>
      <c r="B74" s="12" t="s">
        <v>35</v>
      </c>
      <c r="C74" s="12" t="s">
        <v>79</v>
      </c>
      <c r="D74" s="12" t="s">
        <v>470</v>
      </c>
      <c r="E74" s="12" t="s">
        <v>249</v>
      </c>
      <c r="F74" s="12" t="s">
        <v>471</v>
      </c>
      <c r="G74" s="12" t="s">
        <v>226</v>
      </c>
      <c r="H74" s="13" t="s">
        <v>22</v>
      </c>
      <c r="I74" s="12" t="s">
        <v>472</v>
      </c>
      <c r="J74" s="12" t="s">
        <v>473</v>
      </c>
      <c r="K74" s="12" t="s">
        <v>50</v>
      </c>
      <c r="L74" s="12" t="s">
        <v>45</v>
      </c>
      <c r="M74" s="12" t="s">
        <v>474</v>
      </c>
      <c r="N74" s="14"/>
      <c r="O74" s="14"/>
    </row>
    <row r="75" customFormat="false" ht="23.85" hidden="false" customHeight="false" outlineLevel="0" collapsed="false">
      <c r="A75" s="15" t="s">
        <v>475</v>
      </c>
      <c r="B75" s="15" t="s">
        <v>35</v>
      </c>
      <c r="C75" s="15" t="s">
        <v>79</v>
      </c>
      <c r="D75" s="15" t="s">
        <v>476</v>
      </c>
      <c r="E75" s="15" t="s">
        <v>249</v>
      </c>
      <c r="F75" s="15" t="s">
        <v>477</v>
      </c>
      <c r="G75" s="15" t="s">
        <v>226</v>
      </c>
      <c r="H75" s="16" t="s">
        <v>21</v>
      </c>
      <c r="I75" s="15" t="s">
        <v>478</v>
      </c>
      <c r="J75" s="15" t="s">
        <v>479</v>
      </c>
      <c r="K75" s="15" t="s">
        <v>50</v>
      </c>
      <c r="L75" s="15" t="s">
        <v>44</v>
      </c>
      <c r="M75" s="15" t="s">
        <v>474</v>
      </c>
      <c r="N75" s="14"/>
      <c r="O75" s="14"/>
    </row>
    <row r="76" customFormat="false" ht="23.85" hidden="false" customHeight="false" outlineLevel="0" collapsed="false">
      <c r="A76" s="12" t="s">
        <v>480</v>
      </c>
      <c r="B76" s="12" t="s">
        <v>35</v>
      </c>
      <c r="C76" s="12" t="s">
        <v>98</v>
      </c>
      <c r="D76" s="12" t="s">
        <v>481</v>
      </c>
      <c r="E76" s="12" t="s">
        <v>482</v>
      </c>
      <c r="F76" s="12"/>
      <c r="G76" s="12" t="s">
        <v>108</v>
      </c>
      <c r="H76" s="13" t="s">
        <v>22</v>
      </c>
      <c r="I76" s="12" t="s">
        <v>149</v>
      </c>
      <c r="J76" s="12" t="s">
        <v>483</v>
      </c>
      <c r="K76" s="12" t="s">
        <v>50</v>
      </c>
      <c r="L76" s="12" t="s">
        <v>44</v>
      </c>
      <c r="M76" s="12" t="s">
        <v>484</v>
      </c>
      <c r="N76" s="14"/>
      <c r="O76" s="14"/>
    </row>
    <row r="77" customFormat="false" ht="23.85" hidden="false" customHeight="false" outlineLevel="0" collapsed="false">
      <c r="A77" s="15" t="s">
        <v>485</v>
      </c>
      <c r="B77" s="15" t="s">
        <v>36</v>
      </c>
      <c r="C77" s="15" t="s">
        <v>486</v>
      </c>
      <c r="D77" s="15" t="s">
        <v>487</v>
      </c>
      <c r="E77" s="15" t="s">
        <v>249</v>
      </c>
      <c r="F77" s="15" t="s">
        <v>488</v>
      </c>
      <c r="G77" s="15" t="s">
        <v>82</v>
      </c>
      <c r="H77" s="16" t="s">
        <v>22</v>
      </c>
      <c r="I77" s="15" t="s">
        <v>149</v>
      </c>
      <c r="J77" s="15" t="s">
        <v>489</v>
      </c>
      <c r="K77" s="15" t="s">
        <v>33</v>
      </c>
      <c r="L77" s="15" t="s">
        <v>44</v>
      </c>
      <c r="M77" s="15" t="s">
        <v>166</v>
      </c>
      <c r="N77" s="14"/>
      <c r="O77" s="14"/>
    </row>
    <row r="78" customFormat="false" ht="23.85" hidden="false" customHeight="false" outlineLevel="0" collapsed="false">
      <c r="A78" s="12" t="s">
        <v>490</v>
      </c>
      <c r="B78" s="12" t="s">
        <v>36</v>
      </c>
      <c r="C78" s="12" t="s">
        <v>98</v>
      </c>
      <c r="D78" s="12" t="s">
        <v>491</v>
      </c>
      <c r="E78" s="12" t="s">
        <v>249</v>
      </c>
      <c r="F78" s="12" t="s">
        <v>492</v>
      </c>
      <c r="G78" s="12" t="s">
        <v>226</v>
      </c>
      <c r="H78" s="13" t="s">
        <v>22</v>
      </c>
      <c r="I78" s="12" t="s">
        <v>149</v>
      </c>
      <c r="J78" s="12" t="s">
        <v>493</v>
      </c>
      <c r="K78" s="12" t="s">
        <v>59</v>
      </c>
      <c r="L78" s="12" t="s">
        <v>44</v>
      </c>
      <c r="M78" s="12"/>
      <c r="N78" s="14"/>
      <c r="O78" s="14"/>
    </row>
    <row r="79" customFormat="false" ht="23.85" hidden="false" customHeight="false" outlineLevel="0" collapsed="false">
      <c r="A79" s="15" t="s">
        <v>494</v>
      </c>
      <c r="B79" s="15" t="s">
        <v>36</v>
      </c>
      <c r="C79" s="15" t="s">
        <v>79</v>
      </c>
      <c r="D79" s="15" t="s">
        <v>495</v>
      </c>
      <c r="E79" s="15" t="s">
        <v>249</v>
      </c>
      <c r="F79" s="15" t="s">
        <v>496</v>
      </c>
      <c r="G79" s="15" t="s">
        <v>226</v>
      </c>
      <c r="H79" s="16" t="s">
        <v>22</v>
      </c>
      <c r="I79" s="15" t="s">
        <v>149</v>
      </c>
      <c r="J79" s="15" t="s">
        <v>497</v>
      </c>
      <c r="K79" s="15" t="s">
        <v>59</v>
      </c>
      <c r="L79" s="15" t="s">
        <v>44</v>
      </c>
      <c r="M79" s="15" t="s">
        <v>498</v>
      </c>
      <c r="N79" s="14"/>
      <c r="O79" s="14"/>
    </row>
    <row r="80" customFormat="false" ht="23.85" hidden="false" customHeight="false" outlineLevel="0" collapsed="false">
      <c r="A80" s="12" t="s">
        <v>499</v>
      </c>
      <c r="B80" s="12" t="s">
        <v>36</v>
      </c>
      <c r="C80" s="12" t="s">
        <v>79</v>
      </c>
      <c r="D80" s="12" t="s">
        <v>500</v>
      </c>
      <c r="E80" s="12" t="s">
        <v>501</v>
      </c>
      <c r="F80" s="12"/>
      <c r="G80" s="12" t="s">
        <v>108</v>
      </c>
      <c r="H80" s="13" t="s">
        <v>22</v>
      </c>
      <c r="I80" s="12" t="s">
        <v>149</v>
      </c>
      <c r="J80" s="12" t="s">
        <v>502</v>
      </c>
      <c r="K80" s="12" t="s">
        <v>59</v>
      </c>
      <c r="L80" s="12" t="s">
        <v>43</v>
      </c>
      <c r="M80" s="12" t="s">
        <v>498</v>
      </c>
      <c r="N80" s="14"/>
      <c r="O80" s="14"/>
    </row>
    <row r="81" customFormat="false" ht="23.85" hidden="false" customHeight="false" outlineLevel="0" collapsed="false">
      <c r="A81" s="15" t="s">
        <v>503</v>
      </c>
      <c r="B81" s="15" t="s">
        <v>36</v>
      </c>
      <c r="C81" s="15" t="s">
        <v>79</v>
      </c>
      <c r="D81" s="15" t="s">
        <v>504</v>
      </c>
      <c r="E81" s="15" t="s">
        <v>249</v>
      </c>
      <c r="F81" s="15" t="s">
        <v>505</v>
      </c>
      <c r="G81" s="15" t="s">
        <v>226</v>
      </c>
      <c r="H81" s="16" t="s">
        <v>22</v>
      </c>
      <c r="I81" s="15" t="s">
        <v>149</v>
      </c>
      <c r="J81" s="15" t="s">
        <v>506</v>
      </c>
      <c r="K81" s="15" t="s">
        <v>59</v>
      </c>
      <c r="L81" s="15" t="s">
        <v>44</v>
      </c>
      <c r="M81" s="15" t="s">
        <v>507</v>
      </c>
      <c r="N81" s="14"/>
      <c r="O81" s="14"/>
    </row>
    <row r="82" customFormat="false" ht="23.85" hidden="false" customHeight="false" outlineLevel="0" collapsed="false">
      <c r="A82" s="12" t="s">
        <v>508</v>
      </c>
      <c r="B82" s="12" t="s">
        <v>36</v>
      </c>
      <c r="C82" s="12" t="s">
        <v>79</v>
      </c>
      <c r="D82" s="12" t="s">
        <v>509</v>
      </c>
      <c r="E82" s="12" t="s">
        <v>249</v>
      </c>
      <c r="F82" s="12" t="s">
        <v>510</v>
      </c>
      <c r="G82" s="12" t="s">
        <v>226</v>
      </c>
      <c r="H82" s="13" t="s">
        <v>22</v>
      </c>
      <c r="I82" s="12" t="s">
        <v>149</v>
      </c>
      <c r="J82" s="12" t="s">
        <v>511</v>
      </c>
      <c r="K82" s="12" t="s">
        <v>59</v>
      </c>
      <c r="L82" s="12" t="s">
        <v>44</v>
      </c>
      <c r="M82" s="12" t="s">
        <v>415</v>
      </c>
      <c r="N82" s="14"/>
      <c r="O82" s="14"/>
    </row>
    <row r="83" customFormat="false" ht="23.85" hidden="false" customHeight="false" outlineLevel="0" collapsed="false">
      <c r="A83" s="15" t="s">
        <v>512</v>
      </c>
      <c r="B83" s="15" t="s">
        <v>36</v>
      </c>
      <c r="C83" s="15" t="s">
        <v>513</v>
      </c>
      <c r="D83" s="15" t="s">
        <v>514</v>
      </c>
      <c r="E83" s="15" t="s">
        <v>249</v>
      </c>
      <c r="F83" s="15" t="s">
        <v>515</v>
      </c>
      <c r="G83" s="15" t="s">
        <v>226</v>
      </c>
      <c r="H83" s="16" t="s">
        <v>22</v>
      </c>
      <c r="I83" s="15" t="s">
        <v>149</v>
      </c>
      <c r="J83" s="15" t="s">
        <v>516</v>
      </c>
      <c r="K83" s="15" t="s">
        <v>59</v>
      </c>
      <c r="L83" s="15" t="s">
        <v>44</v>
      </c>
      <c r="M83" s="15" t="s">
        <v>166</v>
      </c>
      <c r="N83" s="14"/>
      <c r="O83" s="14"/>
    </row>
    <row r="84" customFormat="false" ht="23.85" hidden="false" customHeight="false" outlineLevel="0" collapsed="false">
      <c r="A84" s="12" t="s">
        <v>517</v>
      </c>
      <c r="B84" s="12" t="s">
        <v>36</v>
      </c>
      <c r="C84" s="12" t="s">
        <v>513</v>
      </c>
      <c r="D84" s="12" t="s">
        <v>518</v>
      </c>
      <c r="E84" s="12" t="s">
        <v>249</v>
      </c>
      <c r="F84" s="12" t="s">
        <v>519</v>
      </c>
      <c r="G84" s="12" t="s">
        <v>226</v>
      </c>
      <c r="H84" s="13" t="s">
        <v>22</v>
      </c>
      <c r="I84" s="12" t="s">
        <v>149</v>
      </c>
      <c r="J84" s="12" t="s">
        <v>520</v>
      </c>
      <c r="K84" s="12" t="s">
        <v>62</v>
      </c>
      <c r="L84" s="12" t="s">
        <v>43</v>
      </c>
      <c r="M84" s="12"/>
      <c r="N84" s="14"/>
      <c r="O84" s="14"/>
    </row>
    <row r="85" customFormat="false" ht="35.05" hidden="false" customHeight="false" outlineLevel="0" collapsed="false">
      <c r="A85" s="15" t="s">
        <v>521</v>
      </c>
      <c r="B85" s="15" t="s">
        <v>37</v>
      </c>
      <c r="C85" s="15" t="s">
        <v>79</v>
      </c>
      <c r="D85" s="15" t="s">
        <v>522</v>
      </c>
      <c r="E85" s="15" t="s">
        <v>249</v>
      </c>
      <c r="F85" s="15" t="s">
        <v>523</v>
      </c>
      <c r="G85" s="15" t="s">
        <v>82</v>
      </c>
      <c r="H85" s="16" t="s">
        <v>21</v>
      </c>
      <c r="I85" s="15" t="s">
        <v>524</v>
      </c>
      <c r="J85" s="15" t="s">
        <v>525</v>
      </c>
      <c r="K85" s="15" t="s">
        <v>51</v>
      </c>
      <c r="L85" s="15" t="s">
        <v>45</v>
      </c>
      <c r="M85" s="15" t="s">
        <v>526</v>
      </c>
      <c r="N85" s="14"/>
      <c r="O85" s="14"/>
    </row>
    <row r="86" customFormat="false" ht="23.85" hidden="false" customHeight="false" outlineLevel="0" collapsed="false">
      <c r="A86" s="12" t="s">
        <v>527</v>
      </c>
      <c r="B86" s="12" t="s">
        <v>37</v>
      </c>
      <c r="C86" s="12" t="s">
        <v>486</v>
      </c>
      <c r="D86" s="12" t="s">
        <v>528</v>
      </c>
      <c r="E86" s="12" t="s">
        <v>249</v>
      </c>
      <c r="F86" s="12" t="s">
        <v>529</v>
      </c>
      <c r="G86" s="12" t="s">
        <v>82</v>
      </c>
      <c r="H86" s="13" t="s">
        <v>21</v>
      </c>
      <c r="I86" s="12" t="s">
        <v>530</v>
      </c>
      <c r="J86" s="12" t="s">
        <v>531</v>
      </c>
      <c r="K86" s="12" t="s">
        <v>51</v>
      </c>
      <c r="L86" s="12" t="s">
        <v>44</v>
      </c>
      <c r="M86" s="12"/>
      <c r="N86" s="14"/>
      <c r="O86" s="14"/>
    </row>
    <row r="87" customFormat="false" ht="23.85" hidden="false" customHeight="false" outlineLevel="0" collapsed="false">
      <c r="A87" s="15" t="s">
        <v>532</v>
      </c>
      <c r="B87" s="15" t="s">
        <v>37</v>
      </c>
      <c r="C87" s="15" t="s">
        <v>258</v>
      </c>
      <c r="D87" s="15" t="s">
        <v>533</v>
      </c>
      <c r="E87" s="15" t="s">
        <v>249</v>
      </c>
      <c r="F87" s="15"/>
      <c r="G87" s="15" t="s">
        <v>82</v>
      </c>
      <c r="H87" s="16" t="s">
        <v>22</v>
      </c>
      <c r="I87" s="15" t="s">
        <v>149</v>
      </c>
      <c r="J87" s="15" t="s">
        <v>534</v>
      </c>
      <c r="K87" s="15" t="s">
        <v>51</v>
      </c>
      <c r="L87" s="15" t="s">
        <v>44</v>
      </c>
      <c r="M87" s="15"/>
      <c r="N87" s="14"/>
      <c r="O87" s="14"/>
    </row>
    <row r="88" customFormat="false" ht="23.85" hidden="false" customHeight="false" outlineLevel="0" collapsed="false">
      <c r="A88" s="12" t="s">
        <v>535</v>
      </c>
      <c r="B88" s="12" t="s">
        <v>37</v>
      </c>
      <c r="C88" s="12" t="s">
        <v>338</v>
      </c>
      <c r="D88" s="12" t="s">
        <v>536</v>
      </c>
      <c r="E88" s="12" t="s">
        <v>249</v>
      </c>
      <c r="F88" s="12" t="s">
        <v>523</v>
      </c>
      <c r="G88" s="12" t="s">
        <v>226</v>
      </c>
      <c r="H88" s="13" t="s">
        <v>21</v>
      </c>
      <c r="I88" s="12" t="s">
        <v>537</v>
      </c>
      <c r="J88" s="12" t="s">
        <v>538</v>
      </c>
      <c r="K88" s="12" t="s">
        <v>51</v>
      </c>
      <c r="L88" s="12" t="s">
        <v>43</v>
      </c>
      <c r="M88" s="12"/>
      <c r="N88" s="14"/>
      <c r="O88" s="14"/>
    </row>
    <row r="89" customFormat="false" ht="23.85" hidden="false" customHeight="false" outlineLevel="0" collapsed="false">
      <c r="A89" s="15" t="s">
        <v>539</v>
      </c>
      <c r="B89" s="15" t="s">
        <v>37</v>
      </c>
      <c r="C89" s="15" t="s">
        <v>79</v>
      </c>
      <c r="D89" s="15" t="s">
        <v>540</v>
      </c>
      <c r="E89" s="15" t="s">
        <v>249</v>
      </c>
      <c r="F89" s="15" t="s">
        <v>541</v>
      </c>
      <c r="G89" s="15" t="s">
        <v>226</v>
      </c>
      <c r="H89" s="16" t="s">
        <v>21</v>
      </c>
      <c r="I89" s="15" t="s">
        <v>542</v>
      </c>
      <c r="J89" s="15" t="s">
        <v>543</v>
      </c>
      <c r="K89" s="15" t="s">
        <v>51</v>
      </c>
      <c r="L89" s="15" t="s">
        <v>44</v>
      </c>
      <c r="M89" s="15"/>
      <c r="N89" s="14"/>
      <c r="O89" s="14"/>
    </row>
    <row r="90" customFormat="false" ht="23.85" hidden="false" customHeight="false" outlineLevel="0" collapsed="false">
      <c r="A90" s="12" t="s">
        <v>544</v>
      </c>
      <c r="B90" s="12" t="s">
        <v>37</v>
      </c>
      <c r="C90" s="12" t="s">
        <v>545</v>
      </c>
      <c r="D90" s="12" t="s">
        <v>546</v>
      </c>
      <c r="E90" s="12" t="s">
        <v>249</v>
      </c>
      <c r="F90" s="12" t="s">
        <v>547</v>
      </c>
      <c r="G90" s="12" t="s">
        <v>226</v>
      </c>
      <c r="H90" s="13" t="s">
        <v>21</v>
      </c>
      <c r="I90" s="12" t="s">
        <v>548</v>
      </c>
      <c r="J90" s="12" t="s">
        <v>549</v>
      </c>
      <c r="K90" s="12" t="s">
        <v>51</v>
      </c>
      <c r="L90" s="12" t="s">
        <v>44</v>
      </c>
      <c r="M90" s="12"/>
      <c r="N90" s="14"/>
      <c r="O90" s="14"/>
    </row>
    <row r="91" customFormat="false" ht="23.85" hidden="false" customHeight="false" outlineLevel="0" collapsed="false">
      <c r="A91" s="15" t="s">
        <v>550</v>
      </c>
      <c r="B91" s="15" t="s">
        <v>37</v>
      </c>
      <c r="C91" s="15" t="s">
        <v>79</v>
      </c>
      <c r="D91" s="15" t="s">
        <v>551</v>
      </c>
      <c r="E91" s="15" t="s">
        <v>552</v>
      </c>
      <c r="F91" s="15"/>
      <c r="G91" s="15" t="s">
        <v>108</v>
      </c>
      <c r="H91" s="16" t="s">
        <v>21</v>
      </c>
      <c r="I91" s="15" t="s">
        <v>553</v>
      </c>
      <c r="J91" s="15" t="s">
        <v>554</v>
      </c>
      <c r="K91" s="15" t="s">
        <v>64</v>
      </c>
      <c r="L91" s="15" t="s">
        <v>43</v>
      </c>
      <c r="M91" s="15"/>
      <c r="N91" s="14"/>
      <c r="O91" s="14"/>
    </row>
    <row r="92" customFormat="false" ht="23.85" hidden="false" customHeight="false" outlineLevel="0" collapsed="false">
      <c r="A92" s="12" t="s">
        <v>555</v>
      </c>
      <c r="B92" s="12" t="s">
        <v>37</v>
      </c>
      <c r="C92" s="12" t="s">
        <v>338</v>
      </c>
      <c r="D92" s="12" t="s">
        <v>556</v>
      </c>
      <c r="E92" s="12" t="s">
        <v>557</v>
      </c>
      <c r="F92" s="12"/>
      <c r="G92" s="12" t="s">
        <v>108</v>
      </c>
      <c r="H92" s="13" t="s">
        <v>21</v>
      </c>
      <c r="I92" s="12" t="s">
        <v>558</v>
      </c>
      <c r="J92" s="12" t="s">
        <v>559</v>
      </c>
      <c r="K92" s="12" t="s">
        <v>51</v>
      </c>
      <c r="L92" s="12" t="s">
        <v>44</v>
      </c>
      <c r="M92" s="12" t="s">
        <v>526</v>
      </c>
      <c r="N92" s="14"/>
      <c r="O92" s="14"/>
    </row>
    <row r="93" customFormat="false" ht="23.85" hidden="false" customHeight="false" outlineLevel="0" collapsed="false">
      <c r="A93" s="15" t="s">
        <v>560</v>
      </c>
      <c r="B93" s="15" t="s">
        <v>37</v>
      </c>
      <c r="C93" s="15" t="s">
        <v>338</v>
      </c>
      <c r="D93" s="15" t="s">
        <v>561</v>
      </c>
      <c r="E93" s="15" t="s">
        <v>562</v>
      </c>
      <c r="F93" s="15"/>
      <c r="G93" s="15" t="s">
        <v>108</v>
      </c>
      <c r="H93" s="16" t="s">
        <v>22</v>
      </c>
      <c r="I93" s="15" t="s">
        <v>149</v>
      </c>
      <c r="J93" s="15" t="s">
        <v>563</v>
      </c>
      <c r="K93" s="15" t="s">
        <v>51</v>
      </c>
      <c r="L93" s="15" t="s">
        <v>43</v>
      </c>
      <c r="M93" s="15"/>
      <c r="N93" s="14"/>
      <c r="O93" s="14"/>
    </row>
    <row r="94" customFormat="false" ht="23.85" hidden="false" customHeight="false" outlineLevel="0" collapsed="false">
      <c r="A94" s="12" t="s">
        <v>564</v>
      </c>
      <c r="B94" s="12" t="s">
        <v>37</v>
      </c>
      <c r="C94" s="12" t="s">
        <v>79</v>
      </c>
      <c r="D94" s="12" t="s">
        <v>565</v>
      </c>
      <c r="E94" s="12" t="s">
        <v>566</v>
      </c>
      <c r="F94" s="12"/>
      <c r="G94" s="12" t="s">
        <v>108</v>
      </c>
      <c r="H94" s="13" t="s">
        <v>22</v>
      </c>
      <c r="I94" s="12" t="s">
        <v>149</v>
      </c>
      <c r="J94" s="12" t="s">
        <v>567</v>
      </c>
      <c r="K94" s="12" t="s">
        <v>51</v>
      </c>
      <c r="L94" s="12" t="s">
        <v>44</v>
      </c>
      <c r="M94" s="12" t="s">
        <v>568</v>
      </c>
      <c r="N94" s="14"/>
      <c r="O94" s="14"/>
    </row>
    <row r="95" customFormat="false" ht="23.85" hidden="false" customHeight="false" outlineLevel="0" collapsed="false">
      <c r="A95" s="15" t="s">
        <v>569</v>
      </c>
      <c r="B95" s="15" t="s">
        <v>37</v>
      </c>
      <c r="C95" s="15" t="s">
        <v>79</v>
      </c>
      <c r="D95" s="15" t="s">
        <v>570</v>
      </c>
      <c r="E95" s="15" t="s">
        <v>571</v>
      </c>
      <c r="F95" s="15"/>
      <c r="G95" s="15" t="s">
        <v>108</v>
      </c>
      <c r="H95" s="16" t="s">
        <v>20</v>
      </c>
      <c r="I95" s="15" t="s">
        <v>572</v>
      </c>
      <c r="J95" s="15" t="s">
        <v>573</v>
      </c>
      <c r="K95" s="15" t="s">
        <v>51</v>
      </c>
      <c r="L95" s="15" t="s">
        <v>43</v>
      </c>
      <c r="M95" s="15" t="s">
        <v>574</v>
      </c>
      <c r="N95" s="14"/>
      <c r="O95" s="14"/>
    </row>
    <row r="96" customFormat="false" ht="23.85" hidden="false" customHeight="false" outlineLevel="0" collapsed="false">
      <c r="A96" s="12" t="s">
        <v>575</v>
      </c>
      <c r="B96" s="12" t="s">
        <v>37</v>
      </c>
      <c r="C96" s="12" t="s">
        <v>303</v>
      </c>
      <c r="D96" s="12" t="s">
        <v>576</v>
      </c>
      <c r="E96" s="12" t="s">
        <v>577</v>
      </c>
      <c r="F96" s="12"/>
      <c r="G96" s="12" t="s">
        <v>108</v>
      </c>
      <c r="H96" s="13" t="s">
        <v>22</v>
      </c>
      <c r="I96" s="12" t="s">
        <v>149</v>
      </c>
      <c r="J96" s="12" t="s">
        <v>578</v>
      </c>
      <c r="K96" s="12" t="s">
        <v>51</v>
      </c>
      <c r="L96" s="12" t="s">
        <v>43</v>
      </c>
      <c r="M96" s="12"/>
      <c r="N96" s="14"/>
      <c r="O96" s="14"/>
    </row>
    <row r="97" customFormat="false" ht="23.85" hidden="false" customHeight="false" outlineLevel="0" collapsed="false">
      <c r="A97" s="15" t="s">
        <v>579</v>
      </c>
      <c r="B97" s="15" t="s">
        <v>37</v>
      </c>
      <c r="C97" s="15" t="s">
        <v>303</v>
      </c>
      <c r="D97" s="15" t="s">
        <v>580</v>
      </c>
      <c r="E97" s="15" t="s">
        <v>581</v>
      </c>
      <c r="F97" s="15"/>
      <c r="G97" s="15" t="s">
        <v>108</v>
      </c>
      <c r="H97" s="16" t="s">
        <v>21</v>
      </c>
      <c r="I97" s="15" t="s">
        <v>582</v>
      </c>
      <c r="J97" s="15" t="s">
        <v>583</v>
      </c>
      <c r="K97" s="15" t="s">
        <v>51</v>
      </c>
      <c r="L97" s="15" t="s">
        <v>44</v>
      </c>
      <c r="M97" s="15" t="s">
        <v>584</v>
      </c>
      <c r="N97" s="14"/>
      <c r="O97" s="14"/>
    </row>
    <row r="98" customFormat="false" ht="23.85" hidden="false" customHeight="false" outlineLevel="0" collapsed="false">
      <c r="A98" s="12" t="s">
        <v>585</v>
      </c>
      <c r="B98" s="12" t="s">
        <v>37</v>
      </c>
      <c r="C98" s="12" t="s">
        <v>98</v>
      </c>
      <c r="D98" s="12" t="s">
        <v>586</v>
      </c>
      <c r="E98" s="12" t="s">
        <v>587</v>
      </c>
      <c r="F98" s="12"/>
      <c r="G98" s="12" t="s">
        <v>108</v>
      </c>
      <c r="H98" s="13" t="s">
        <v>22</v>
      </c>
      <c r="I98" s="12" t="s">
        <v>149</v>
      </c>
      <c r="J98" s="12" t="s">
        <v>588</v>
      </c>
      <c r="K98" s="12" t="s">
        <v>48</v>
      </c>
      <c r="L98" s="12" t="s">
        <v>44</v>
      </c>
      <c r="M98" s="12" t="s">
        <v>589</v>
      </c>
      <c r="N98" s="14"/>
      <c r="O98" s="14"/>
    </row>
    <row r="99" customFormat="false" ht="23.85" hidden="false" customHeight="false" outlineLevel="0" collapsed="false">
      <c r="A99" s="15" t="s">
        <v>590</v>
      </c>
      <c r="B99" s="15" t="s">
        <v>38</v>
      </c>
      <c r="C99" s="15" t="s">
        <v>591</v>
      </c>
      <c r="D99" s="15" t="s">
        <v>592</v>
      </c>
      <c r="E99" s="15" t="s">
        <v>593</v>
      </c>
      <c r="F99" s="15"/>
      <c r="G99" s="15" t="s">
        <v>108</v>
      </c>
      <c r="H99" s="16" t="s">
        <v>22</v>
      </c>
      <c r="I99" s="15" t="s">
        <v>149</v>
      </c>
      <c r="J99" s="15" t="s">
        <v>594</v>
      </c>
      <c r="K99" s="15" t="s">
        <v>58</v>
      </c>
      <c r="L99" s="15" t="s">
        <v>44</v>
      </c>
      <c r="M99" s="15" t="s">
        <v>595</v>
      </c>
      <c r="N99" s="14"/>
      <c r="O99" s="14"/>
    </row>
    <row r="100" customFormat="false" ht="23.85" hidden="false" customHeight="false" outlineLevel="0" collapsed="false">
      <c r="A100" s="12" t="s">
        <v>596</v>
      </c>
      <c r="B100" s="12" t="s">
        <v>38</v>
      </c>
      <c r="C100" s="12" t="s">
        <v>79</v>
      </c>
      <c r="D100" s="12" t="s">
        <v>597</v>
      </c>
      <c r="E100" s="12" t="s">
        <v>598</v>
      </c>
      <c r="F100" s="12"/>
      <c r="G100" s="12" t="s">
        <v>108</v>
      </c>
      <c r="H100" s="13" t="s">
        <v>22</v>
      </c>
      <c r="I100" s="12" t="s">
        <v>599</v>
      </c>
      <c r="J100" s="12" t="s">
        <v>600</v>
      </c>
      <c r="K100" s="12" t="s">
        <v>64</v>
      </c>
      <c r="L100" s="12" t="s">
        <v>44</v>
      </c>
      <c r="M100" s="12" t="s">
        <v>601</v>
      </c>
      <c r="N100" s="14"/>
      <c r="O100" s="14"/>
    </row>
    <row r="101" customFormat="false" ht="23.85" hidden="false" customHeight="false" outlineLevel="0" collapsed="false">
      <c r="A101" s="15" t="s">
        <v>602</v>
      </c>
      <c r="B101" s="15" t="s">
        <v>38</v>
      </c>
      <c r="C101" s="15" t="s">
        <v>79</v>
      </c>
      <c r="D101" s="15" t="s">
        <v>603</v>
      </c>
      <c r="E101" s="15" t="s">
        <v>604</v>
      </c>
      <c r="F101" s="15"/>
      <c r="G101" s="15" t="s">
        <v>108</v>
      </c>
      <c r="H101" s="16" t="s">
        <v>21</v>
      </c>
      <c r="I101" s="15" t="s">
        <v>605</v>
      </c>
      <c r="J101" s="15" t="s">
        <v>606</v>
      </c>
      <c r="K101" s="15" t="s">
        <v>64</v>
      </c>
      <c r="L101" s="15" t="s">
        <v>43</v>
      </c>
      <c r="M101" s="15"/>
      <c r="N101" s="14"/>
      <c r="O101" s="14"/>
    </row>
    <row r="102" customFormat="false" ht="23.85" hidden="false" customHeight="false" outlineLevel="0" collapsed="false">
      <c r="A102" s="12" t="s">
        <v>607</v>
      </c>
      <c r="B102" s="12" t="s">
        <v>38</v>
      </c>
      <c r="C102" s="12" t="s">
        <v>79</v>
      </c>
      <c r="D102" s="12" t="s">
        <v>608</v>
      </c>
      <c r="E102" s="12" t="s">
        <v>609</v>
      </c>
      <c r="F102" s="12"/>
      <c r="G102" s="12" t="s">
        <v>108</v>
      </c>
      <c r="H102" s="13" t="s">
        <v>22</v>
      </c>
      <c r="I102" s="12" t="s">
        <v>351</v>
      </c>
      <c r="J102" s="12" t="s">
        <v>610</v>
      </c>
      <c r="K102" s="12" t="s">
        <v>58</v>
      </c>
      <c r="L102" s="12" t="s">
        <v>44</v>
      </c>
      <c r="M102" s="12" t="s">
        <v>611</v>
      </c>
      <c r="N102" s="14"/>
      <c r="O102" s="14"/>
    </row>
    <row r="103" customFormat="false" ht="23.85" hidden="false" customHeight="false" outlineLevel="0" collapsed="false">
      <c r="A103" s="15" t="s">
        <v>612</v>
      </c>
      <c r="B103" s="15" t="s">
        <v>38</v>
      </c>
      <c r="C103" s="15" t="s">
        <v>332</v>
      </c>
      <c r="D103" s="15" t="s">
        <v>613</v>
      </c>
      <c r="E103" s="15" t="s">
        <v>614</v>
      </c>
      <c r="F103" s="15"/>
      <c r="G103" s="15" t="s">
        <v>108</v>
      </c>
      <c r="H103" s="16" t="s">
        <v>22</v>
      </c>
      <c r="I103" s="15" t="s">
        <v>149</v>
      </c>
      <c r="J103" s="15" t="s">
        <v>615</v>
      </c>
      <c r="K103" s="15" t="s">
        <v>64</v>
      </c>
      <c r="L103" s="15" t="s">
        <v>43</v>
      </c>
      <c r="M103" s="15" t="s">
        <v>216</v>
      </c>
      <c r="N103" s="14"/>
      <c r="O103" s="14"/>
    </row>
    <row r="104" customFormat="false" ht="23.85" hidden="false" customHeight="false" outlineLevel="0" collapsed="false">
      <c r="A104" s="12" t="s">
        <v>616</v>
      </c>
      <c r="B104" s="12" t="s">
        <v>38</v>
      </c>
      <c r="C104" s="12" t="s">
        <v>205</v>
      </c>
      <c r="D104" s="12" t="s">
        <v>617</v>
      </c>
      <c r="E104" s="12" t="s">
        <v>249</v>
      </c>
      <c r="F104" s="12" t="s">
        <v>618</v>
      </c>
      <c r="G104" s="12" t="s">
        <v>226</v>
      </c>
      <c r="H104" s="13" t="s">
        <v>22</v>
      </c>
      <c r="I104" s="12" t="s">
        <v>149</v>
      </c>
      <c r="J104" s="12" t="s">
        <v>619</v>
      </c>
      <c r="K104" s="12" t="s">
        <v>64</v>
      </c>
      <c r="L104" s="12" t="s">
        <v>44</v>
      </c>
      <c r="M104" s="12"/>
      <c r="N104" s="14"/>
      <c r="O104" s="14"/>
    </row>
    <row r="105" customFormat="false" ht="23.85" hidden="false" customHeight="false" outlineLevel="0" collapsed="false">
      <c r="A105" s="15" t="s">
        <v>620</v>
      </c>
      <c r="B105" s="15" t="s">
        <v>38</v>
      </c>
      <c r="C105" s="15" t="s">
        <v>205</v>
      </c>
      <c r="D105" s="15" t="s">
        <v>621</v>
      </c>
      <c r="E105" s="15" t="s">
        <v>249</v>
      </c>
      <c r="F105" s="15" t="s">
        <v>622</v>
      </c>
      <c r="G105" s="15" t="s">
        <v>226</v>
      </c>
      <c r="H105" s="16" t="s">
        <v>19</v>
      </c>
      <c r="I105" s="15" t="s">
        <v>623</v>
      </c>
      <c r="J105" s="15" t="s">
        <v>624</v>
      </c>
      <c r="K105" s="15" t="s">
        <v>64</v>
      </c>
      <c r="L105" s="15" t="s">
        <v>43</v>
      </c>
      <c r="M105" s="15"/>
      <c r="N105" s="14"/>
      <c r="O105" s="14"/>
    </row>
    <row r="106" customFormat="false" ht="23.85" hidden="false" customHeight="false" outlineLevel="0" collapsed="false">
      <c r="A106" s="12" t="s">
        <v>625</v>
      </c>
      <c r="B106" s="12" t="s">
        <v>39</v>
      </c>
      <c r="C106" s="12" t="s">
        <v>486</v>
      </c>
      <c r="D106" s="12" t="s">
        <v>626</v>
      </c>
      <c r="E106" s="12" t="s">
        <v>627</v>
      </c>
      <c r="F106" s="12" t="s">
        <v>628</v>
      </c>
      <c r="G106" s="12" t="s">
        <v>82</v>
      </c>
      <c r="H106" s="13" t="s">
        <v>21</v>
      </c>
      <c r="I106" s="12" t="s">
        <v>629</v>
      </c>
      <c r="J106" s="12" t="s">
        <v>630</v>
      </c>
      <c r="K106" s="12" t="s">
        <v>62</v>
      </c>
      <c r="L106" s="12" t="s">
        <v>43</v>
      </c>
      <c r="M106" s="12"/>
      <c r="N106" s="14"/>
      <c r="O106" s="14"/>
    </row>
    <row r="107" customFormat="false" ht="23.85" hidden="false" customHeight="false" outlineLevel="0" collapsed="false">
      <c r="A107" s="15" t="s">
        <v>631</v>
      </c>
      <c r="B107" s="15" t="s">
        <v>39</v>
      </c>
      <c r="C107" s="15" t="s">
        <v>79</v>
      </c>
      <c r="D107" s="15" t="s">
        <v>632</v>
      </c>
      <c r="E107" s="15" t="s">
        <v>249</v>
      </c>
      <c r="F107" s="15" t="s">
        <v>633</v>
      </c>
      <c r="G107" s="15" t="s">
        <v>82</v>
      </c>
      <c r="H107" s="16" t="s">
        <v>21</v>
      </c>
      <c r="I107" s="15" t="s">
        <v>634</v>
      </c>
      <c r="J107" s="15" t="s">
        <v>635</v>
      </c>
      <c r="K107" s="15" t="s">
        <v>62</v>
      </c>
      <c r="L107" s="15" t="s">
        <v>43</v>
      </c>
      <c r="M107" s="15"/>
      <c r="N107" s="14"/>
      <c r="O107" s="14"/>
    </row>
    <row r="108" customFormat="false" ht="23.85" hidden="false" customHeight="false" outlineLevel="0" collapsed="false">
      <c r="A108" s="12" t="s">
        <v>636</v>
      </c>
      <c r="B108" s="12" t="s">
        <v>39</v>
      </c>
      <c r="C108" s="12" t="s">
        <v>637</v>
      </c>
      <c r="D108" s="12" t="s">
        <v>638</v>
      </c>
      <c r="E108" s="12" t="s">
        <v>249</v>
      </c>
      <c r="F108" s="12" t="s">
        <v>639</v>
      </c>
      <c r="G108" s="12" t="s">
        <v>226</v>
      </c>
      <c r="H108" s="13" t="s">
        <v>21</v>
      </c>
      <c r="I108" s="12" t="s">
        <v>640</v>
      </c>
      <c r="J108" s="12" t="s">
        <v>641</v>
      </c>
      <c r="K108" s="12" t="s">
        <v>62</v>
      </c>
      <c r="L108" s="12" t="s">
        <v>45</v>
      </c>
      <c r="M108" s="12" t="s">
        <v>642</v>
      </c>
      <c r="N108" s="14"/>
      <c r="O108" s="14"/>
    </row>
    <row r="109" customFormat="false" ht="35.05" hidden="false" customHeight="false" outlineLevel="0" collapsed="false">
      <c r="A109" s="15" t="s">
        <v>643</v>
      </c>
      <c r="B109" s="15" t="s">
        <v>39</v>
      </c>
      <c r="C109" s="15" t="s">
        <v>79</v>
      </c>
      <c r="D109" s="15" t="s">
        <v>644</v>
      </c>
      <c r="E109" s="15" t="s">
        <v>645</v>
      </c>
      <c r="F109" s="15" t="s">
        <v>646</v>
      </c>
      <c r="G109" s="15" t="s">
        <v>226</v>
      </c>
      <c r="H109" s="16" t="s">
        <v>22</v>
      </c>
      <c r="I109" s="15" t="s">
        <v>647</v>
      </c>
      <c r="J109" s="15" t="s">
        <v>648</v>
      </c>
      <c r="K109" s="15" t="s">
        <v>62</v>
      </c>
      <c r="L109" s="15" t="s">
        <v>44</v>
      </c>
      <c r="M109" s="15" t="s">
        <v>649</v>
      </c>
      <c r="N109" s="14"/>
      <c r="O109" s="14"/>
    </row>
    <row r="110" customFormat="false" ht="35.05" hidden="false" customHeight="false" outlineLevel="0" collapsed="false">
      <c r="A110" s="12" t="s">
        <v>650</v>
      </c>
      <c r="B110" s="12" t="s">
        <v>40</v>
      </c>
      <c r="C110" s="12" t="s">
        <v>651</v>
      </c>
      <c r="D110" s="12" t="s">
        <v>652</v>
      </c>
      <c r="E110" s="12" t="s">
        <v>249</v>
      </c>
      <c r="F110" s="12" t="s">
        <v>653</v>
      </c>
      <c r="G110" s="12" t="s">
        <v>226</v>
      </c>
      <c r="H110" s="13" t="s">
        <v>20</v>
      </c>
      <c r="I110" s="12" t="s">
        <v>654</v>
      </c>
      <c r="J110" s="12" t="s">
        <v>655</v>
      </c>
      <c r="K110" s="12" t="s">
        <v>63</v>
      </c>
      <c r="L110" s="12" t="s">
        <v>43</v>
      </c>
      <c r="M110" s="12" t="s">
        <v>656</v>
      </c>
      <c r="N110" s="14"/>
      <c r="O110" s="14"/>
    </row>
    <row r="111" customFormat="false" ht="23.85" hidden="false" customHeight="false" outlineLevel="0" collapsed="false">
      <c r="A111" s="15" t="s">
        <v>657</v>
      </c>
      <c r="B111" s="15" t="s">
        <v>40</v>
      </c>
      <c r="C111" s="15" t="s">
        <v>658</v>
      </c>
      <c r="D111" s="15" t="s">
        <v>659</v>
      </c>
      <c r="E111" s="15" t="s">
        <v>249</v>
      </c>
      <c r="F111" s="15" t="s">
        <v>660</v>
      </c>
      <c r="G111" s="15" t="s">
        <v>226</v>
      </c>
      <c r="H111" s="16" t="s">
        <v>21</v>
      </c>
      <c r="I111" s="15" t="s">
        <v>661</v>
      </c>
      <c r="J111" s="15" t="s">
        <v>662</v>
      </c>
      <c r="K111" s="15" t="s">
        <v>63</v>
      </c>
      <c r="L111" s="15" t="s">
        <v>43</v>
      </c>
      <c r="M111" s="15"/>
      <c r="N111" s="14"/>
      <c r="O111" s="14"/>
    </row>
    <row r="112" customFormat="false" ht="23.85" hidden="false" customHeight="false" outlineLevel="0" collapsed="false">
      <c r="A112" s="12" t="s">
        <v>663</v>
      </c>
      <c r="B112" s="12" t="s">
        <v>40</v>
      </c>
      <c r="C112" s="12" t="s">
        <v>658</v>
      </c>
      <c r="D112" s="12" t="s">
        <v>664</v>
      </c>
      <c r="E112" s="12" t="s">
        <v>249</v>
      </c>
      <c r="F112" s="12" t="s">
        <v>665</v>
      </c>
      <c r="G112" s="12" t="s">
        <v>226</v>
      </c>
      <c r="H112" s="13" t="s">
        <v>22</v>
      </c>
      <c r="I112" s="12" t="s">
        <v>666</v>
      </c>
      <c r="J112" s="12" t="s">
        <v>667</v>
      </c>
      <c r="K112" s="12" t="s">
        <v>49</v>
      </c>
      <c r="L112" s="12" t="s">
        <v>44</v>
      </c>
      <c r="M112" s="12"/>
      <c r="N112" s="14"/>
      <c r="O112" s="14"/>
    </row>
    <row r="113" customFormat="false" ht="23.85" hidden="false" customHeight="false" outlineLevel="0" collapsed="false">
      <c r="A113" s="15" t="s">
        <v>668</v>
      </c>
      <c r="B113" s="15" t="s">
        <v>40</v>
      </c>
      <c r="C113" s="15" t="s">
        <v>658</v>
      </c>
      <c r="D113" s="15" t="s">
        <v>669</v>
      </c>
      <c r="E113" s="15" t="s">
        <v>249</v>
      </c>
      <c r="F113" s="15" t="s">
        <v>670</v>
      </c>
      <c r="G113" s="15" t="s">
        <v>226</v>
      </c>
      <c r="H113" s="16" t="s">
        <v>19</v>
      </c>
      <c r="I113" s="15" t="s">
        <v>671</v>
      </c>
      <c r="J113" s="15" t="s">
        <v>672</v>
      </c>
      <c r="K113" s="15" t="s">
        <v>49</v>
      </c>
      <c r="L113" s="15" t="s">
        <v>43</v>
      </c>
      <c r="M113" s="15"/>
      <c r="N113" s="14"/>
      <c r="O113" s="14"/>
    </row>
    <row r="114" customFormat="false" ht="23.85" hidden="false" customHeight="false" outlineLevel="0" collapsed="false">
      <c r="A114" s="12" t="s">
        <v>673</v>
      </c>
      <c r="B114" s="12" t="s">
        <v>40</v>
      </c>
      <c r="C114" s="12" t="s">
        <v>658</v>
      </c>
      <c r="D114" s="12" t="s">
        <v>674</v>
      </c>
      <c r="E114" s="12" t="s">
        <v>249</v>
      </c>
      <c r="F114" s="12" t="s">
        <v>675</v>
      </c>
      <c r="G114" s="12" t="s">
        <v>226</v>
      </c>
      <c r="H114" s="13" t="s">
        <v>21</v>
      </c>
      <c r="I114" s="12" t="s">
        <v>676</v>
      </c>
      <c r="J114" s="12" t="s">
        <v>677</v>
      </c>
      <c r="K114" s="12" t="s">
        <v>49</v>
      </c>
      <c r="L114" s="12" t="s">
        <v>43</v>
      </c>
      <c r="M114" s="12"/>
      <c r="N114" s="14"/>
      <c r="O114" s="14"/>
    </row>
    <row r="115" customFormat="false" ht="23.85" hidden="false" customHeight="false" outlineLevel="0" collapsed="false">
      <c r="A115" s="15" t="s">
        <v>678</v>
      </c>
      <c r="B115" s="15" t="s">
        <v>40</v>
      </c>
      <c r="C115" s="15" t="s">
        <v>658</v>
      </c>
      <c r="D115" s="15" t="s">
        <v>679</v>
      </c>
      <c r="E115" s="15" t="s">
        <v>249</v>
      </c>
      <c r="F115" s="15" t="s">
        <v>680</v>
      </c>
      <c r="G115" s="15" t="s">
        <v>226</v>
      </c>
      <c r="H115" s="16" t="s">
        <v>19</v>
      </c>
      <c r="I115" s="15" t="s">
        <v>681</v>
      </c>
      <c r="J115" s="15" t="s">
        <v>149</v>
      </c>
      <c r="K115" s="15" t="s">
        <v>49</v>
      </c>
      <c r="L115" s="15" t="s">
        <v>43</v>
      </c>
      <c r="M115" s="15"/>
      <c r="N115" s="14"/>
      <c r="O115" s="14"/>
    </row>
    <row r="116" customFormat="false" ht="23.85" hidden="false" customHeight="false" outlineLevel="0" collapsed="false">
      <c r="A116" s="12" t="s">
        <v>682</v>
      </c>
      <c r="B116" s="12" t="s">
        <v>40</v>
      </c>
      <c r="C116" s="12" t="s">
        <v>683</v>
      </c>
      <c r="D116" s="12" t="s">
        <v>684</v>
      </c>
      <c r="E116" s="12" t="s">
        <v>249</v>
      </c>
      <c r="F116" s="12" t="s">
        <v>685</v>
      </c>
      <c r="G116" s="12" t="s">
        <v>226</v>
      </c>
      <c r="H116" s="13" t="s">
        <v>19</v>
      </c>
      <c r="I116" s="12" t="s">
        <v>686</v>
      </c>
      <c r="J116" s="12" t="s">
        <v>149</v>
      </c>
      <c r="K116" s="12" t="s">
        <v>63</v>
      </c>
      <c r="L116" s="12" t="s">
        <v>43</v>
      </c>
      <c r="M116" s="12"/>
      <c r="N116" s="14"/>
      <c r="O116" s="14"/>
    </row>
    <row r="117" customFormat="false" ht="23.85" hidden="false" customHeight="false" outlineLevel="0" collapsed="false">
      <c r="A117" s="15" t="s">
        <v>687</v>
      </c>
      <c r="B117" s="15" t="s">
        <v>40</v>
      </c>
      <c r="C117" s="15" t="s">
        <v>683</v>
      </c>
      <c r="D117" s="15" t="s">
        <v>688</v>
      </c>
      <c r="E117" s="15" t="s">
        <v>249</v>
      </c>
      <c r="F117" s="15" t="s">
        <v>689</v>
      </c>
      <c r="G117" s="15" t="s">
        <v>226</v>
      </c>
      <c r="H117" s="16" t="s">
        <v>21</v>
      </c>
      <c r="I117" s="15" t="s">
        <v>690</v>
      </c>
      <c r="J117" s="15" t="s">
        <v>691</v>
      </c>
      <c r="K117" s="15" t="s">
        <v>63</v>
      </c>
      <c r="L117" s="15" t="s">
        <v>43</v>
      </c>
      <c r="M117" s="15"/>
      <c r="N117" s="14"/>
      <c r="O117" s="14"/>
    </row>
    <row r="118" customFormat="false" ht="23.85" hidden="false" customHeight="false" outlineLevel="0" collapsed="false">
      <c r="A118" s="12" t="s">
        <v>692</v>
      </c>
      <c r="B118" s="12" t="s">
        <v>40</v>
      </c>
      <c r="C118" s="12" t="s">
        <v>683</v>
      </c>
      <c r="D118" s="12" t="s">
        <v>693</v>
      </c>
      <c r="E118" s="12" t="s">
        <v>249</v>
      </c>
      <c r="F118" s="12" t="s">
        <v>694</v>
      </c>
      <c r="G118" s="12" t="s">
        <v>226</v>
      </c>
      <c r="H118" s="13" t="s">
        <v>19</v>
      </c>
      <c r="I118" s="12" t="s">
        <v>695</v>
      </c>
      <c r="J118" s="12" t="s">
        <v>149</v>
      </c>
      <c r="K118" s="12" t="s">
        <v>49</v>
      </c>
      <c r="L118" s="12" t="s">
        <v>43</v>
      </c>
      <c r="M118" s="12"/>
      <c r="N118" s="14"/>
      <c r="O118" s="14"/>
    </row>
    <row r="119" customFormat="false" ht="23.85" hidden="false" customHeight="false" outlineLevel="0" collapsed="false">
      <c r="A119" s="15" t="s">
        <v>696</v>
      </c>
      <c r="B119" s="15" t="s">
        <v>38</v>
      </c>
      <c r="C119" s="15" t="s">
        <v>303</v>
      </c>
      <c r="D119" s="15" t="s">
        <v>697</v>
      </c>
      <c r="E119" s="15" t="s">
        <v>149</v>
      </c>
      <c r="F119" s="15" t="s">
        <v>698</v>
      </c>
      <c r="G119" s="15" t="s">
        <v>82</v>
      </c>
      <c r="H119" s="16" t="s">
        <v>23</v>
      </c>
      <c r="I119" s="15" t="s">
        <v>149</v>
      </c>
      <c r="J119" s="15" t="s">
        <v>699</v>
      </c>
      <c r="K119" s="15" t="s">
        <v>149</v>
      </c>
      <c r="L119" s="15" t="s">
        <v>149</v>
      </c>
      <c r="M119" s="15"/>
      <c r="N119" s="14"/>
      <c r="O119" s="14"/>
    </row>
    <row r="120" customFormat="false" ht="23.85" hidden="false" customHeight="false" outlineLevel="0" collapsed="false">
      <c r="A120" s="12" t="s">
        <v>700</v>
      </c>
      <c r="B120" s="12" t="s">
        <v>39</v>
      </c>
      <c r="C120" s="12" t="s">
        <v>79</v>
      </c>
      <c r="D120" s="12" t="s">
        <v>701</v>
      </c>
      <c r="E120" s="12" t="s">
        <v>149</v>
      </c>
      <c r="F120" s="12" t="s">
        <v>702</v>
      </c>
      <c r="G120" s="12" t="s">
        <v>82</v>
      </c>
      <c r="H120" s="13" t="s">
        <v>23</v>
      </c>
      <c r="I120" s="12" t="s">
        <v>149</v>
      </c>
      <c r="J120" s="12" t="s">
        <v>703</v>
      </c>
      <c r="K120" s="12" t="s">
        <v>149</v>
      </c>
      <c r="L120" s="12" t="s">
        <v>149</v>
      </c>
      <c r="M120" s="12"/>
      <c r="N120" s="14"/>
      <c r="O120" s="14"/>
    </row>
  </sheetData>
  <autoFilter ref="A1:O1"/>
  <conditionalFormatting sqref="H2:H120">
    <cfRule type="cellIs" priority="2" operator="equal" aboveAverage="0" equalAverage="0" bottom="0" percent="0" rank="0" text="" dxfId="2">
      <formula>"FIT"</formula>
    </cfRule>
    <cfRule type="cellIs" priority="3" operator="equal" aboveAverage="0" equalAverage="0" bottom="0" percent="0" rank="0" text="" dxfId="3">
      <formula>"CONFIGURE"</formula>
    </cfRule>
    <cfRule type="cellIs" priority="4" operator="equal" aboveAverage="0" equalAverage="0" bottom="0" percent="0" rank="0" text="" dxfId="4">
      <formula>"CHANGE"</formula>
    </cfRule>
    <cfRule type="cellIs" priority="5" operator="equal" aboveAverage="0" equalAverage="0" bottom="0" percent="0" rank="0" text="" dxfId="5">
      <formula>"NEW"</formula>
    </cfRule>
    <cfRule type="cellIs" priority="6" operator="equal" aboveAverage="0" equalAverage="0" bottom="0" percent="0" rank="0" text="" dxfId="6">
      <formula>"OUT"</formula>
    </cfRule>
  </conditionalFormatting>
  <dataValidations count="1">
    <dataValidation allowBlank="true" error="Choose: Agreed, Agreed with changes, Not agreed, Need discussion" errorStyle="stop" errorTitle="Concurrence" operator="between" showDropDown="false" showErrorMessage="true" showInputMessage="false" sqref="N2:N120" type="list">
      <formula1>"Agreed,Agreed with changes,Not agreed,Need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2"/>
    <col collapsed="false" customWidth="true" hidden="false" outlineLevel="0" max="4" min="4" style="0" width="60"/>
    <col collapsed="false" customWidth="true" hidden="false" outlineLevel="0" max="6" min="5" style="0" width="16"/>
    <col collapsed="false" customWidth="true" hidden="false" outlineLevel="0" max="7" min="7" style="0" width="40"/>
  </cols>
  <sheetData>
    <row r="1" customFormat="false" ht="31.5" hidden="false" customHeight="true" outlineLevel="0" collapsed="false">
      <c r="A1" s="11" t="s">
        <v>704</v>
      </c>
      <c r="B1" s="11" t="s">
        <v>705</v>
      </c>
      <c r="C1" s="11" t="s">
        <v>706</v>
      </c>
      <c r="D1" s="11" t="s">
        <v>707</v>
      </c>
      <c r="E1" s="11" t="s">
        <v>708</v>
      </c>
      <c r="F1" s="11" t="s">
        <v>76</v>
      </c>
      <c r="G1" s="11" t="s">
        <v>77</v>
      </c>
    </row>
    <row r="2" customFormat="false" ht="15" hidden="false" customHeight="false" outlineLevel="0" collapsed="false">
      <c r="A2" s="12" t="s">
        <v>709</v>
      </c>
      <c r="B2" s="12" t="s">
        <v>710</v>
      </c>
      <c r="C2" s="12" t="s">
        <v>119</v>
      </c>
      <c r="D2" s="12" t="s">
        <v>711</v>
      </c>
      <c r="E2" s="12" t="s">
        <v>712</v>
      </c>
      <c r="F2" s="14"/>
      <c r="G2" s="14"/>
    </row>
    <row r="3" customFormat="false" ht="15" hidden="false" customHeight="false" outlineLevel="0" collapsed="false">
      <c r="A3" s="15" t="s">
        <v>713</v>
      </c>
      <c r="B3" s="15" t="s">
        <v>714</v>
      </c>
      <c r="C3" s="15" t="s">
        <v>715</v>
      </c>
      <c r="D3" s="15" t="s">
        <v>716</v>
      </c>
      <c r="E3" s="15" t="s">
        <v>717</v>
      </c>
      <c r="F3" s="14"/>
      <c r="G3" s="14"/>
    </row>
    <row r="4" customFormat="false" ht="15" hidden="false" customHeight="false" outlineLevel="0" collapsed="false">
      <c r="A4" s="12" t="s">
        <v>718</v>
      </c>
      <c r="B4" s="12" t="s">
        <v>719</v>
      </c>
      <c r="C4" s="12" t="s">
        <v>205</v>
      </c>
      <c r="D4" s="12" t="s">
        <v>720</v>
      </c>
      <c r="E4" s="12" t="s">
        <v>721</v>
      </c>
      <c r="F4" s="14"/>
      <c r="G4" s="14"/>
    </row>
    <row r="5" customFormat="false" ht="15" hidden="false" customHeight="false" outlineLevel="0" collapsed="false">
      <c r="A5" s="15" t="s">
        <v>721</v>
      </c>
      <c r="B5" s="15" t="s">
        <v>722</v>
      </c>
      <c r="C5" s="15" t="s">
        <v>119</v>
      </c>
      <c r="D5" s="15" t="s">
        <v>723</v>
      </c>
      <c r="E5" s="15" t="s">
        <v>724</v>
      </c>
      <c r="F5" s="14"/>
      <c r="G5" s="14"/>
    </row>
    <row r="6" customFormat="false" ht="15" hidden="false" customHeight="false" outlineLevel="0" collapsed="false">
      <c r="A6" s="12" t="s">
        <v>725</v>
      </c>
      <c r="B6" s="12" t="s">
        <v>726</v>
      </c>
      <c r="C6" s="12" t="s">
        <v>119</v>
      </c>
      <c r="D6" s="12" t="s">
        <v>727</v>
      </c>
      <c r="E6" s="12" t="s">
        <v>728</v>
      </c>
      <c r="F6" s="14"/>
      <c r="G6" s="14"/>
    </row>
    <row r="7" customFormat="false" ht="15" hidden="false" customHeight="false" outlineLevel="0" collapsed="false">
      <c r="A7" s="15" t="s">
        <v>729</v>
      </c>
      <c r="B7" s="15" t="s">
        <v>730</v>
      </c>
      <c r="C7" s="15" t="s">
        <v>119</v>
      </c>
      <c r="D7" s="15" t="s">
        <v>731</v>
      </c>
      <c r="E7" s="15" t="s">
        <v>149</v>
      </c>
      <c r="F7" s="14"/>
      <c r="G7" s="14"/>
    </row>
    <row r="8" customFormat="false" ht="15" hidden="false" customHeight="false" outlineLevel="0" collapsed="false">
      <c r="A8" s="12" t="s">
        <v>728</v>
      </c>
      <c r="B8" s="12" t="s">
        <v>732</v>
      </c>
      <c r="C8" s="12" t="s">
        <v>733</v>
      </c>
      <c r="D8" s="12" t="s">
        <v>734</v>
      </c>
      <c r="E8" s="12" t="s">
        <v>735</v>
      </c>
      <c r="F8" s="14"/>
      <c r="G8" s="14"/>
    </row>
    <row r="9" customFormat="false" ht="15" hidden="false" customHeight="false" outlineLevel="0" collapsed="false">
      <c r="A9" s="15" t="s">
        <v>736</v>
      </c>
      <c r="B9" s="15" t="s">
        <v>737</v>
      </c>
      <c r="C9" s="15" t="s">
        <v>79</v>
      </c>
      <c r="D9" s="15" t="s">
        <v>738</v>
      </c>
      <c r="E9" s="15" t="s">
        <v>739</v>
      </c>
      <c r="F9" s="14"/>
      <c r="G9" s="14"/>
    </row>
    <row r="10" customFormat="false" ht="15" hidden="false" customHeight="false" outlineLevel="0" collapsed="false">
      <c r="A10" s="12" t="s">
        <v>740</v>
      </c>
      <c r="B10" s="12" t="s">
        <v>741</v>
      </c>
      <c r="C10" s="12" t="s">
        <v>338</v>
      </c>
      <c r="D10" s="12" t="s">
        <v>742</v>
      </c>
      <c r="E10" s="12" t="s">
        <v>743</v>
      </c>
      <c r="F10" s="14"/>
      <c r="G10" s="14"/>
    </row>
    <row r="11" customFormat="false" ht="15" hidden="false" customHeight="false" outlineLevel="0" collapsed="false">
      <c r="A11" s="15" t="s">
        <v>743</v>
      </c>
      <c r="B11" s="15" t="s">
        <v>744</v>
      </c>
      <c r="C11" s="15" t="s">
        <v>79</v>
      </c>
      <c r="D11" s="15" t="s">
        <v>745</v>
      </c>
      <c r="E11" s="15" t="s">
        <v>746</v>
      </c>
      <c r="F11" s="14"/>
      <c r="G11" s="14"/>
    </row>
    <row r="12" customFormat="false" ht="15" hidden="false" customHeight="false" outlineLevel="0" collapsed="false">
      <c r="A12" s="12" t="s">
        <v>747</v>
      </c>
      <c r="B12" s="12" t="s">
        <v>748</v>
      </c>
      <c r="C12" s="12" t="s">
        <v>338</v>
      </c>
      <c r="D12" s="12" t="s">
        <v>749</v>
      </c>
      <c r="E12" s="12" t="s">
        <v>739</v>
      </c>
      <c r="F12" s="14"/>
      <c r="G12" s="14"/>
    </row>
    <row r="13" customFormat="false" ht="15" hidden="false" customHeight="false" outlineLevel="0" collapsed="false">
      <c r="A13" s="15" t="s">
        <v>750</v>
      </c>
      <c r="B13" s="15" t="s">
        <v>751</v>
      </c>
      <c r="C13" s="15" t="s">
        <v>79</v>
      </c>
      <c r="D13" s="15" t="s">
        <v>752</v>
      </c>
      <c r="E13" s="15" t="s">
        <v>753</v>
      </c>
      <c r="F13" s="14"/>
      <c r="G13" s="14"/>
    </row>
    <row r="14" customFormat="false" ht="15" hidden="false" customHeight="false" outlineLevel="0" collapsed="false">
      <c r="A14" s="12" t="s">
        <v>753</v>
      </c>
      <c r="B14" s="12" t="s">
        <v>754</v>
      </c>
      <c r="C14" s="12" t="s">
        <v>449</v>
      </c>
      <c r="D14" s="12" t="s">
        <v>755</v>
      </c>
      <c r="E14" s="12" t="s">
        <v>756</v>
      </c>
      <c r="F14" s="14"/>
      <c r="G14" s="14"/>
    </row>
    <row r="15" customFormat="false" ht="15" hidden="false" customHeight="false" outlineLevel="0" collapsed="false">
      <c r="A15" s="15" t="s">
        <v>757</v>
      </c>
      <c r="B15" s="15" t="s">
        <v>758</v>
      </c>
      <c r="C15" s="15" t="s">
        <v>513</v>
      </c>
      <c r="D15" s="15" t="s">
        <v>759</v>
      </c>
      <c r="E15" s="15" t="s">
        <v>760</v>
      </c>
      <c r="F15" s="14"/>
      <c r="G15" s="14"/>
    </row>
    <row r="16" customFormat="false" ht="15" hidden="false" customHeight="false" outlineLevel="0" collapsed="false">
      <c r="A16" s="12" t="s">
        <v>760</v>
      </c>
      <c r="B16" s="12" t="s">
        <v>761</v>
      </c>
      <c r="C16" s="12" t="s">
        <v>762</v>
      </c>
      <c r="D16" s="12" t="s">
        <v>763</v>
      </c>
      <c r="E16" s="12" t="s">
        <v>149</v>
      </c>
      <c r="F16" s="14"/>
      <c r="G16" s="14"/>
    </row>
    <row r="17" customFormat="false" ht="15" hidden="false" customHeight="false" outlineLevel="0" collapsed="false">
      <c r="A17" s="15" t="s">
        <v>764</v>
      </c>
      <c r="B17" s="15" t="s">
        <v>765</v>
      </c>
      <c r="C17" s="15" t="s">
        <v>303</v>
      </c>
      <c r="D17" s="15" t="s">
        <v>766</v>
      </c>
      <c r="E17" s="15" t="s">
        <v>753</v>
      </c>
      <c r="F17" s="14"/>
      <c r="G17" s="14"/>
    </row>
    <row r="18" customFormat="false" ht="15" hidden="false" customHeight="false" outlineLevel="0" collapsed="false">
      <c r="A18" s="12" t="s">
        <v>767</v>
      </c>
      <c r="B18" s="12" t="s">
        <v>768</v>
      </c>
      <c r="C18" s="12" t="s">
        <v>338</v>
      </c>
      <c r="D18" s="12" t="s">
        <v>769</v>
      </c>
      <c r="E18" s="12" t="s">
        <v>740</v>
      </c>
      <c r="F18" s="14"/>
      <c r="G18" s="14"/>
    </row>
    <row r="19" customFormat="false" ht="15" hidden="false" customHeight="false" outlineLevel="0" collapsed="false">
      <c r="A19" s="15" t="s">
        <v>770</v>
      </c>
      <c r="B19" s="15" t="s">
        <v>771</v>
      </c>
      <c r="C19" s="15" t="s">
        <v>194</v>
      </c>
      <c r="D19" s="15" t="s">
        <v>772</v>
      </c>
      <c r="E19" s="15" t="s">
        <v>149</v>
      </c>
      <c r="F19" s="14"/>
      <c r="G19" s="14"/>
    </row>
    <row r="21" customFormat="false" ht="15" hidden="false" customHeight="false" outlineLevel="0" collapsed="false">
      <c r="B21" s="17" t="s">
        <v>773</v>
      </c>
    </row>
  </sheetData>
  <autoFilter ref="A1:G1"/>
  <dataValidations count="1">
    <dataValidation allowBlank="true" error="Choose: Agreed, Agreed with changes, Not agreed, Need discussion" errorStyle="stop" errorTitle="Concurrence" operator="between" showDropDown="false" showErrorMessage="true" showInputMessage="false" sqref="F2:F19" type="list">
      <formula1>"Agreed,Agreed with changes,Not agreed,Need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110"/>
  </cols>
  <sheetData>
    <row r="1" customFormat="false" ht="31.5" hidden="false" customHeight="true" outlineLevel="0" collapsed="false">
      <c r="A1" s="11" t="s">
        <v>774</v>
      </c>
      <c r="B1" s="11" t="s">
        <v>775</v>
      </c>
      <c r="C1" s="11" t="s">
        <v>776</v>
      </c>
    </row>
    <row r="2" customFormat="false" ht="15" hidden="false" customHeight="false" outlineLevel="0" collapsed="false">
      <c r="A2" s="12" t="s">
        <v>777</v>
      </c>
      <c r="B2" s="12" t="s">
        <v>778</v>
      </c>
      <c r="C2" s="12" t="s">
        <v>779</v>
      </c>
    </row>
    <row r="3" customFormat="false" ht="15" hidden="false" customHeight="false" outlineLevel="0" collapsed="false">
      <c r="A3" s="15" t="s">
        <v>780</v>
      </c>
      <c r="B3" s="15" t="s">
        <v>781</v>
      </c>
      <c r="C3" s="15" t="s">
        <v>782</v>
      </c>
    </row>
    <row r="4" customFormat="false" ht="15" hidden="false" customHeight="false" outlineLevel="0" collapsed="false">
      <c r="A4" s="12" t="s">
        <v>404</v>
      </c>
      <c r="B4" s="12" t="s">
        <v>781</v>
      </c>
      <c r="C4" s="12" t="s">
        <v>783</v>
      </c>
    </row>
    <row r="5" customFormat="false" ht="15" hidden="false" customHeight="false" outlineLevel="0" collapsed="false">
      <c r="A5" s="15" t="s">
        <v>784</v>
      </c>
      <c r="B5" s="15" t="s">
        <v>781</v>
      </c>
      <c r="C5" s="15" t="s">
        <v>785</v>
      </c>
    </row>
    <row r="6" customFormat="false" ht="15" hidden="false" customHeight="false" outlineLevel="0" collapsed="false">
      <c r="A6" s="12" t="s">
        <v>786</v>
      </c>
      <c r="B6" s="12" t="s">
        <v>787</v>
      </c>
      <c r="C6" s="12" t="s">
        <v>788</v>
      </c>
    </row>
    <row r="7" customFormat="false" ht="15" hidden="false" customHeight="false" outlineLevel="0" collapsed="false">
      <c r="A7" s="15" t="s">
        <v>789</v>
      </c>
      <c r="B7" s="15" t="s">
        <v>787</v>
      </c>
      <c r="C7" s="15" t="s">
        <v>790</v>
      </c>
    </row>
    <row r="8" customFormat="false" ht="15" hidden="false" customHeight="false" outlineLevel="0" collapsed="false">
      <c r="A8" s="12" t="s">
        <v>791</v>
      </c>
      <c r="B8" s="12" t="s">
        <v>787</v>
      </c>
      <c r="C8" s="12" t="s">
        <v>792</v>
      </c>
    </row>
    <row r="9" customFormat="false" ht="15" hidden="false" customHeight="false" outlineLevel="0" collapsed="false">
      <c r="A9" s="15" t="s">
        <v>793</v>
      </c>
      <c r="B9" s="15" t="s">
        <v>787</v>
      </c>
      <c r="C9" s="15" t="s">
        <v>794</v>
      </c>
    </row>
    <row r="10" customFormat="false" ht="15" hidden="false" customHeight="false" outlineLevel="0" collapsed="false">
      <c r="A10" s="12" t="s">
        <v>795</v>
      </c>
      <c r="B10" s="12" t="s">
        <v>781</v>
      </c>
      <c r="C10" s="12" t="s">
        <v>796</v>
      </c>
    </row>
    <row r="11" customFormat="false" ht="15" hidden="false" customHeight="false" outlineLevel="0" collapsed="false">
      <c r="A11" s="15" t="s">
        <v>797</v>
      </c>
      <c r="B11" s="15" t="s">
        <v>787</v>
      </c>
      <c r="C11" s="15" t="s">
        <v>798</v>
      </c>
    </row>
    <row r="12" customFormat="false" ht="15" hidden="false" customHeight="false" outlineLevel="0" collapsed="false">
      <c r="A12" s="12" t="s">
        <v>799</v>
      </c>
      <c r="B12" s="12" t="s">
        <v>787</v>
      </c>
      <c r="C12" s="12" t="s">
        <v>800</v>
      </c>
    </row>
    <row r="13" customFormat="false" ht="15" hidden="false" customHeight="false" outlineLevel="0" collapsed="false">
      <c r="A13" s="15" t="s">
        <v>801</v>
      </c>
      <c r="B13" s="15" t="s">
        <v>802</v>
      </c>
      <c r="C13" s="15" t="s">
        <v>803</v>
      </c>
    </row>
    <row r="14" customFormat="false" ht="23.85" hidden="false" customHeight="false" outlineLevel="0" collapsed="false">
      <c r="A14" s="12" t="s">
        <v>804</v>
      </c>
      <c r="B14" s="12" t="s">
        <v>805</v>
      </c>
      <c r="C14" s="12" t="s">
        <v>806</v>
      </c>
    </row>
  </sheetData>
  <autoFilter ref="A1:C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90"/>
    <col collapsed="false" customWidth="true" hidden="false" outlineLevel="0" max="4" min="4" style="0" width="24"/>
    <col collapsed="false" customWidth="true" hidden="false" outlineLevel="0" max="5" min="5" style="0" width="50"/>
    <col collapsed="false" customWidth="true" hidden="false" outlineLevel="0" max="6" min="6" style="0" width="18"/>
    <col collapsed="false" customWidth="true" hidden="false" outlineLevel="0" max="7" min="7" style="0" width="12"/>
  </cols>
  <sheetData>
    <row r="1" customFormat="false" ht="31.5" hidden="false" customHeight="true" outlineLevel="0" collapsed="false">
      <c r="A1" s="11" t="s">
        <v>807</v>
      </c>
      <c r="B1" s="11" t="s">
        <v>808</v>
      </c>
      <c r="C1" s="11" t="s">
        <v>809</v>
      </c>
      <c r="D1" s="11" t="s">
        <v>810</v>
      </c>
      <c r="E1" s="11" t="s">
        <v>811</v>
      </c>
      <c r="F1" s="11" t="s">
        <v>812</v>
      </c>
      <c r="G1" s="11" t="s">
        <v>813</v>
      </c>
    </row>
    <row r="2" customFormat="false" ht="23.85" hidden="false" customHeight="false" outlineLevel="0" collapsed="false">
      <c r="A2" s="12" t="s">
        <v>85</v>
      </c>
      <c r="B2" s="12" t="s">
        <v>814</v>
      </c>
      <c r="C2" s="12" t="s">
        <v>815</v>
      </c>
      <c r="D2" s="12" t="s">
        <v>816</v>
      </c>
      <c r="E2" s="14"/>
      <c r="F2" s="14"/>
      <c r="G2" s="14"/>
    </row>
    <row r="3" customFormat="false" ht="23.85" hidden="false" customHeight="false" outlineLevel="0" collapsed="false">
      <c r="A3" s="15" t="s">
        <v>91</v>
      </c>
      <c r="B3" s="15" t="s">
        <v>814</v>
      </c>
      <c r="C3" s="15" t="s">
        <v>817</v>
      </c>
      <c r="D3" s="15" t="s">
        <v>818</v>
      </c>
      <c r="E3" s="14"/>
      <c r="F3" s="14"/>
      <c r="G3" s="14"/>
    </row>
    <row r="4" customFormat="false" ht="23.85" hidden="false" customHeight="false" outlineLevel="0" collapsed="false">
      <c r="A4" s="12" t="s">
        <v>104</v>
      </c>
      <c r="B4" s="12" t="s">
        <v>819</v>
      </c>
      <c r="C4" s="12" t="s">
        <v>820</v>
      </c>
      <c r="D4" s="12" t="s">
        <v>821</v>
      </c>
      <c r="E4" s="14"/>
      <c r="F4" s="14"/>
      <c r="G4" s="14"/>
    </row>
    <row r="5" customFormat="false" ht="23.85" hidden="false" customHeight="false" outlineLevel="0" collapsed="false">
      <c r="A5" s="15" t="s">
        <v>117</v>
      </c>
      <c r="B5" s="15" t="s">
        <v>822</v>
      </c>
      <c r="C5" s="15" t="s">
        <v>823</v>
      </c>
      <c r="D5" s="15" t="s">
        <v>111</v>
      </c>
      <c r="E5" s="14"/>
      <c r="F5" s="14"/>
      <c r="G5" s="14"/>
    </row>
    <row r="6" customFormat="false" ht="15" hidden="false" customHeight="false" outlineLevel="0" collapsed="false">
      <c r="A6" s="12" t="s">
        <v>124</v>
      </c>
      <c r="B6" s="12" t="s">
        <v>824</v>
      </c>
      <c r="C6" s="12" t="s">
        <v>825</v>
      </c>
      <c r="D6" s="12" t="s">
        <v>826</v>
      </c>
      <c r="E6" s="14"/>
      <c r="F6" s="14"/>
      <c r="G6" s="14"/>
    </row>
    <row r="7" customFormat="false" ht="23.85" hidden="false" customHeight="false" outlineLevel="0" collapsed="false">
      <c r="A7" s="15" t="s">
        <v>140</v>
      </c>
      <c r="B7" s="15" t="s">
        <v>827</v>
      </c>
      <c r="C7" s="15" t="s">
        <v>828</v>
      </c>
      <c r="D7" s="15" t="s">
        <v>829</v>
      </c>
      <c r="E7" s="14"/>
      <c r="F7" s="14"/>
      <c r="G7" s="14"/>
    </row>
    <row r="8" customFormat="false" ht="23.85" hidden="false" customHeight="false" outlineLevel="0" collapsed="false">
      <c r="A8" s="12" t="s">
        <v>166</v>
      </c>
      <c r="B8" s="12" t="s">
        <v>830</v>
      </c>
      <c r="C8" s="12" t="s">
        <v>831</v>
      </c>
      <c r="D8" s="12" t="s">
        <v>832</v>
      </c>
      <c r="E8" s="14"/>
      <c r="F8" s="14"/>
      <c r="G8" s="14"/>
    </row>
    <row r="9" customFormat="false" ht="15" hidden="false" customHeight="false" outlineLevel="0" collapsed="false">
      <c r="A9" s="15" t="s">
        <v>177</v>
      </c>
      <c r="B9" s="15" t="s">
        <v>55</v>
      </c>
      <c r="C9" s="15" t="s">
        <v>833</v>
      </c>
      <c r="D9" s="15" t="s">
        <v>834</v>
      </c>
      <c r="E9" s="14"/>
      <c r="F9" s="14"/>
      <c r="G9" s="14"/>
    </row>
    <row r="10" customFormat="false" ht="15" hidden="false" customHeight="false" outlineLevel="0" collapsed="false">
      <c r="A10" s="12" t="s">
        <v>192</v>
      </c>
      <c r="B10" s="12" t="s">
        <v>835</v>
      </c>
      <c r="C10" s="12" t="s">
        <v>836</v>
      </c>
      <c r="D10" s="12" t="s">
        <v>187</v>
      </c>
      <c r="E10" s="14"/>
      <c r="F10" s="14"/>
      <c r="G10" s="14"/>
    </row>
    <row r="11" customFormat="false" ht="23.85" hidden="false" customHeight="false" outlineLevel="0" collapsed="false">
      <c r="A11" s="15" t="s">
        <v>216</v>
      </c>
      <c r="B11" s="15" t="s">
        <v>64</v>
      </c>
      <c r="C11" s="15" t="s">
        <v>837</v>
      </c>
      <c r="D11" s="15" t="s">
        <v>838</v>
      </c>
      <c r="E11" s="14"/>
      <c r="F11" s="14"/>
      <c r="G11" s="14"/>
    </row>
    <row r="12" customFormat="false" ht="23.85" hidden="false" customHeight="false" outlineLevel="0" collapsed="false">
      <c r="A12" s="12" t="s">
        <v>222</v>
      </c>
      <c r="B12" s="12" t="s">
        <v>839</v>
      </c>
      <c r="C12" s="12" t="s">
        <v>840</v>
      </c>
      <c r="D12" s="12" t="s">
        <v>841</v>
      </c>
      <c r="E12" s="14"/>
      <c r="F12" s="14"/>
      <c r="G12" s="14"/>
    </row>
    <row r="13" customFormat="false" ht="15" hidden="false" customHeight="false" outlineLevel="0" collapsed="false">
      <c r="A13" s="15" t="s">
        <v>228</v>
      </c>
      <c r="B13" s="15" t="s">
        <v>842</v>
      </c>
      <c r="C13" s="15" t="s">
        <v>843</v>
      </c>
      <c r="D13" s="15" t="s">
        <v>223</v>
      </c>
      <c r="E13" s="14"/>
      <c r="F13" s="14"/>
      <c r="G13" s="14"/>
    </row>
    <row r="14" customFormat="false" ht="23.85" hidden="false" customHeight="false" outlineLevel="0" collapsed="false">
      <c r="A14" s="12" t="s">
        <v>246</v>
      </c>
      <c r="B14" s="12" t="s">
        <v>844</v>
      </c>
      <c r="C14" s="12" t="s">
        <v>845</v>
      </c>
      <c r="D14" s="12" t="s">
        <v>846</v>
      </c>
      <c r="E14" s="14"/>
      <c r="F14" s="14"/>
      <c r="G14" s="14"/>
    </row>
    <row r="15" customFormat="false" ht="15" hidden="false" customHeight="false" outlineLevel="0" collapsed="false">
      <c r="A15" s="15" t="s">
        <v>256</v>
      </c>
      <c r="B15" s="15" t="s">
        <v>847</v>
      </c>
      <c r="C15" s="15" t="s">
        <v>848</v>
      </c>
      <c r="D15" s="15" t="s">
        <v>252</v>
      </c>
      <c r="E15" s="14"/>
      <c r="F15" s="14"/>
      <c r="G15" s="14"/>
    </row>
    <row r="16" customFormat="false" ht="23.85" hidden="false" customHeight="false" outlineLevel="0" collapsed="false">
      <c r="A16" s="12" t="s">
        <v>287</v>
      </c>
      <c r="B16" s="12" t="s">
        <v>849</v>
      </c>
      <c r="C16" s="12" t="s">
        <v>850</v>
      </c>
      <c r="D16" s="12" t="s">
        <v>851</v>
      </c>
      <c r="E16" s="14"/>
      <c r="F16" s="14"/>
      <c r="G16" s="14"/>
    </row>
    <row r="17" customFormat="false" ht="15" hidden="false" customHeight="false" outlineLevel="0" collapsed="false">
      <c r="A17" s="15" t="s">
        <v>294</v>
      </c>
      <c r="B17" s="15" t="s">
        <v>852</v>
      </c>
      <c r="C17" s="15" t="s">
        <v>853</v>
      </c>
      <c r="D17" s="15" t="s">
        <v>854</v>
      </c>
      <c r="E17" s="14"/>
      <c r="F17" s="14"/>
      <c r="G17" s="14"/>
    </row>
    <row r="18" customFormat="false" ht="15" hidden="false" customHeight="false" outlineLevel="0" collapsed="false">
      <c r="A18" s="12" t="s">
        <v>301</v>
      </c>
      <c r="B18" s="12" t="s">
        <v>855</v>
      </c>
      <c r="C18" s="12" t="s">
        <v>856</v>
      </c>
      <c r="D18" s="12" t="s">
        <v>295</v>
      </c>
      <c r="E18" s="14"/>
      <c r="F18" s="14"/>
      <c r="G18" s="14"/>
    </row>
    <row r="19" customFormat="false" ht="15" hidden="false" customHeight="false" outlineLevel="0" collapsed="false">
      <c r="A19" s="15" t="s">
        <v>336</v>
      </c>
      <c r="B19" s="15" t="s">
        <v>857</v>
      </c>
      <c r="C19" s="15" t="s">
        <v>858</v>
      </c>
      <c r="D19" s="15" t="s">
        <v>331</v>
      </c>
      <c r="E19" s="14"/>
      <c r="F19" s="14"/>
      <c r="G19" s="14"/>
    </row>
    <row r="20" customFormat="false" ht="15" hidden="false" customHeight="false" outlineLevel="0" collapsed="false">
      <c r="A20" s="12" t="s">
        <v>342</v>
      </c>
      <c r="B20" s="12" t="s">
        <v>859</v>
      </c>
      <c r="C20" s="12" t="s">
        <v>860</v>
      </c>
      <c r="D20" s="12" t="s">
        <v>337</v>
      </c>
      <c r="E20" s="14"/>
      <c r="F20" s="14"/>
      <c r="G20" s="14"/>
    </row>
    <row r="21" customFormat="false" ht="15" hidden="false" customHeight="false" outlineLevel="0" collapsed="false">
      <c r="A21" s="15" t="s">
        <v>347</v>
      </c>
      <c r="B21" s="15" t="s">
        <v>861</v>
      </c>
      <c r="C21" s="15" t="s">
        <v>862</v>
      </c>
      <c r="D21" s="15" t="s">
        <v>343</v>
      </c>
      <c r="E21" s="14"/>
      <c r="F21" s="14"/>
      <c r="G21" s="14"/>
    </row>
    <row r="22" customFormat="false" ht="15" hidden="false" customHeight="false" outlineLevel="0" collapsed="false">
      <c r="A22" s="12" t="s">
        <v>353</v>
      </c>
      <c r="B22" s="12" t="s">
        <v>863</v>
      </c>
      <c r="C22" s="12" t="s">
        <v>864</v>
      </c>
      <c r="D22" s="12" t="s">
        <v>348</v>
      </c>
      <c r="E22" s="14"/>
      <c r="F22" s="14"/>
      <c r="G22" s="14"/>
    </row>
    <row r="23" customFormat="false" ht="15" hidden="false" customHeight="false" outlineLevel="0" collapsed="false">
      <c r="A23" s="15" t="s">
        <v>370</v>
      </c>
      <c r="B23" s="15" t="s">
        <v>865</v>
      </c>
      <c r="C23" s="15" t="s">
        <v>866</v>
      </c>
      <c r="D23" s="15" t="s">
        <v>867</v>
      </c>
      <c r="E23" s="14"/>
      <c r="F23" s="14"/>
      <c r="G23" s="14"/>
    </row>
    <row r="24" customFormat="false" ht="15" hidden="false" customHeight="false" outlineLevel="0" collapsed="false">
      <c r="A24" s="12" t="s">
        <v>399</v>
      </c>
      <c r="B24" s="12" t="s">
        <v>868</v>
      </c>
      <c r="C24" s="12" t="s">
        <v>869</v>
      </c>
      <c r="D24" s="12" t="s">
        <v>393</v>
      </c>
      <c r="E24" s="14"/>
      <c r="F24" s="14"/>
      <c r="G24" s="14"/>
    </row>
    <row r="25" customFormat="false" ht="15" hidden="false" customHeight="false" outlineLevel="0" collapsed="false">
      <c r="A25" s="15" t="s">
        <v>415</v>
      </c>
      <c r="B25" s="15" t="s">
        <v>870</v>
      </c>
      <c r="C25" s="15" t="s">
        <v>871</v>
      </c>
      <c r="D25" s="15" t="s">
        <v>872</v>
      </c>
      <c r="E25" s="14"/>
      <c r="F25" s="14"/>
      <c r="G25" s="14"/>
    </row>
    <row r="26" customFormat="false" ht="15" hidden="false" customHeight="false" outlineLevel="0" collapsed="false">
      <c r="A26" s="12" t="s">
        <v>447</v>
      </c>
      <c r="B26" s="12" t="s">
        <v>873</v>
      </c>
      <c r="C26" s="12" t="s">
        <v>874</v>
      </c>
      <c r="D26" s="12" t="s">
        <v>442</v>
      </c>
      <c r="E26" s="14"/>
      <c r="F26" s="14"/>
      <c r="G26" s="14"/>
    </row>
    <row r="27" customFormat="false" ht="15" hidden="false" customHeight="false" outlineLevel="0" collapsed="false">
      <c r="A27" s="15" t="s">
        <v>455</v>
      </c>
      <c r="B27" s="15" t="s">
        <v>57</v>
      </c>
      <c r="C27" s="15" t="s">
        <v>875</v>
      </c>
      <c r="D27" s="15" t="s">
        <v>448</v>
      </c>
      <c r="E27" s="14"/>
      <c r="F27" s="14"/>
      <c r="G27" s="14"/>
    </row>
    <row r="28" customFormat="false" ht="15" hidden="false" customHeight="false" outlineLevel="0" collapsed="false">
      <c r="A28" s="12" t="s">
        <v>464</v>
      </c>
      <c r="B28" s="12" t="s">
        <v>876</v>
      </c>
      <c r="C28" s="12" t="s">
        <v>877</v>
      </c>
      <c r="D28" s="12" t="s">
        <v>878</v>
      </c>
      <c r="E28" s="14"/>
      <c r="F28" s="14"/>
      <c r="G28" s="14"/>
    </row>
    <row r="29" customFormat="false" ht="15" hidden="false" customHeight="false" outlineLevel="0" collapsed="false">
      <c r="A29" s="15" t="s">
        <v>474</v>
      </c>
      <c r="B29" s="15" t="s">
        <v>879</v>
      </c>
      <c r="C29" s="15" t="s">
        <v>880</v>
      </c>
      <c r="D29" s="15" t="s">
        <v>881</v>
      </c>
      <c r="E29" s="14"/>
      <c r="F29" s="14"/>
      <c r="G29" s="14"/>
    </row>
    <row r="30" customFormat="false" ht="15" hidden="false" customHeight="false" outlineLevel="0" collapsed="false">
      <c r="A30" s="12" t="s">
        <v>484</v>
      </c>
      <c r="B30" s="12" t="s">
        <v>882</v>
      </c>
      <c r="C30" s="12" t="s">
        <v>883</v>
      </c>
      <c r="D30" s="12" t="s">
        <v>480</v>
      </c>
      <c r="E30" s="14"/>
      <c r="F30" s="14"/>
      <c r="G30" s="14"/>
    </row>
    <row r="31" customFormat="false" ht="15" hidden="false" customHeight="false" outlineLevel="0" collapsed="false">
      <c r="A31" s="15" t="s">
        <v>498</v>
      </c>
      <c r="B31" s="15" t="s">
        <v>884</v>
      </c>
      <c r="C31" s="15" t="s">
        <v>885</v>
      </c>
      <c r="D31" s="15" t="s">
        <v>886</v>
      </c>
      <c r="E31" s="14"/>
      <c r="F31" s="14"/>
      <c r="G31" s="14"/>
    </row>
    <row r="32" customFormat="false" ht="15" hidden="false" customHeight="false" outlineLevel="0" collapsed="false">
      <c r="A32" s="12" t="s">
        <v>507</v>
      </c>
      <c r="B32" s="12" t="s">
        <v>887</v>
      </c>
      <c r="C32" s="12" t="s">
        <v>888</v>
      </c>
      <c r="D32" s="12" t="s">
        <v>503</v>
      </c>
      <c r="E32" s="14"/>
      <c r="F32" s="14"/>
      <c r="G32" s="14"/>
    </row>
    <row r="33" customFormat="false" ht="23.85" hidden="false" customHeight="false" outlineLevel="0" collapsed="false">
      <c r="A33" s="15" t="s">
        <v>526</v>
      </c>
      <c r="B33" s="15" t="s">
        <v>889</v>
      </c>
      <c r="C33" s="15" t="s">
        <v>890</v>
      </c>
      <c r="D33" s="15" t="s">
        <v>891</v>
      </c>
      <c r="E33" s="14"/>
      <c r="F33" s="14"/>
      <c r="G33" s="14"/>
    </row>
    <row r="34" customFormat="false" ht="15" hidden="false" customHeight="false" outlineLevel="0" collapsed="false">
      <c r="A34" s="12" t="s">
        <v>568</v>
      </c>
      <c r="B34" s="12" t="s">
        <v>892</v>
      </c>
      <c r="C34" s="12" t="s">
        <v>893</v>
      </c>
      <c r="D34" s="12" t="s">
        <v>564</v>
      </c>
      <c r="E34" s="14"/>
      <c r="F34" s="14"/>
      <c r="G34" s="14"/>
    </row>
    <row r="35" customFormat="false" ht="15" hidden="false" customHeight="false" outlineLevel="0" collapsed="false">
      <c r="A35" s="15" t="s">
        <v>574</v>
      </c>
      <c r="B35" s="15" t="s">
        <v>894</v>
      </c>
      <c r="C35" s="15" t="s">
        <v>895</v>
      </c>
      <c r="D35" s="15" t="s">
        <v>569</v>
      </c>
      <c r="E35" s="14"/>
      <c r="F35" s="14"/>
      <c r="G35" s="14"/>
    </row>
    <row r="36" customFormat="false" ht="15" hidden="false" customHeight="false" outlineLevel="0" collapsed="false">
      <c r="A36" s="12" t="s">
        <v>584</v>
      </c>
      <c r="B36" s="12" t="s">
        <v>896</v>
      </c>
      <c r="C36" s="12" t="s">
        <v>897</v>
      </c>
      <c r="D36" s="12" t="s">
        <v>579</v>
      </c>
      <c r="E36" s="14"/>
      <c r="F36" s="14"/>
      <c r="G36" s="14"/>
    </row>
    <row r="37" customFormat="false" ht="15" hidden="false" customHeight="false" outlineLevel="0" collapsed="false">
      <c r="A37" s="15" t="s">
        <v>589</v>
      </c>
      <c r="B37" s="15" t="s">
        <v>898</v>
      </c>
      <c r="C37" s="15" t="s">
        <v>899</v>
      </c>
      <c r="D37" s="15" t="s">
        <v>585</v>
      </c>
      <c r="E37" s="14"/>
      <c r="F37" s="14"/>
      <c r="G37" s="14"/>
    </row>
    <row r="38" customFormat="false" ht="15" hidden="false" customHeight="false" outlineLevel="0" collapsed="false">
      <c r="A38" s="12" t="s">
        <v>595</v>
      </c>
      <c r="B38" s="12" t="s">
        <v>900</v>
      </c>
      <c r="C38" s="12" t="s">
        <v>901</v>
      </c>
      <c r="D38" s="12" t="s">
        <v>590</v>
      </c>
      <c r="E38" s="14"/>
      <c r="F38" s="14"/>
      <c r="G38" s="14"/>
    </row>
    <row r="39" customFormat="false" ht="15" hidden="false" customHeight="false" outlineLevel="0" collapsed="false">
      <c r="A39" s="15" t="s">
        <v>601</v>
      </c>
      <c r="B39" s="15" t="s">
        <v>902</v>
      </c>
      <c r="C39" s="15" t="s">
        <v>903</v>
      </c>
      <c r="D39" s="15" t="s">
        <v>596</v>
      </c>
      <c r="E39" s="14"/>
      <c r="F39" s="14"/>
      <c r="G39" s="14"/>
    </row>
    <row r="40" customFormat="false" ht="15" hidden="false" customHeight="false" outlineLevel="0" collapsed="false">
      <c r="A40" s="12" t="s">
        <v>611</v>
      </c>
      <c r="B40" s="12" t="s">
        <v>904</v>
      </c>
      <c r="C40" s="12" t="s">
        <v>905</v>
      </c>
      <c r="D40" s="12" t="s">
        <v>607</v>
      </c>
      <c r="E40" s="14"/>
      <c r="F40" s="14"/>
      <c r="G40" s="14"/>
    </row>
    <row r="41" customFormat="false" ht="15" hidden="false" customHeight="false" outlineLevel="0" collapsed="false">
      <c r="A41" s="15" t="s">
        <v>642</v>
      </c>
      <c r="B41" s="15" t="s">
        <v>906</v>
      </c>
      <c r="C41" s="15" t="s">
        <v>907</v>
      </c>
      <c r="D41" s="15" t="s">
        <v>636</v>
      </c>
      <c r="E41" s="14"/>
      <c r="F41" s="14"/>
      <c r="G41" s="14"/>
    </row>
    <row r="42" customFormat="false" ht="15" hidden="false" customHeight="false" outlineLevel="0" collapsed="false">
      <c r="A42" s="12" t="s">
        <v>649</v>
      </c>
      <c r="B42" s="12" t="s">
        <v>908</v>
      </c>
      <c r="C42" s="12" t="s">
        <v>909</v>
      </c>
      <c r="D42" s="12" t="s">
        <v>643</v>
      </c>
      <c r="E42" s="14"/>
      <c r="F42" s="14"/>
      <c r="G42" s="14"/>
    </row>
    <row r="43" customFormat="false" ht="15" hidden="false" customHeight="false" outlineLevel="0" collapsed="false">
      <c r="A43" s="15" t="s">
        <v>656</v>
      </c>
      <c r="B43" s="15" t="s">
        <v>910</v>
      </c>
      <c r="C43" s="15" t="s">
        <v>911</v>
      </c>
      <c r="D43" s="15" t="s">
        <v>650</v>
      </c>
      <c r="E43" s="14"/>
      <c r="F43" s="14"/>
      <c r="G43" s="14"/>
    </row>
    <row r="44" customFormat="false" ht="23.85" hidden="false" customHeight="false" outlineLevel="0" collapsed="false">
      <c r="A44" s="12" t="s">
        <v>912</v>
      </c>
      <c r="B44" s="12" t="s">
        <v>913</v>
      </c>
      <c r="C44" s="12" t="s">
        <v>914</v>
      </c>
      <c r="D44" s="12" t="s">
        <v>915</v>
      </c>
      <c r="E44" s="14"/>
      <c r="F44" s="14"/>
      <c r="G44" s="14"/>
    </row>
    <row r="45" customFormat="false" ht="15" hidden="false" customHeight="false" outlineLevel="0" collapsed="false">
      <c r="A45" s="15" t="s">
        <v>916</v>
      </c>
      <c r="B45" s="15" t="s">
        <v>917</v>
      </c>
      <c r="C45" s="15" t="s">
        <v>918</v>
      </c>
      <c r="D45" s="15" t="s">
        <v>58</v>
      </c>
      <c r="E45" s="14"/>
      <c r="F45" s="14"/>
      <c r="G45" s="14"/>
    </row>
  </sheetData>
  <autoFilter ref="A1:G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40"/>
    <col collapsed="false" customWidth="true" hidden="false" outlineLevel="0" max="4" min="4" style="0" width="26"/>
    <col collapsed="false" customWidth="true" hidden="false" outlineLevel="0" max="5" min="5" style="0" width="12"/>
  </cols>
  <sheetData>
    <row r="1" customFormat="false" ht="31.5" hidden="false" customHeight="true" outlineLevel="0" collapsed="false">
      <c r="A1" s="11" t="s">
        <v>919</v>
      </c>
      <c r="B1" s="11" t="s">
        <v>920</v>
      </c>
      <c r="C1" s="11" t="s">
        <v>71</v>
      </c>
      <c r="D1" s="11" t="s">
        <v>921</v>
      </c>
      <c r="E1" s="11" t="s">
        <v>922</v>
      </c>
    </row>
    <row r="2" customFormat="false" ht="15" hidden="false" customHeight="false" outlineLevel="0" collapsed="false">
      <c r="A2" s="12" t="s">
        <v>923</v>
      </c>
      <c r="B2" s="12" t="s">
        <v>924</v>
      </c>
      <c r="C2" s="12" t="s">
        <v>925</v>
      </c>
      <c r="D2" s="14"/>
      <c r="E2" s="14"/>
    </row>
    <row r="3" customFormat="false" ht="15" hidden="false" customHeight="false" outlineLevel="0" collapsed="false">
      <c r="A3" s="15" t="s">
        <v>926</v>
      </c>
      <c r="B3" s="15" t="s">
        <v>927</v>
      </c>
      <c r="C3" s="15" t="s">
        <v>925</v>
      </c>
      <c r="D3" s="14"/>
      <c r="E3" s="14"/>
    </row>
    <row r="4" customFormat="false" ht="15" hidden="false" customHeight="false" outlineLevel="0" collapsed="false">
      <c r="A4" s="12" t="s">
        <v>928</v>
      </c>
      <c r="B4" s="12" t="s">
        <v>929</v>
      </c>
      <c r="C4" s="12" t="s">
        <v>925</v>
      </c>
      <c r="D4" s="14"/>
      <c r="E4" s="14"/>
    </row>
    <row r="5" customFormat="false" ht="15" hidden="false" customHeight="false" outlineLevel="0" collapsed="false">
      <c r="A5" s="15" t="s">
        <v>930</v>
      </c>
      <c r="B5" s="15" t="s">
        <v>931</v>
      </c>
      <c r="C5" s="15" t="s">
        <v>925</v>
      </c>
      <c r="D5" s="14"/>
      <c r="E5" s="14"/>
    </row>
    <row r="6" customFormat="false" ht="15" hidden="false" customHeight="false" outlineLevel="0" collapsed="false">
      <c r="A6" s="12" t="s">
        <v>932</v>
      </c>
      <c r="B6" s="12" t="s">
        <v>933</v>
      </c>
      <c r="C6" s="12" t="s">
        <v>925</v>
      </c>
      <c r="D6" s="14"/>
      <c r="E6" s="14"/>
    </row>
    <row r="7" customFormat="false" ht="15" hidden="false" customHeight="false" outlineLevel="0" collapsed="false">
      <c r="A7" s="15" t="s">
        <v>934</v>
      </c>
      <c r="B7" s="15" t="s">
        <v>935</v>
      </c>
      <c r="C7" s="15" t="s">
        <v>925</v>
      </c>
      <c r="D7" s="14"/>
      <c r="E7" s="14"/>
    </row>
    <row r="8" customFormat="false" ht="15" hidden="false" customHeight="false" outlineLevel="0" collapsed="false">
      <c r="A8" s="12" t="s">
        <v>936</v>
      </c>
      <c r="B8" s="12" t="s">
        <v>937</v>
      </c>
      <c r="C8" s="12" t="s">
        <v>925</v>
      </c>
      <c r="D8" s="14"/>
      <c r="E8" s="14"/>
    </row>
    <row r="9" customFormat="false" ht="15" hidden="false" customHeight="false" outlineLevel="0" collapsed="false">
      <c r="A9" s="15" t="s">
        <v>938</v>
      </c>
      <c r="B9" s="15" t="s">
        <v>939</v>
      </c>
      <c r="C9" s="15" t="s">
        <v>925</v>
      </c>
      <c r="D9" s="14"/>
      <c r="E9" s="14"/>
    </row>
    <row r="10" customFormat="false" ht="15" hidden="false" customHeight="false" outlineLevel="0" collapsed="false">
      <c r="A10" s="12" t="s">
        <v>940</v>
      </c>
      <c r="B10" s="12" t="s">
        <v>941</v>
      </c>
      <c r="C10" s="12" t="s">
        <v>925</v>
      </c>
      <c r="D10" s="14"/>
      <c r="E10" s="14"/>
    </row>
    <row r="11" customFormat="false" ht="15" hidden="false" customHeight="false" outlineLevel="0" collapsed="false">
      <c r="A11" s="15" t="s">
        <v>942</v>
      </c>
      <c r="B11" s="15" t="s">
        <v>943</v>
      </c>
      <c r="C11" s="15" t="s">
        <v>925</v>
      </c>
      <c r="D11" s="14"/>
      <c r="E11" s="14"/>
    </row>
    <row r="12" customFormat="false" ht="15" hidden="false" customHeight="false" outlineLevel="0" collapsed="false">
      <c r="A12" s="12" t="s">
        <v>944</v>
      </c>
      <c r="B12" s="12" t="s">
        <v>945</v>
      </c>
      <c r="C12" s="12" t="s">
        <v>925</v>
      </c>
      <c r="D12" s="14"/>
      <c r="E12" s="14"/>
    </row>
    <row r="13" customFormat="false" ht="15" hidden="false" customHeight="false" outlineLevel="0" collapsed="false">
      <c r="A13" s="15" t="s">
        <v>946</v>
      </c>
      <c r="B13" s="15" t="s">
        <v>947</v>
      </c>
      <c r="C13" s="15" t="s">
        <v>925</v>
      </c>
      <c r="D13" s="14"/>
      <c r="E13" s="14"/>
    </row>
    <row r="14" customFormat="false" ht="15" hidden="false" customHeight="false" outlineLevel="0" collapsed="false">
      <c r="A14" s="12" t="s">
        <v>948</v>
      </c>
      <c r="B14" s="12" t="s">
        <v>949</v>
      </c>
      <c r="C14" s="12" t="s">
        <v>925</v>
      </c>
      <c r="D14" s="14"/>
      <c r="E14" s="14"/>
    </row>
    <row r="15" customFormat="false" ht="15" hidden="false" customHeight="false" outlineLevel="0" collapsed="false">
      <c r="A15" s="15" t="s">
        <v>950</v>
      </c>
      <c r="B15" s="15" t="s">
        <v>951</v>
      </c>
      <c r="C15" s="15" t="s">
        <v>925</v>
      </c>
      <c r="D15" s="14"/>
      <c r="E15" s="14"/>
    </row>
    <row r="16" customFormat="false" ht="15" hidden="false" customHeight="false" outlineLevel="0" collapsed="false">
      <c r="A16" s="12" t="s">
        <v>952</v>
      </c>
      <c r="B16" s="12" t="s">
        <v>953</v>
      </c>
      <c r="C16" s="12" t="s">
        <v>925</v>
      </c>
      <c r="D16" s="14"/>
      <c r="E16" s="14"/>
    </row>
    <row r="17" customFormat="false" ht="15" hidden="false" customHeight="false" outlineLevel="0" collapsed="false">
      <c r="A17" s="15" t="s">
        <v>954</v>
      </c>
      <c r="B17" s="15" t="s">
        <v>955</v>
      </c>
      <c r="C17" s="15" t="s">
        <v>925</v>
      </c>
      <c r="D17" s="14"/>
      <c r="E17" s="14"/>
    </row>
    <row r="18" customFormat="false" ht="15" hidden="false" customHeight="false" outlineLevel="0" collapsed="false">
      <c r="A18" s="12" t="s">
        <v>956</v>
      </c>
      <c r="B18" s="12" t="s">
        <v>957</v>
      </c>
      <c r="C18" s="12" t="s">
        <v>925</v>
      </c>
      <c r="D18" s="14"/>
      <c r="E18" s="14"/>
    </row>
    <row r="19" customFormat="false" ht="15" hidden="false" customHeight="false" outlineLevel="0" collapsed="false">
      <c r="A19" s="15" t="s">
        <v>958</v>
      </c>
      <c r="B19" s="15" t="s">
        <v>959</v>
      </c>
      <c r="C19" s="15" t="s">
        <v>925</v>
      </c>
      <c r="D19" s="14"/>
      <c r="E19" s="14"/>
    </row>
    <row r="20" customFormat="false" ht="15" hidden="false" customHeight="false" outlineLevel="0" collapsed="false">
      <c r="A20" s="12" t="s">
        <v>960</v>
      </c>
      <c r="B20" s="12" t="s">
        <v>961</v>
      </c>
      <c r="C20" s="12" t="s">
        <v>925</v>
      </c>
      <c r="D20" s="14"/>
      <c r="E20" s="14"/>
    </row>
    <row r="21" customFormat="false" ht="15" hidden="false" customHeight="false" outlineLevel="0" collapsed="false">
      <c r="A21" s="15" t="s">
        <v>962</v>
      </c>
      <c r="B21" s="15" t="s">
        <v>963</v>
      </c>
      <c r="C21" s="15" t="s">
        <v>925</v>
      </c>
      <c r="D21" s="14"/>
      <c r="E21" s="14"/>
    </row>
    <row r="22" customFormat="false" ht="15" hidden="false" customHeight="false" outlineLevel="0" collapsed="false">
      <c r="A22" s="12" t="s">
        <v>964</v>
      </c>
      <c r="B22" s="12" t="s">
        <v>965</v>
      </c>
      <c r="C22" s="12" t="s">
        <v>925</v>
      </c>
      <c r="D22" s="14"/>
      <c r="E22" s="14"/>
    </row>
    <row r="23" customFormat="false" ht="15" hidden="false" customHeight="false" outlineLevel="0" collapsed="false">
      <c r="A23" s="15" t="s">
        <v>966</v>
      </c>
      <c r="B23" s="15" t="s">
        <v>967</v>
      </c>
      <c r="C23" s="15" t="s">
        <v>925</v>
      </c>
      <c r="D23" s="14"/>
      <c r="E23" s="14"/>
    </row>
    <row r="24" customFormat="false" ht="15" hidden="false" customHeight="false" outlineLevel="0" collapsed="false">
      <c r="A24" s="12" t="s">
        <v>968</v>
      </c>
      <c r="B24" s="12" t="s">
        <v>969</v>
      </c>
      <c r="C24" s="12" t="s">
        <v>925</v>
      </c>
      <c r="D24" s="14"/>
      <c r="E24" s="14"/>
    </row>
    <row r="25" customFormat="false" ht="15" hidden="false" customHeight="false" outlineLevel="0" collapsed="false">
      <c r="A25" s="15" t="s">
        <v>970</v>
      </c>
      <c r="B25" s="15" t="s">
        <v>971</v>
      </c>
      <c r="C25" s="15" t="s">
        <v>925</v>
      </c>
      <c r="D25" s="14"/>
      <c r="E25" s="14"/>
    </row>
    <row r="26" customFormat="false" ht="15" hidden="false" customHeight="false" outlineLevel="0" collapsed="false">
      <c r="A26" s="12" t="s">
        <v>972</v>
      </c>
      <c r="B26" s="12" t="s">
        <v>973</v>
      </c>
      <c r="C26" s="12" t="s">
        <v>925</v>
      </c>
      <c r="D26" s="14"/>
      <c r="E26" s="14"/>
    </row>
    <row r="27" customFormat="false" ht="15" hidden="false" customHeight="false" outlineLevel="0" collapsed="false">
      <c r="A27" s="15" t="s">
        <v>974</v>
      </c>
      <c r="B27" s="15" t="s">
        <v>975</v>
      </c>
      <c r="C27" s="15" t="s">
        <v>925</v>
      </c>
      <c r="D27" s="14"/>
      <c r="E27" s="14"/>
    </row>
    <row r="28" customFormat="false" ht="15" hidden="false" customHeight="false" outlineLevel="0" collapsed="false">
      <c r="A28" s="12" t="s">
        <v>976</v>
      </c>
      <c r="B28" s="12" t="s">
        <v>977</v>
      </c>
      <c r="C28" s="12" t="s">
        <v>925</v>
      </c>
      <c r="D28" s="14"/>
      <c r="E28" s="14"/>
    </row>
    <row r="29" customFormat="false" ht="15" hidden="false" customHeight="false" outlineLevel="0" collapsed="false">
      <c r="A29" s="15" t="s">
        <v>978</v>
      </c>
      <c r="B29" s="15" t="s">
        <v>979</v>
      </c>
      <c r="C29" s="15" t="s">
        <v>925</v>
      </c>
      <c r="D29" s="14"/>
      <c r="E29" s="14"/>
    </row>
    <row r="30" customFormat="false" ht="15" hidden="false" customHeight="false" outlineLevel="0" collapsed="false">
      <c r="A30" s="12" t="s">
        <v>980</v>
      </c>
      <c r="B30" s="12" t="s">
        <v>981</v>
      </c>
      <c r="C30" s="12" t="s">
        <v>925</v>
      </c>
      <c r="D30" s="14"/>
      <c r="E30" s="14"/>
    </row>
    <row r="31" customFormat="false" ht="15" hidden="false" customHeight="false" outlineLevel="0" collapsed="false">
      <c r="A31" s="15" t="s">
        <v>982</v>
      </c>
      <c r="B31" s="15" t="s">
        <v>983</v>
      </c>
      <c r="C31" s="15" t="s">
        <v>925</v>
      </c>
      <c r="D31" s="14"/>
      <c r="E31" s="14"/>
    </row>
    <row r="32" customFormat="false" ht="15" hidden="false" customHeight="false" outlineLevel="0" collapsed="false">
      <c r="A32" s="12" t="s">
        <v>984</v>
      </c>
      <c r="B32" s="12" t="s">
        <v>985</v>
      </c>
      <c r="C32" s="12" t="s">
        <v>925</v>
      </c>
      <c r="D32" s="14"/>
      <c r="E32" s="14"/>
    </row>
    <row r="33" customFormat="false" ht="15" hidden="false" customHeight="false" outlineLevel="0" collapsed="false">
      <c r="A33" s="15" t="s">
        <v>986</v>
      </c>
      <c r="B33" s="15" t="s">
        <v>987</v>
      </c>
      <c r="C33" s="15" t="s">
        <v>925</v>
      </c>
      <c r="D33" s="14"/>
      <c r="E33" s="14"/>
    </row>
    <row r="34" customFormat="false" ht="15" hidden="false" customHeight="false" outlineLevel="0" collapsed="false">
      <c r="A34" s="12" t="s">
        <v>988</v>
      </c>
      <c r="B34" s="12" t="s">
        <v>989</v>
      </c>
      <c r="C34" s="12" t="s">
        <v>925</v>
      </c>
      <c r="D34" s="14"/>
      <c r="E34" s="14"/>
    </row>
    <row r="35" customFormat="false" ht="15" hidden="false" customHeight="false" outlineLevel="0" collapsed="false">
      <c r="A35" s="15" t="s">
        <v>990</v>
      </c>
      <c r="B35" s="15" t="s">
        <v>991</v>
      </c>
      <c r="C35" s="15" t="s">
        <v>925</v>
      </c>
      <c r="D35" s="14"/>
      <c r="E35" s="14"/>
    </row>
    <row r="36" customFormat="false" ht="15" hidden="false" customHeight="false" outlineLevel="0" collapsed="false">
      <c r="A36" s="12" t="s">
        <v>992</v>
      </c>
      <c r="B36" s="12" t="s">
        <v>993</v>
      </c>
      <c r="C36" s="12" t="s">
        <v>925</v>
      </c>
      <c r="D36" s="14"/>
      <c r="E36" s="14"/>
    </row>
    <row r="37" customFormat="false" ht="15" hidden="false" customHeight="false" outlineLevel="0" collapsed="false">
      <c r="A37" s="15" t="s">
        <v>994</v>
      </c>
      <c r="B37" s="15" t="s">
        <v>995</v>
      </c>
      <c r="C37" s="15" t="s">
        <v>925</v>
      </c>
      <c r="D37" s="14"/>
      <c r="E37" s="14"/>
    </row>
    <row r="38" customFormat="false" ht="15" hidden="false" customHeight="false" outlineLevel="0" collapsed="false">
      <c r="A38" s="12" t="s">
        <v>996</v>
      </c>
      <c r="B38" s="12" t="s">
        <v>997</v>
      </c>
      <c r="C38" s="12" t="s">
        <v>925</v>
      </c>
      <c r="D38" s="14"/>
      <c r="E38" s="14"/>
    </row>
    <row r="39" customFormat="false" ht="15" hidden="false" customHeight="false" outlineLevel="0" collapsed="false">
      <c r="A39" s="15" t="s">
        <v>998</v>
      </c>
      <c r="B39" s="15" t="s">
        <v>999</v>
      </c>
      <c r="C39" s="15" t="s">
        <v>925</v>
      </c>
      <c r="D39" s="14"/>
      <c r="E39" s="14"/>
    </row>
    <row r="40" customFormat="false" ht="15" hidden="false" customHeight="false" outlineLevel="0" collapsed="false">
      <c r="A40" s="12" t="s">
        <v>1000</v>
      </c>
      <c r="B40" s="12" t="s">
        <v>1001</v>
      </c>
      <c r="C40" s="12" t="s">
        <v>925</v>
      </c>
      <c r="D40" s="14"/>
      <c r="E40" s="14"/>
    </row>
    <row r="41" customFormat="false" ht="15" hidden="false" customHeight="false" outlineLevel="0" collapsed="false">
      <c r="A41" s="15" t="s">
        <v>1002</v>
      </c>
      <c r="B41" s="15" t="s">
        <v>1003</v>
      </c>
      <c r="C41" s="15" t="s">
        <v>925</v>
      </c>
      <c r="D41" s="14"/>
      <c r="E41" s="14"/>
    </row>
    <row r="42" customFormat="false" ht="15" hidden="false" customHeight="false" outlineLevel="0" collapsed="false">
      <c r="A42" s="12" t="s">
        <v>1004</v>
      </c>
      <c r="B42" s="12" t="s">
        <v>1005</v>
      </c>
      <c r="C42" s="12" t="s">
        <v>925</v>
      </c>
      <c r="D42" s="14"/>
      <c r="E42" s="14"/>
    </row>
    <row r="43" customFormat="false" ht="15" hidden="false" customHeight="false" outlineLevel="0" collapsed="false">
      <c r="A43" s="15" t="s">
        <v>1006</v>
      </c>
      <c r="B43" s="15" t="s">
        <v>1007</v>
      </c>
      <c r="C43" s="15" t="s">
        <v>925</v>
      </c>
      <c r="D43" s="14"/>
      <c r="E43" s="14"/>
    </row>
    <row r="44" customFormat="false" ht="15" hidden="false" customHeight="false" outlineLevel="0" collapsed="false">
      <c r="A44" s="12" t="s">
        <v>1008</v>
      </c>
      <c r="B44" s="12" t="s">
        <v>1009</v>
      </c>
      <c r="C44" s="12" t="s">
        <v>925</v>
      </c>
      <c r="D44" s="14"/>
      <c r="E44" s="14"/>
    </row>
    <row r="45" customFormat="false" ht="15" hidden="false" customHeight="false" outlineLevel="0" collapsed="false">
      <c r="A45" s="15" t="s">
        <v>1010</v>
      </c>
      <c r="B45" s="15" t="s">
        <v>1011</v>
      </c>
      <c r="C45" s="15" t="s">
        <v>925</v>
      </c>
      <c r="D45" s="14"/>
      <c r="E45" s="14"/>
    </row>
    <row r="46" customFormat="false" ht="15" hidden="false" customHeight="false" outlineLevel="0" collapsed="false">
      <c r="A46" s="12" t="s">
        <v>1012</v>
      </c>
      <c r="B46" s="12" t="s">
        <v>1013</v>
      </c>
      <c r="C46" s="12" t="s">
        <v>925</v>
      </c>
      <c r="D46" s="14"/>
      <c r="E46" s="14"/>
    </row>
    <row r="47" customFormat="false" ht="15" hidden="false" customHeight="false" outlineLevel="0" collapsed="false">
      <c r="A47" s="15" t="s">
        <v>1014</v>
      </c>
      <c r="B47" s="15" t="s">
        <v>1015</v>
      </c>
      <c r="C47" s="15" t="s">
        <v>925</v>
      </c>
      <c r="D47" s="14"/>
      <c r="E47" s="14"/>
    </row>
    <row r="48" customFormat="false" ht="15" hidden="false" customHeight="false" outlineLevel="0" collapsed="false">
      <c r="A48" s="12" t="s">
        <v>1016</v>
      </c>
      <c r="B48" s="12" t="s">
        <v>1017</v>
      </c>
      <c r="C48" s="12" t="s">
        <v>925</v>
      </c>
      <c r="D48" s="14"/>
      <c r="E48" s="14"/>
    </row>
    <row r="49" customFormat="false" ht="15" hidden="false" customHeight="false" outlineLevel="0" collapsed="false">
      <c r="A49" s="15" t="s">
        <v>1018</v>
      </c>
      <c r="B49" s="15" t="s">
        <v>1019</v>
      </c>
      <c r="C49" s="15" t="s">
        <v>925</v>
      </c>
      <c r="D49" s="14"/>
      <c r="E49" s="14"/>
    </row>
    <row r="50" customFormat="false" ht="15" hidden="false" customHeight="false" outlineLevel="0" collapsed="false">
      <c r="A50" s="12" t="s">
        <v>1020</v>
      </c>
      <c r="B50" s="12" t="s">
        <v>1021</v>
      </c>
      <c r="C50" s="12" t="s">
        <v>925</v>
      </c>
      <c r="D50" s="14"/>
      <c r="E50" s="14"/>
    </row>
    <row r="51" customFormat="false" ht="15" hidden="false" customHeight="false" outlineLevel="0" collapsed="false">
      <c r="A51" s="15" t="s">
        <v>1022</v>
      </c>
      <c r="B51" s="15" t="s">
        <v>1023</v>
      </c>
      <c r="C51" s="15" t="s">
        <v>925</v>
      </c>
      <c r="D51" s="14"/>
      <c r="E51" s="14"/>
    </row>
    <row r="52" customFormat="false" ht="15" hidden="false" customHeight="false" outlineLevel="0" collapsed="false">
      <c r="A52" s="12" t="s">
        <v>1024</v>
      </c>
      <c r="B52" s="12" t="s">
        <v>1025</v>
      </c>
      <c r="C52" s="12" t="s">
        <v>925</v>
      </c>
      <c r="D52" s="14"/>
      <c r="E52" s="14"/>
    </row>
    <row r="53" customFormat="false" ht="15" hidden="false" customHeight="false" outlineLevel="0" collapsed="false">
      <c r="A53" s="15" t="s">
        <v>1026</v>
      </c>
      <c r="B53" s="15" t="s">
        <v>1027</v>
      </c>
      <c r="C53" s="15" t="s">
        <v>925</v>
      </c>
      <c r="D53" s="14"/>
      <c r="E53" s="14"/>
    </row>
    <row r="54" customFormat="false" ht="15" hidden="false" customHeight="false" outlineLevel="0" collapsed="false">
      <c r="A54" s="12" t="s">
        <v>1028</v>
      </c>
      <c r="B54" s="12" t="s">
        <v>1029</v>
      </c>
      <c r="C54" s="12" t="s">
        <v>925</v>
      </c>
      <c r="D54" s="14"/>
      <c r="E54" s="14"/>
    </row>
    <row r="55" customFormat="false" ht="15" hidden="false" customHeight="false" outlineLevel="0" collapsed="false">
      <c r="A55" s="15" t="s">
        <v>1030</v>
      </c>
      <c r="B55" s="15" t="s">
        <v>1031</v>
      </c>
      <c r="C55" s="15" t="s">
        <v>925</v>
      </c>
      <c r="D55" s="14"/>
      <c r="E55" s="14"/>
    </row>
    <row r="56" customFormat="false" ht="15" hidden="false" customHeight="false" outlineLevel="0" collapsed="false">
      <c r="A56" s="12" t="s">
        <v>1032</v>
      </c>
      <c r="B56" s="12" t="s">
        <v>1033</v>
      </c>
      <c r="C56" s="12" t="s">
        <v>925</v>
      </c>
      <c r="D56" s="14"/>
      <c r="E56" s="14"/>
    </row>
    <row r="57" customFormat="false" ht="15" hidden="false" customHeight="false" outlineLevel="0" collapsed="false">
      <c r="A57" s="15" t="s">
        <v>1034</v>
      </c>
      <c r="B57" s="15" t="s">
        <v>1035</v>
      </c>
      <c r="C57" s="15" t="s">
        <v>925</v>
      </c>
      <c r="D57" s="14"/>
      <c r="E57" s="14"/>
    </row>
    <row r="58" customFormat="false" ht="15" hidden="false" customHeight="false" outlineLevel="0" collapsed="false">
      <c r="A58" s="12" t="s">
        <v>1036</v>
      </c>
      <c r="B58" s="12" t="s">
        <v>1037</v>
      </c>
      <c r="C58" s="12" t="s">
        <v>925</v>
      </c>
      <c r="D58" s="14"/>
      <c r="E58" s="14"/>
    </row>
    <row r="59" customFormat="false" ht="15" hidden="false" customHeight="false" outlineLevel="0" collapsed="false">
      <c r="A59" s="15" t="s">
        <v>1038</v>
      </c>
      <c r="B59" s="15" t="s">
        <v>1039</v>
      </c>
      <c r="C59" s="15" t="s">
        <v>925</v>
      </c>
      <c r="D59" s="14"/>
      <c r="E59" s="14"/>
    </row>
    <row r="60" customFormat="false" ht="15" hidden="false" customHeight="false" outlineLevel="0" collapsed="false">
      <c r="A60" s="12" t="s">
        <v>1040</v>
      </c>
      <c r="B60" s="12" t="s">
        <v>1041</v>
      </c>
      <c r="C60" s="12" t="s">
        <v>925</v>
      </c>
      <c r="D60" s="14"/>
      <c r="E60" s="14"/>
    </row>
    <row r="61" customFormat="false" ht="15" hidden="false" customHeight="false" outlineLevel="0" collapsed="false">
      <c r="A61" s="15" t="s">
        <v>1042</v>
      </c>
      <c r="B61" s="15" t="s">
        <v>1043</v>
      </c>
      <c r="C61" s="15" t="s">
        <v>925</v>
      </c>
      <c r="D61" s="14"/>
      <c r="E61" s="14"/>
    </row>
    <row r="62" customFormat="false" ht="15" hidden="false" customHeight="false" outlineLevel="0" collapsed="false">
      <c r="A62" s="12" t="s">
        <v>1044</v>
      </c>
      <c r="B62" s="12" t="s">
        <v>1045</v>
      </c>
      <c r="C62" s="12" t="s">
        <v>925</v>
      </c>
      <c r="D62" s="14"/>
      <c r="E62" s="14"/>
    </row>
    <row r="63" customFormat="false" ht="15" hidden="false" customHeight="false" outlineLevel="0" collapsed="false">
      <c r="A63" s="15" t="s">
        <v>1046</v>
      </c>
      <c r="B63" s="15" t="s">
        <v>1047</v>
      </c>
      <c r="C63" s="15" t="s">
        <v>925</v>
      </c>
      <c r="D63" s="14"/>
      <c r="E63" s="14"/>
    </row>
    <row r="64" customFormat="false" ht="15" hidden="false" customHeight="false" outlineLevel="0" collapsed="false">
      <c r="A64" s="12" t="s">
        <v>1048</v>
      </c>
      <c r="B64" s="12" t="s">
        <v>1049</v>
      </c>
      <c r="C64" s="12" t="s">
        <v>925</v>
      </c>
      <c r="D64" s="14"/>
      <c r="E64" s="14"/>
    </row>
    <row r="65" customFormat="false" ht="15" hidden="false" customHeight="false" outlineLevel="0" collapsed="false">
      <c r="A65" s="15" t="s">
        <v>1050</v>
      </c>
      <c r="B65" s="15" t="s">
        <v>1051</v>
      </c>
      <c r="C65" s="15" t="s">
        <v>925</v>
      </c>
      <c r="D65" s="14"/>
      <c r="E65" s="14"/>
    </row>
    <row r="66" customFormat="false" ht="15" hidden="false" customHeight="false" outlineLevel="0" collapsed="false">
      <c r="A66" s="12" t="s">
        <v>1052</v>
      </c>
      <c r="B66" s="12" t="s">
        <v>1053</v>
      </c>
      <c r="C66" s="12" t="s">
        <v>925</v>
      </c>
      <c r="D66" s="14"/>
      <c r="E66" s="14"/>
    </row>
    <row r="67" customFormat="false" ht="15" hidden="false" customHeight="false" outlineLevel="0" collapsed="false">
      <c r="A67" s="15" t="s">
        <v>1054</v>
      </c>
      <c r="B67" s="15" t="s">
        <v>1055</v>
      </c>
      <c r="C67" s="15" t="s">
        <v>925</v>
      </c>
      <c r="D67" s="14"/>
      <c r="E67" s="14"/>
    </row>
    <row r="68" customFormat="false" ht="15" hidden="false" customHeight="false" outlineLevel="0" collapsed="false">
      <c r="A68" s="12" t="s">
        <v>1056</v>
      </c>
      <c r="B68" s="12" t="s">
        <v>1057</v>
      </c>
      <c r="C68" s="12" t="s">
        <v>925</v>
      </c>
      <c r="D68" s="14"/>
      <c r="E68" s="14"/>
    </row>
    <row r="69" customFormat="false" ht="15" hidden="false" customHeight="false" outlineLevel="0" collapsed="false">
      <c r="A69" s="15" t="s">
        <v>1058</v>
      </c>
      <c r="B69" s="15" t="s">
        <v>1059</v>
      </c>
      <c r="C69" s="15" t="s">
        <v>1060</v>
      </c>
      <c r="D69" s="15" t="s">
        <v>1061</v>
      </c>
      <c r="E69" s="14"/>
    </row>
    <row r="70" customFormat="false" ht="15" hidden="false" customHeight="false" outlineLevel="0" collapsed="false">
      <c r="A70" s="12" t="s">
        <v>1062</v>
      </c>
      <c r="B70" s="12" t="s">
        <v>1059</v>
      </c>
      <c r="C70" s="12" t="s">
        <v>1060</v>
      </c>
      <c r="D70" s="12" t="s">
        <v>1061</v>
      </c>
      <c r="E70" s="14"/>
    </row>
    <row r="71" customFormat="false" ht="15" hidden="false" customHeight="false" outlineLevel="0" collapsed="false">
      <c r="A71" s="15" t="s">
        <v>1063</v>
      </c>
      <c r="B71" s="15" t="s">
        <v>1059</v>
      </c>
      <c r="C71" s="15" t="s">
        <v>1060</v>
      </c>
      <c r="D71" s="15" t="s">
        <v>1061</v>
      </c>
      <c r="E71" s="14"/>
    </row>
    <row r="72" customFormat="false" ht="15" hidden="false" customHeight="false" outlineLevel="0" collapsed="false">
      <c r="A72" s="12" t="s">
        <v>1064</v>
      </c>
      <c r="B72" s="12" t="s">
        <v>1059</v>
      </c>
      <c r="C72" s="12" t="s">
        <v>1060</v>
      </c>
      <c r="D72" s="12" t="s">
        <v>1061</v>
      </c>
      <c r="E72" s="14"/>
    </row>
    <row r="73" customFormat="false" ht="15" hidden="false" customHeight="false" outlineLevel="0" collapsed="false">
      <c r="A73" s="15" t="s">
        <v>1065</v>
      </c>
      <c r="B73" s="15" t="s">
        <v>1059</v>
      </c>
      <c r="C73" s="15" t="s">
        <v>1060</v>
      </c>
      <c r="D73" s="15" t="s">
        <v>1061</v>
      </c>
      <c r="E73" s="14"/>
    </row>
    <row r="74" customFormat="false" ht="15" hidden="false" customHeight="false" outlineLevel="0" collapsed="false">
      <c r="A74" s="12" t="s">
        <v>1066</v>
      </c>
      <c r="B74" s="12" t="s">
        <v>1059</v>
      </c>
      <c r="C74" s="12" t="s">
        <v>1060</v>
      </c>
      <c r="D74" s="12" t="s">
        <v>1061</v>
      </c>
      <c r="E74" s="14"/>
    </row>
    <row r="75" customFormat="false" ht="15" hidden="false" customHeight="false" outlineLevel="0" collapsed="false">
      <c r="A75" s="15" t="s">
        <v>1067</v>
      </c>
      <c r="B75" s="15" t="s">
        <v>1059</v>
      </c>
      <c r="C75" s="15" t="s">
        <v>1060</v>
      </c>
      <c r="D75" s="15" t="s">
        <v>1061</v>
      </c>
      <c r="E75" s="14"/>
    </row>
    <row r="76" customFormat="false" ht="15" hidden="false" customHeight="false" outlineLevel="0" collapsed="false">
      <c r="A76" s="12" t="s">
        <v>1068</v>
      </c>
      <c r="B76" s="12" t="s">
        <v>1059</v>
      </c>
      <c r="C76" s="12" t="s">
        <v>1060</v>
      </c>
      <c r="D76" s="12" t="s">
        <v>1061</v>
      </c>
      <c r="E76" s="14"/>
    </row>
    <row r="77" customFormat="false" ht="15" hidden="false" customHeight="false" outlineLevel="0" collapsed="false">
      <c r="A77" s="15" t="s">
        <v>1069</v>
      </c>
      <c r="B77" s="15" t="s">
        <v>1059</v>
      </c>
      <c r="C77" s="15" t="s">
        <v>1060</v>
      </c>
      <c r="D77" s="15" t="s">
        <v>1061</v>
      </c>
      <c r="E77" s="14"/>
    </row>
    <row r="78" customFormat="false" ht="15" hidden="false" customHeight="false" outlineLevel="0" collapsed="false">
      <c r="A78" s="12" t="s">
        <v>1070</v>
      </c>
      <c r="B78" s="12" t="s">
        <v>1059</v>
      </c>
      <c r="C78" s="12" t="s">
        <v>1060</v>
      </c>
      <c r="D78" s="12" t="s">
        <v>1061</v>
      </c>
      <c r="E78" s="14"/>
    </row>
    <row r="79" customFormat="false" ht="15" hidden="false" customHeight="false" outlineLevel="0" collapsed="false">
      <c r="A79" s="15" t="s">
        <v>1071</v>
      </c>
      <c r="B79" s="15" t="s">
        <v>1059</v>
      </c>
      <c r="C79" s="15" t="s">
        <v>1060</v>
      </c>
      <c r="D79" s="15" t="s">
        <v>1061</v>
      </c>
      <c r="E79" s="14"/>
    </row>
    <row r="80" customFormat="false" ht="15" hidden="false" customHeight="false" outlineLevel="0" collapsed="false">
      <c r="A80" s="12" t="s">
        <v>1072</v>
      </c>
      <c r="B80" s="12" t="s">
        <v>1059</v>
      </c>
      <c r="C80" s="12" t="s">
        <v>1060</v>
      </c>
      <c r="D80" s="12" t="s">
        <v>1061</v>
      </c>
      <c r="E80" s="14"/>
    </row>
    <row r="81" customFormat="false" ht="15" hidden="false" customHeight="false" outlineLevel="0" collapsed="false">
      <c r="A81" s="15" t="s">
        <v>1073</v>
      </c>
      <c r="B81" s="15" t="s">
        <v>1059</v>
      </c>
      <c r="C81" s="15" t="s">
        <v>1060</v>
      </c>
      <c r="D81" s="15" t="s">
        <v>1061</v>
      </c>
      <c r="E81" s="14"/>
    </row>
    <row r="82" customFormat="false" ht="15" hidden="false" customHeight="false" outlineLevel="0" collapsed="false">
      <c r="A82" s="12" t="s">
        <v>1074</v>
      </c>
      <c r="B82" s="12" t="s">
        <v>1059</v>
      </c>
      <c r="C82" s="12" t="s">
        <v>1060</v>
      </c>
      <c r="D82" s="12" t="s">
        <v>1061</v>
      </c>
      <c r="E82" s="14"/>
    </row>
    <row r="83" customFormat="false" ht="15" hidden="false" customHeight="false" outlineLevel="0" collapsed="false">
      <c r="A83" s="15" t="s">
        <v>1075</v>
      </c>
      <c r="B83" s="15" t="s">
        <v>1059</v>
      </c>
      <c r="C83" s="15" t="s">
        <v>1060</v>
      </c>
      <c r="D83" s="15" t="s">
        <v>1061</v>
      </c>
      <c r="E83" s="14"/>
    </row>
    <row r="84" customFormat="false" ht="15" hidden="false" customHeight="false" outlineLevel="0" collapsed="false">
      <c r="A84" s="12" t="s">
        <v>1076</v>
      </c>
      <c r="B84" s="12" t="s">
        <v>1059</v>
      </c>
      <c r="C84" s="12" t="s">
        <v>1060</v>
      </c>
      <c r="D84" s="12" t="s">
        <v>1061</v>
      </c>
      <c r="E84" s="14"/>
    </row>
    <row r="85" customFormat="false" ht="15" hidden="false" customHeight="false" outlineLevel="0" collapsed="false">
      <c r="A85" s="15" t="s">
        <v>1077</v>
      </c>
      <c r="B85" s="15" t="s">
        <v>1059</v>
      </c>
      <c r="C85" s="15" t="s">
        <v>1060</v>
      </c>
      <c r="D85" s="15" t="s">
        <v>1061</v>
      </c>
      <c r="E85" s="14"/>
    </row>
    <row r="86" customFormat="false" ht="15" hidden="false" customHeight="false" outlineLevel="0" collapsed="false">
      <c r="A86" s="12" t="s">
        <v>1078</v>
      </c>
      <c r="B86" s="12" t="s">
        <v>1079</v>
      </c>
      <c r="C86" s="12" t="s">
        <v>1060</v>
      </c>
      <c r="D86" s="12" t="s">
        <v>1080</v>
      </c>
      <c r="E86" s="14"/>
    </row>
    <row r="87" customFormat="false" ht="15" hidden="false" customHeight="false" outlineLevel="0" collapsed="false">
      <c r="A87" s="15" t="s">
        <v>1081</v>
      </c>
      <c r="B87" s="15" t="s">
        <v>1079</v>
      </c>
      <c r="C87" s="15" t="s">
        <v>1060</v>
      </c>
      <c r="D87" s="15" t="s">
        <v>1080</v>
      </c>
      <c r="E87" s="14"/>
    </row>
    <row r="88" customFormat="false" ht="15" hidden="false" customHeight="false" outlineLevel="0" collapsed="false">
      <c r="A88" s="12" t="s">
        <v>1082</v>
      </c>
      <c r="B88" s="12" t="s">
        <v>1079</v>
      </c>
      <c r="C88" s="12" t="s">
        <v>1060</v>
      </c>
      <c r="D88" s="12" t="s">
        <v>1080</v>
      </c>
      <c r="E88" s="14"/>
    </row>
    <row r="89" customFormat="false" ht="15" hidden="false" customHeight="false" outlineLevel="0" collapsed="false">
      <c r="A89" s="15" t="s">
        <v>1083</v>
      </c>
      <c r="B89" s="15" t="s">
        <v>1079</v>
      </c>
      <c r="C89" s="15" t="s">
        <v>1060</v>
      </c>
      <c r="D89" s="15" t="s">
        <v>1080</v>
      </c>
      <c r="E89" s="14"/>
    </row>
    <row r="90" customFormat="false" ht="15" hidden="false" customHeight="false" outlineLevel="0" collapsed="false">
      <c r="A90" s="12" t="s">
        <v>1084</v>
      </c>
      <c r="B90" s="12" t="s">
        <v>1079</v>
      </c>
      <c r="C90" s="12" t="s">
        <v>1060</v>
      </c>
      <c r="D90" s="12" t="s">
        <v>1080</v>
      </c>
      <c r="E90" s="14"/>
    </row>
    <row r="91" customFormat="false" ht="15" hidden="false" customHeight="false" outlineLevel="0" collapsed="false">
      <c r="A91" s="15" t="s">
        <v>1085</v>
      </c>
      <c r="B91" s="15" t="s">
        <v>1079</v>
      </c>
      <c r="C91" s="15" t="s">
        <v>1060</v>
      </c>
      <c r="D91" s="15" t="s">
        <v>1080</v>
      </c>
      <c r="E91" s="14"/>
    </row>
    <row r="93" customFormat="false" ht="15" hidden="false" customHeight="false" outlineLevel="0" collapsed="false">
      <c r="A93" s="5" t="s">
        <v>1086</v>
      </c>
      <c r="B93" s="5" t="s">
        <v>1087</v>
      </c>
      <c r="C93" s="5" t="s">
        <v>1088</v>
      </c>
    </row>
    <row r="94" customFormat="false" ht="15" hidden="false" customHeight="false" outlineLevel="0" collapsed="false">
      <c r="A94" s="15" t="n">
        <v>1</v>
      </c>
      <c r="B94" s="15" t="s">
        <v>1080</v>
      </c>
      <c r="C94" s="15" t="s">
        <v>1089</v>
      </c>
    </row>
    <row r="95" customFormat="false" ht="15" hidden="false" customHeight="false" outlineLevel="0" collapsed="false">
      <c r="A95" s="12" t="n">
        <v>2</v>
      </c>
      <c r="B95" s="12" t="s">
        <v>1061</v>
      </c>
      <c r="C95" s="12" t="s">
        <v>1090</v>
      </c>
    </row>
    <row r="96" customFormat="false" ht="15" hidden="false" customHeight="false" outlineLevel="0" collapsed="false">
      <c r="A96" s="15" t="n">
        <v>3</v>
      </c>
      <c r="B96" s="15" t="s">
        <v>1091</v>
      </c>
      <c r="C96" s="15" t="s">
        <v>1092</v>
      </c>
    </row>
    <row r="97" customFormat="false" ht="35.05" hidden="false" customHeight="false" outlineLevel="0" collapsed="false">
      <c r="A97" s="12" t="n">
        <v>4</v>
      </c>
      <c r="B97" s="12" t="s">
        <v>1093</v>
      </c>
      <c r="C97" s="12" t="s">
        <v>1094</v>
      </c>
    </row>
    <row r="98" customFormat="false" ht="15" hidden="false" customHeight="false" outlineLevel="0" collapsed="false">
      <c r="A98" s="15" t="n">
        <v>5</v>
      </c>
      <c r="B98" s="15" t="s">
        <v>1095</v>
      </c>
      <c r="C98" s="15" t="s">
        <v>1096</v>
      </c>
    </row>
    <row r="99" customFormat="false" ht="15" hidden="false" customHeight="false" outlineLevel="0" collapsed="false">
      <c r="A99" s="12" t="n">
        <v>6</v>
      </c>
      <c r="B99" s="12" t="s">
        <v>1097</v>
      </c>
      <c r="C99" s="12" t="s">
        <v>149</v>
      </c>
    </row>
    <row r="100" customFormat="false" ht="35.05" hidden="false" customHeight="false" outlineLevel="0" collapsed="false">
      <c r="A100" s="15" t="n">
        <v>7</v>
      </c>
      <c r="B100" s="15" t="s">
        <v>1098</v>
      </c>
      <c r="C100" s="15" t="s">
        <v>1099</v>
      </c>
    </row>
    <row r="101" customFormat="false" ht="23.85" hidden="false" customHeight="false" outlineLevel="0" collapsed="false">
      <c r="A101" s="12" t="n">
        <v>8</v>
      </c>
      <c r="B101" s="12" t="s">
        <v>1100</v>
      </c>
      <c r="C101" s="12" t="s">
        <v>1101</v>
      </c>
    </row>
    <row r="102" customFormat="false" ht="46.25" hidden="false" customHeight="false" outlineLevel="0" collapsed="false">
      <c r="A102" s="15" t="n">
        <v>9</v>
      </c>
      <c r="B102" s="15" t="s">
        <v>1102</v>
      </c>
      <c r="C102" s="15" t="s">
        <v>1103</v>
      </c>
    </row>
    <row r="103" customFormat="false" ht="15" hidden="false" customHeight="false" outlineLevel="0" collapsed="false">
      <c r="A103" s="12" t="n">
        <v>10</v>
      </c>
      <c r="B103" s="12" t="s">
        <v>1104</v>
      </c>
      <c r="C103" s="12" t="s">
        <v>1105</v>
      </c>
    </row>
    <row r="104" customFormat="false" ht="15" hidden="false" customHeight="false" outlineLevel="0" collapsed="false">
      <c r="A104" s="15" t="n">
        <v>11</v>
      </c>
      <c r="B104" s="15" t="s">
        <v>1106</v>
      </c>
      <c r="C104" s="15" t="s">
        <v>149</v>
      </c>
    </row>
    <row r="105" customFormat="false" ht="23.85" hidden="false" customHeight="false" outlineLevel="0" collapsed="false">
      <c r="A105" s="12" t="n">
        <v>12</v>
      </c>
      <c r="B105" s="12" t="s">
        <v>1107</v>
      </c>
      <c r="C105" s="12" t="s">
        <v>1108</v>
      </c>
    </row>
  </sheetData>
  <autoFilter ref="A1:E1"/>
  <dataValidations count="2">
    <dataValidation allowBlank="true" error="Choose: Property, Motor, Engineering, Liability, Crime, Marine, Marine Hull, Aviation, Personal Accident, Electronic Equipment, Property-Equipment Floater" errorStyle="stop" errorTitle="Product line" operator="between" showDropDown="false" showErrorMessage="true" showInputMessage="false" sqref="D2:D92" type="list">
      <formula1>"Property,Motor,Engineering,Liability,Crime,Marine,Marine Hull,Aviation,Personal Accident,Electronic Equipment,Property-Equipment Floater"</formula1>
      <formula2>0</formula2>
    </dataValidation>
    <dataValidation allowBlank="true" error="Choose: Y, N" errorStyle="stop" errorTitle="In scope" operator="between" showDropDown="false" showErrorMessage="true" showInputMessage="false" sqref="E2:E9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90"/>
    <col collapsed="false" customWidth="true" hidden="false" outlineLevel="0" max="4" min="4" style="0" width="18"/>
    <col collapsed="false" customWidth="true" hidden="false" outlineLevel="0" max="5" min="5" style="0" width="40"/>
  </cols>
  <sheetData>
    <row r="1" customFormat="false" ht="31.5" hidden="false" customHeight="true" outlineLevel="0" collapsed="false">
      <c r="A1" s="11" t="s">
        <v>1109</v>
      </c>
      <c r="B1" s="11" t="s">
        <v>1110</v>
      </c>
      <c r="C1" s="11" t="s">
        <v>1111</v>
      </c>
      <c r="D1" s="11" t="s">
        <v>1112</v>
      </c>
      <c r="E1" s="11" t="s">
        <v>1113</v>
      </c>
    </row>
    <row r="2" customFormat="false" ht="15" hidden="false" customHeight="false" outlineLevel="0" collapsed="false">
      <c r="A2" s="12" t="s">
        <v>1114</v>
      </c>
      <c r="B2" s="12" t="s">
        <v>1115</v>
      </c>
      <c r="C2" s="12" t="s">
        <v>1116</v>
      </c>
      <c r="D2" s="14"/>
      <c r="E2" s="14"/>
    </row>
    <row r="3" customFormat="false" ht="15" hidden="false" customHeight="false" outlineLevel="0" collapsed="false">
      <c r="A3" s="15" t="s">
        <v>1114</v>
      </c>
      <c r="B3" s="15" t="s">
        <v>1117</v>
      </c>
      <c r="C3" s="15" t="s">
        <v>1118</v>
      </c>
      <c r="D3" s="14"/>
      <c r="E3" s="14"/>
    </row>
    <row r="4" customFormat="false" ht="15" hidden="false" customHeight="false" outlineLevel="0" collapsed="false">
      <c r="A4" s="12" t="s">
        <v>1114</v>
      </c>
      <c r="B4" s="12" t="s">
        <v>1119</v>
      </c>
      <c r="C4" s="12" t="s">
        <v>1120</v>
      </c>
      <c r="D4" s="14"/>
      <c r="E4" s="14"/>
    </row>
    <row r="5" customFormat="false" ht="15" hidden="false" customHeight="false" outlineLevel="0" collapsed="false">
      <c r="A5" s="15" t="s">
        <v>1121</v>
      </c>
      <c r="B5" s="15" t="s">
        <v>1122</v>
      </c>
      <c r="C5" s="15" t="s">
        <v>1123</v>
      </c>
      <c r="D5" s="14"/>
      <c r="E5" s="14"/>
    </row>
    <row r="6" customFormat="false" ht="15" hidden="false" customHeight="false" outlineLevel="0" collapsed="false">
      <c r="A6" s="12" t="s">
        <v>1121</v>
      </c>
      <c r="B6" s="12" t="s">
        <v>1124</v>
      </c>
      <c r="C6" s="12" t="s">
        <v>1125</v>
      </c>
      <c r="D6" s="14"/>
      <c r="E6" s="14"/>
    </row>
    <row r="7" customFormat="false" ht="15" hidden="false" customHeight="false" outlineLevel="0" collapsed="false">
      <c r="A7" s="15" t="s">
        <v>1121</v>
      </c>
      <c r="B7" s="15" t="s">
        <v>1126</v>
      </c>
      <c r="C7" s="15" t="s">
        <v>1127</v>
      </c>
      <c r="D7" s="14"/>
      <c r="E7" s="14"/>
    </row>
    <row r="8" customFormat="false" ht="15" hidden="false" customHeight="false" outlineLevel="0" collapsed="false">
      <c r="A8" s="12" t="s">
        <v>1121</v>
      </c>
      <c r="B8" s="12" t="s">
        <v>1128</v>
      </c>
      <c r="C8" s="12" t="s">
        <v>1129</v>
      </c>
      <c r="D8" s="14"/>
      <c r="E8" s="14"/>
    </row>
    <row r="9" customFormat="false" ht="15" hidden="false" customHeight="false" outlineLevel="0" collapsed="false">
      <c r="A9" s="15" t="s">
        <v>1121</v>
      </c>
      <c r="B9" s="15" t="s">
        <v>1130</v>
      </c>
      <c r="C9" s="15" t="s">
        <v>1131</v>
      </c>
      <c r="D9" s="14"/>
      <c r="E9" s="14"/>
    </row>
    <row r="10" customFormat="false" ht="15" hidden="false" customHeight="false" outlineLevel="0" collapsed="false">
      <c r="A10" s="12" t="s">
        <v>1121</v>
      </c>
      <c r="B10" s="12" t="s">
        <v>1132</v>
      </c>
      <c r="C10" s="12" t="s">
        <v>1133</v>
      </c>
      <c r="D10" s="14"/>
      <c r="E10" s="14"/>
    </row>
    <row r="11" customFormat="false" ht="15" hidden="false" customHeight="false" outlineLevel="0" collapsed="false">
      <c r="A11" s="15" t="s">
        <v>1121</v>
      </c>
      <c r="B11" s="15" t="s">
        <v>1134</v>
      </c>
      <c r="C11" s="15" t="s">
        <v>1135</v>
      </c>
      <c r="D11" s="14"/>
      <c r="E11" s="14"/>
    </row>
    <row r="12" customFormat="false" ht="15" hidden="false" customHeight="false" outlineLevel="0" collapsed="false">
      <c r="A12" s="12" t="s">
        <v>1121</v>
      </c>
      <c r="B12" s="12" t="s">
        <v>1136</v>
      </c>
      <c r="C12" s="12" t="s">
        <v>1137</v>
      </c>
      <c r="D12" s="14"/>
      <c r="E12" s="14"/>
    </row>
    <row r="13" customFormat="false" ht="15" hidden="false" customHeight="false" outlineLevel="0" collapsed="false">
      <c r="A13" s="15" t="s">
        <v>1061</v>
      </c>
      <c r="B13" s="15" t="s">
        <v>1138</v>
      </c>
      <c r="C13" s="15" t="s">
        <v>1139</v>
      </c>
      <c r="D13" s="14"/>
      <c r="E13" s="14"/>
    </row>
    <row r="14" customFormat="false" ht="15" hidden="false" customHeight="false" outlineLevel="0" collapsed="false">
      <c r="A14" s="12" t="s">
        <v>1061</v>
      </c>
      <c r="B14" s="12" t="s">
        <v>1140</v>
      </c>
      <c r="C14" s="12" t="s">
        <v>1141</v>
      </c>
      <c r="D14" s="14"/>
      <c r="E14" s="14"/>
    </row>
    <row r="15" customFormat="false" ht="15" hidden="false" customHeight="false" outlineLevel="0" collapsed="false">
      <c r="A15" s="15" t="s">
        <v>1061</v>
      </c>
      <c r="B15" s="15" t="s">
        <v>1142</v>
      </c>
      <c r="C15" s="15" t="s">
        <v>1143</v>
      </c>
      <c r="D15" s="14"/>
      <c r="E15" s="14"/>
    </row>
    <row r="16" customFormat="false" ht="15" hidden="false" customHeight="false" outlineLevel="0" collapsed="false">
      <c r="A16" s="12" t="s">
        <v>1061</v>
      </c>
      <c r="B16" s="12" t="s">
        <v>1144</v>
      </c>
      <c r="C16" s="12" t="s">
        <v>1145</v>
      </c>
      <c r="D16" s="14"/>
      <c r="E16" s="14"/>
    </row>
    <row r="17" customFormat="false" ht="15" hidden="false" customHeight="false" outlineLevel="0" collapsed="false">
      <c r="A17" s="15" t="s">
        <v>1061</v>
      </c>
      <c r="B17" s="15" t="s">
        <v>1146</v>
      </c>
      <c r="C17" s="15" t="s">
        <v>1147</v>
      </c>
      <c r="D17" s="14"/>
      <c r="E17" s="14"/>
    </row>
    <row r="18" customFormat="false" ht="15" hidden="false" customHeight="false" outlineLevel="0" collapsed="false">
      <c r="A18" s="12" t="s">
        <v>1061</v>
      </c>
      <c r="B18" s="12" t="s">
        <v>1124</v>
      </c>
      <c r="C18" s="12" t="s">
        <v>1148</v>
      </c>
      <c r="D18" s="14"/>
      <c r="E18" s="14"/>
    </row>
    <row r="19" customFormat="false" ht="15" hidden="false" customHeight="false" outlineLevel="0" collapsed="false">
      <c r="A19" s="15" t="s">
        <v>1061</v>
      </c>
      <c r="B19" s="15" t="s">
        <v>1149</v>
      </c>
      <c r="C19" s="15" t="s">
        <v>1150</v>
      </c>
      <c r="D19" s="14"/>
      <c r="E19" s="14"/>
    </row>
    <row r="20" customFormat="false" ht="15" hidden="false" customHeight="false" outlineLevel="0" collapsed="false">
      <c r="A20" s="12" t="s">
        <v>1061</v>
      </c>
      <c r="B20" s="12" t="s">
        <v>1130</v>
      </c>
      <c r="C20" s="12" t="s">
        <v>1151</v>
      </c>
      <c r="D20" s="14"/>
      <c r="E20" s="14"/>
    </row>
    <row r="21" customFormat="false" ht="15" hidden="false" customHeight="false" outlineLevel="0" collapsed="false">
      <c r="A21" s="15" t="s">
        <v>1061</v>
      </c>
      <c r="B21" s="15" t="s">
        <v>1152</v>
      </c>
      <c r="C21" s="15" t="s">
        <v>1153</v>
      </c>
      <c r="D21" s="14"/>
      <c r="E21" s="14"/>
    </row>
  </sheetData>
  <autoFilter ref="A1:E1"/>
  <dataValidations count="1">
    <dataValidation allowBlank="true" error="Choose: Agreed, Agreed with changes, Not agreed, Need discussion" errorStyle="stop" errorTitle="Confirmation" operator="between" showDropDown="false" showErrorMessage="true" showInputMessage="false" sqref="D2:D21" type="list">
      <formula1>"Agreed,Agreed with changes,Not agreed,Need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60"/>
    <col collapsed="false" customWidth="true" hidden="false" outlineLevel="0" max="4" min="4" style="0" width="11"/>
  </cols>
  <sheetData>
    <row r="1" customFormat="false" ht="31.5" hidden="false" customHeight="true" outlineLevel="0" collapsed="false">
      <c r="A1" s="11" t="s">
        <v>808</v>
      </c>
      <c r="B1" s="11" t="s">
        <v>1154</v>
      </c>
      <c r="C1" s="11" t="s">
        <v>1155</v>
      </c>
      <c r="D1" s="11" t="s">
        <v>72</v>
      </c>
    </row>
    <row r="2" customFormat="false" ht="15" hidden="false" customHeight="false" outlineLevel="0" collapsed="false">
      <c r="A2" s="12" t="s">
        <v>1156</v>
      </c>
      <c r="B2" s="12" t="s">
        <v>1157</v>
      </c>
      <c r="C2" s="12" t="s">
        <v>1158</v>
      </c>
      <c r="D2" s="12" t="s">
        <v>20</v>
      </c>
    </row>
    <row r="3" customFormat="false" ht="23.85" hidden="false" customHeight="false" outlineLevel="0" collapsed="false">
      <c r="A3" s="15" t="s">
        <v>1159</v>
      </c>
      <c r="B3" s="15" t="s">
        <v>1160</v>
      </c>
      <c r="C3" s="15" t="s">
        <v>1161</v>
      </c>
      <c r="D3" s="15" t="s">
        <v>19</v>
      </c>
    </row>
    <row r="4" customFormat="false" ht="15" hidden="false" customHeight="false" outlineLevel="0" collapsed="false">
      <c r="A4" s="12" t="s">
        <v>1162</v>
      </c>
      <c r="B4" s="12" t="s">
        <v>1163</v>
      </c>
      <c r="C4" s="12" t="s">
        <v>1164</v>
      </c>
      <c r="D4" s="12" t="s">
        <v>19</v>
      </c>
    </row>
    <row r="5" customFormat="false" ht="15" hidden="false" customHeight="false" outlineLevel="0" collapsed="false">
      <c r="A5" s="15" t="s">
        <v>1165</v>
      </c>
      <c r="B5" s="15" t="s">
        <v>1166</v>
      </c>
      <c r="C5" s="15" t="s">
        <v>1167</v>
      </c>
      <c r="D5" s="15" t="s">
        <v>20</v>
      </c>
    </row>
    <row r="6" customFormat="false" ht="15" hidden="false" customHeight="false" outlineLevel="0" collapsed="false">
      <c r="A6" s="12" t="s">
        <v>1168</v>
      </c>
      <c r="B6" s="12" t="s">
        <v>1169</v>
      </c>
      <c r="C6" s="12" t="s">
        <v>1170</v>
      </c>
      <c r="D6" s="12" t="s">
        <v>20</v>
      </c>
    </row>
    <row r="7" customFormat="false" ht="23.85" hidden="false" customHeight="false" outlineLevel="0" collapsed="false">
      <c r="A7" s="15" t="s">
        <v>904</v>
      </c>
      <c r="B7" s="15" t="s">
        <v>1171</v>
      </c>
      <c r="C7" s="15" t="s">
        <v>1172</v>
      </c>
      <c r="D7" s="15" t="s">
        <v>22</v>
      </c>
    </row>
    <row r="8" customFormat="false" ht="15" hidden="false" customHeight="false" outlineLevel="0" collapsed="false">
      <c r="A8" s="12" t="s">
        <v>63</v>
      </c>
      <c r="B8" s="12" t="s">
        <v>1173</v>
      </c>
      <c r="C8" s="12" t="s">
        <v>1174</v>
      </c>
      <c r="D8" s="12" t="s">
        <v>22</v>
      </c>
    </row>
    <row r="9" customFormat="false" ht="15" hidden="false" customHeight="false" outlineLevel="0" collapsed="false">
      <c r="A9" s="15" t="s">
        <v>1175</v>
      </c>
      <c r="B9" s="15" t="s">
        <v>1176</v>
      </c>
      <c r="C9" s="15" t="s">
        <v>1177</v>
      </c>
      <c r="D9" s="15" t="s">
        <v>19</v>
      </c>
    </row>
  </sheetData>
  <autoFilter ref="A1:D1"/>
  <conditionalFormatting sqref="D2:D9">
    <cfRule type="cellIs" priority="2" operator="equal" aboveAverage="0" equalAverage="0" bottom="0" percent="0" rank="0" text="" dxfId="2">
      <formula>"FIT"</formula>
    </cfRule>
    <cfRule type="cellIs" priority="3" operator="equal" aboveAverage="0" equalAverage="0" bottom="0" percent="0" rank="0" text="" dxfId="3">
      <formula>"CONFIGURE"</formula>
    </cfRule>
    <cfRule type="cellIs" priority="4" operator="equal" aboveAverage="0" equalAverage="0" bottom="0" percent="0" rank="0" text="" dxfId="4">
      <formula>"CHANGE"</formula>
    </cfRule>
    <cfRule type="cellIs" priority="5" operator="equal" aboveAverage="0" equalAverage="0" bottom="0" percent="0" rank="0" text="" dxfId="5">
      <formula>"NEW"</formula>
    </cfRule>
    <cfRule type="cellIs" priority="6" operator="equal" aboveAverage="0" equalAverage="0" bottom="0" percent="0" rank="0" text="" dxfId="6">
      <formula>"OUT"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5B"/>
    <pageSetUpPr fitToPage="true"/>
  </sheetPr>
  <dimension ref="A1:C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90"/>
  </cols>
  <sheetData>
    <row r="1" customFormat="false" ht="31.5" hidden="false" customHeight="true" outlineLevel="0" collapsed="false">
      <c r="A1" s="11" t="s">
        <v>1178</v>
      </c>
      <c r="B1" s="11" t="s">
        <v>66</v>
      </c>
      <c r="C1" s="11" t="s">
        <v>68</v>
      </c>
    </row>
    <row r="2" customFormat="false" ht="15" hidden="false" customHeight="false" outlineLevel="0" collapsed="false">
      <c r="A2" s="12" t="s">
        <v>1179</v>
      </c>
      <c r="B2" s="12" t="s">
        <v>650</v>
      </c>
      <c r="C2" s="12" t="s">
        <v>652</v>
      </c>
    </row>
    <row r="3" customFormat="false" ht="15" hidden="false" customHeight="false" outlineLevel="0" collapsed="false">
      <c r="A3" s="15" t="s">
        <v>1180</v>
      </c>
      <c r="B3" s="15" t="s">
        <v>217</v>
      </c>
      <c r="C3" s="15" t="s">
        <v>218</v>
      </c>
    </row>
    <row r="4" customFormat="false" ht="15" hidden="false" customHeight="false" outlineLevel="0" collapsed="false">
      <c r="A4" s="12" t="s">
        <v>1180</v>
      </c>
      <c r="B4" s="12" t="s">
        <v>223</v>
      </c>
      <c r="C4" s="12" t="s">
        <v>224</v>
      </c>
    </row>
    <row r="5" customFormat="false" ht="15" hidden="false" customHeight="false" outlineLevel="0" collapsed="false">
      <c r="A5" s="15" t="s">
        <v>265</v>
      </c>
      <c r="B5" s="15" t="s">
        <v>263</v>
      </c>
      <c r="C5" s="15" t="s">
        <v>264</v>
      </c>
    </row>
    <row r="6" customFormat="false" ht="15" hidden="false" customHeight="false" outlineLevel="0" collapsed="false">
      <c r="A6" s="12" t="s">
        <v>232</v>
      </c>
      <c r="B6" s="12" t="s">
        <v>229</v>
      </c>
      <c r="C6" s="12" t="s">
        <v>230</v>
      </c>
    </row>
    <row r="7" customFormat="false" ht="23.85" hidden="false" customHeight="false" outlineLevel="0" collapsed="false">
      <c r="A7" s="15" t="s">
        <v>269</v>
      </c>
      <c r="B7" s="15" t="s">
        <v>267</v>
      </c>
      <c r="C7" s="15" t="s">
        <v>268</v>
      </c>
    </row>
    <row r="8" customFormat="false" ht="15" hidden="false" customHeight="false" outlineLevel="0" collapsed="false">
      <c r="A8" s="12" t="s">
        <v>1181</v>
      </c>
      <c r="B8" s="12" t="s">
        <v>302</v>
      </c>
      <c r="C8" s="12" t="s">
        <v>304</v>
      </c>
    </row>
    <row r="9" customFormat="false" ht="15" hidden="false" customHeight="false" outlineLevel="0" collapsed="false">
      <c r="A9" s="15" t="s">
        <v>310</v>
      </c>
      <c r="B9" s="15" t="s">
        <v>308</v>
      </c>
      <c r="C9" s="15" t="s">
        <v>309</v>
      </c>
    </row>
    <row r="10" customFormat="false" ht="15" hidden="false" customHeight="false" outlineLevel="0" collapsed="false">
      <c r="A10" s="12" t="s">
        <v>1182</v>
      </c>
      <c r="B10" s="12" t="s">
        <v>359</v>
      </c>
      <c r="C10" s="12" t="s">
        <v>360</v>
      </c>
    </row>
    <row r="11" customFormat="false" ht="15" hidden="false" customHeight="false" outlineLevel="0" collapsed="false">
      <c r="A11" s="15" t="s">
        <v>1183</v>
      </c>
      <c r="B11" s="15" t="s">
        <v>354</v>
      </c>
      <c r="C11" s="15" t="s">
        <v>355</v>
      </c>
    </row>
    <row r="12" customFormat="false" ht="15" hidden="false" customHeight="false" outlineLevel="0" collapsed="false">
      <c r="A12" s="12" t="s">
        <v>1184</v>
      </c>
      <c r="B12" s="12" t="s">
        <v>371</v>
      </c>
      <c r="C12" s="12" t="s">
        <v>372</v>
      </c>
    </row>
    <row r="13" customFormat="false" ht="15" hidden="false" customHeight="false" outlineLevel="0" collapsed="false">
      <c r="A13" s="15" t="s">
        <v>1185</v>
      </c>
      <c r="B13" s="15" t="s">
        <v>393</v>
      </c>
      <c r="C13" s="15" t="s">
        <v>394</v>
      </c>
    </row>
    <row r="14" customFormat="false" ht="15" hidden="false" customHeight="false" outlineLevel="0" collapsed="false">
      <c r="A14" s="12" t="s">
        <v>1186</v>
      </c>
      <c r="B14" s="12" t="s">
        <v>400</v>
      </c>
      <c r="C14" s="12" t="s">
        <v>402</v>
      </c>
    </row>
    <row r="15" customFormat="false" ht="15" hidden="false" customHeight="false" outlineLevel="0" collapsed="false">
      <c r="A15" s="15" t="s">
        <v>1187</v>
      </c>
      <c r="B15" s="15" t="s">
        <v>406</v>
      </c>
      <c r="C15" s="15" t="s">
        <v>407</v>
      </c>
    </row>
    <row r="16" customFormat="false" ht="15" hidden="false" customHeight="false" outlineLevel="0" collapsed="false">
      <c r="A16" s="12" t="s">
        <v>1188</v>
      </c>
      <c r="B16" s="12" t="s">
        <v>636</v>
      </c>
      <c r="C16" s="12" t="s">
        <v>638</v>
      </c>
    </row>
    <row r="17" customFormat="false" ht="15" hidden="false" customHeight="false" outlineLevel="0" collapsed="false">
      <c r="A17" s="15" t="s">
        <v>1189</v>
      </c>
      <c r="B17" s="15" t="s">
        <v>631</v>
      </c>
      <c r="C17" s="15" t="s">
        <v>632</v>
      </c>
    </row>
    <row r="18" customFormat="false" ht="15" hidden="false" customHeight="false" outlineLevel="0" collapsed="false">
      <c r="A18" s="12" t="s">
        <v>1190</v>
      </c>
      <c r="B18" s="12" t="s">
        <v>625</v>
      </c>
      <c r="C18" s="12" t="s">
        <v>626</v>
      </c>
    </row>
    <row r="19" customFormat="false" ht="15" hidden="false" customHeight="false" outlineLevel="0" collapsed="false">
      <c r="A19" s="15" t="s">
        <v>1191</v>
      </c>
      <c r="B19" s="15" t="s">
        <v>696</v>
      </c>
      <c r="C19" s="15" t="s">
        <v>697</v>
      </c>
    </row>
    <row r="20" customFormat="false" ht="15" hidden="false" customHeight="false" outlineLevel="0" collapsed="false">
      <c r="A20" s="12" t="s">
        <v>423</v>
      </c>
      <c r="B20" s="12" t="s">
        <v>420</v>
      </c>
      <c r="C20" s="12" t="s">
        <v>421</v>
      </c>
    </row>
    <row r="21" customFormat="false" ht="15" hidden="false" customHeight="false" outlineLevel="0" collapsed="false">
      <c r="A21" s="15" t="s">
        <v>1192</v>
      </c>
      <c r="B21" s="15" t="s">
        <v>430</v>
      </c>
      <c r="C21" s="15" t="s">
        <v>431</v>
      </c>
    </row>
    <row r="22" customFormat="false" ht="15" hidden="false" customHeight="false" outlineLevel="0" collapsed="false">
      <c r="A22" s="12" t="s">
        <v>1193</v>
      </c>
      <c r="B22" s="12" t="s">
        <v>490</v>
      </c>
      <c r="C22" s="12" t="s">
        <v>491</v>
      </c>
    </row>
    <row r="23" customFormat="false" ht="23.85" hidden="false" customHeight="false" outlineLevel="0" collapsed="false">
      <c r="A23" s="15" t="s">
        <v>1194</v>
      </c>
      <c r="B23" s="15" t="s">
        <v>485</v>
      </c>
      <c r="C23" s="15" t="s">
        <v>487</v>
      </c>
    </row>
    <row r="24" customFormat="false" ht="15" hidden="false" customHeight="false" outlineLevel="0" collapsed="false">
      <c r="A24" s="12" t="s">
        <v>1195</v>
      </c>
      <c r="B24" s="12" t="s">
        <v>650</v>
      </c>
      <c r="C24" s="12" t="s">
        <v>652</v>
      </c>
    </row>
    <row r="25" customFormat="false" ht="15" hidden="false" customHeight="false" outlineLevel="0" collapsed="false">
      <c r="A25" s="15" t="s">
        <v>1196</v>
      </c>
      <c r="B25" s="15" t="s">
        <v>302</v>
      </c>
      <c r="C25" s="15" t="s">
        <v>304</v>
      </c>
    </row>
    <row r="26" customFormat="false" ht="15" hidden="false" customHeight="false" outlineLevel="0" collapsed="false">
      <c r="A26" s="12" t="s">
        <v>1197</v>
      </c>
      <c r="B26" s="12" t="s">
        <v>359</v>
      </c>
      <c r="C26" s="12" t="s">
        <v>360</v>
      </c>
    </row>
    <row r="27" customFormat="false" ht="15" hidden="false" customHeight="false" outlineLevel="0" collapsed="false">
      <c r="A27" s="15" t="s">
        <v>1198</v>
      </c>
      <c r="B27" s="15" t="s">
        <v>371</v>
      </c>
      <c r="C27" s="15" t="s">
        <v>372</v>
      </c>
    </row>
    <row r="28" customFormat="false" ht="15" hidden="false" customHeight="false" outlineLevel="0" collapsed="false">
      <c r="A28" s="12" t="s">
        <v>1199</v>
      </c>
      <c r="B28" s="12" t="s">
        <v>354</v>
      </c>
      <c r="C28" s="12" t="s">
        <v>355</v>
      </c>
    </row>
    <row r="29" customFormat="false" ht="15" hidden="false" customHeight="false" outlineLevel="0" collapsed="false">
      <c r="A29" s="15" t="s">
        <v>1200</v>
      </c>
      <c r="B29" s="15" t="s">
        <v>636</v>
      </c>
      <c r="C29" s="15" t="s">
        <v>638</v>
      </c>
    </row>
    <row r="30" customFormat="false" ht="15" hidden="false" customHeight="false" outlineLevel="0" collapsed="false">
      <c r="A30" s="12" t="s">
        <v>1201</v>
      </c>
      <c r="B30" s="12" t="s">
        <v>631</v>
      </c>
      <c r="C30" s="12" t="s">
        <v>632</v>
      </c>
    </row>
    <row r="31" customFormat="false" ht="15" hidden="false" customHeight="false" outlineLevel="0" collapsed="false">
      <c r="A31" s="15" t="s">
        <v>1202</v>
      </c>
      <c r="B31" s="15" t="s">
        <v>625</v>
      </c>
      <c r="C31" s="15" t="s">
        <v>626</v>
      </c>
    </row>
    <row r="32" customFormat="false" ht="15" hidden="false" customHeight="false" outlineLevel="0" collapsed="false">
      <c r="A32" s="12" t="s">
        <v>428</v>
      </c>
      <c r="B32" s="12" t="s">
        <v>426</v>
      </c>
      <c r="C32" s="12" t="s">
        <v>427</v>
      </c>
    </row>
    <row r="33" customFormat="false" ht="15" hidden="false" customHeight="false" outlineLevel="0" collapsed="false">
      <c r="A33" s="15" t="s">
        <v>1203</v>
      </c>
      <c r="B33" s="15" t="s">
        <v>434</v>
      </c>
      <c r="C33" s="15" t="s">
        <v>435</v>
      </c>
    </row>
    <row r="34" customFormat="false" ht="15" hidden="false" customHeight="false" outlineLevel="0" collapsed="false">
      <c r="A34" s="12" t="s">
        <v>1204</v>
      </c>
      <c r="B34" s="12" t="s">
        <v>400</v>
      </c>
      <c r="C34" s="12" t="s">
        <v>402</v>
      </c>
    </row>
    <row r="35" customFormat="false" ht="15" hidden="false" customHeight="false" outlineLevel="0" collapsed="false">
      <c r="A35" s="15" t="s">
        <v>1205</v>
      </c>
      <c r="B35" s="15" t="s">
        <v>406</v>
      </c>
      <c r="C35" s="15" t="s">
        <v>407</v>
      </c>
    </row>
    <row r="36" customFormat="false" ht="15" hidden="false" customHeight="false" outlineLevel="0" collapsed="false">
      <c r="A36" s="12" t="s">
        <v>1206</v>
      </c>
      <c r="B36" s="12" t="s">
        <v>696</v>
      </c>
      <c r="C36" s="12" t="s">
        <v>697</v>
      </c>
    </row>
    <row r="37" customFormat="false" ht="15" hidden="false" customHeight="false" outlineLevel="0" collapsed="false">
      <c r="A37" s="15" t="s">
        <v>1207</v>
      </c>
      <c r="B37" s="15" t="s">
        <v>527</v>
      </c>
      <c r="C37" s="15" t="s">
        <v>528</v>
      </c>
    </row>
    <row r="38" customFormat="false" ht="23.85" hidden="false" customHeight="false" outlineLevel="0" collapsed="false">
      <c r="A38" s="12" t="s">
        <v>1208</v>
      </c>
      <c r="B38" s="12" t="s">
        <v>521</v>
      </c>
      <c r="C38" s="12" t="s">
        <v>522</v>
      </c>
    </row>
    <row r="39" customFormat="false" ht="15" hidden="false" customHeight="false" outlineLevel="0" collapsed="false">
      <c r="A39" s="15" t="s">
        <v>1208</v>
      </c>
      <c r="B39" s="15" t="s">
        <v>535</v>
      </c>
      <c r="C39" s="15" t="s">
        <v>536</v>
      </c>
    </row>
    <row r="40" customFormat="false" ht="15" hidden="false" customHeight="false" outlineLevel="0" collapsed="false">
      <c r="A40" s="12" t="s">
        <v>250</v>
      </c>
      <c r="B40" s="12" t="s">
        <v>247</v>
      </c>
      <c r="C40" s="12" t="s">
        <v>248</v>
      </c>
    </row>
    <row r="41" customFormat="false" ht="15" hidden="false" customHeight="false" outlineLevel="0" collapsed="false">
      <c r="A41" s="15" t="s">
        <v>238</v>
      </c>
      <c r="B41" s="15" t="s">
        <v>235</v>
      </c>
      <c r="C41" s="15" t="s">
        <v>236</v>
      </c>
    </row>
    <row r="42" customFormat="false" ht="15" hidden="false" customHeight="false" outlineLevel="0" collapsed="false">
      <c r="A42" s="12" t="s">
        <v>243</v>
      </c>
      <c r="B42" s="12" t="s">
        <v>240</v>
      </c>
      <c r="C42" s="12" t="s">
        <v>241</v>
      </c>
    </row>
    <row r="43" customFormat="false" ht="15" hidden="false" customHeight="false" outlineLevel="0" collapsed="false">
      <c r="A43" s="15" t="s">
        <v>254</v>
      </c>
      <c r="B43" s="15" t="s">
        <v>252</v>
      </c>
      <c r="C43" s="15" t="s">
        <v>253</v>
      </c>
    </row>
    <row r="44" customFormat="false" ht="15" hidden="false" customHeight="false" outlineLevel="0" collapsed="false">
      <c r="A44" s="12" t="s">
        <v>261</v>
      </c>
      <c r="B44" s="12" t="s">
        <v>257</v>
      </c>
      <c r="C44" s="12" t="s">
        <v>259</v>
      </c>
    </row>
    <row r="45" customFormat="false" ht="23.85" hidden="false" customHeight="false" outlineLevel="0" collapsed="false">
      <c r="A45" s="15" t="s">
        <v>1209</v>
      </c>
      <c r="B45" s="15" t="s">
        <v>288</v>
      </c>
      <c r="C45" s="15" t="s">
        <v>290</v>
      </c>
    </row>
    <row r="46" customFormat="false" ht="15" hidden="false" customHeight="false" outlineLevel="0" collapsed="false">
      <c r="A46" s="12" t="s">
        <v>324</v>
      </c>
      <c r="B46" s="12" t="s">
        <v>322</v>
      </c>
      <c r="C46" s="12" t="s">
        <v>323</v>
      </c>
    </row>
    <row r="47" customFormat="false" ht="23.85" hidden="false" customHeight="false" outlineLevel="0" collapsed="false">
      <c r="A47" s="15" t="s">
        <v>386</v>
      </c>
      <c r="B47" s="15" t="s">
        <v>384</v>
      </c>
      <c r="C47" s="15" t="s">
        <v>385</v>
      </c>
    </row>
    <row r="48" customFormat="false" ht="15" hidden="false" customHeight="false" outlineLevel="0" collapsed="false">
      <c r="A48" s="12" t="s">
        <v>1210</v>
      </c>
      <c r="B48" s="12" t="s">
        <v>295</v>
      </c>
      <c r="C48" s="12" t="s">
        <v>296</v>
      </c>
    </row>
    <row r="49" customFormat="false" ht="23.85" hidden="false" customHeight="false" outlineLevel="0" collapsed="false">
      <c r="A49" s="15" t="s">
        <v>471</v>
      </c>
      <c r="B49" s="15" t="s">
        <v>469</v>
      </c>
      <c r="C49" s="15" t="s">
        <v>470</v>
      </c>
    </row>
    <row r="50" customFormat="false" ht="15" hidden="false" customHeight="false" outlineLevel="0" collapsed="false">
      <c r="A50" s="12" t="s">
        <v>1211</v>
      </c>
      <c r="B50" s="12" t="s">
        <v>700</v>
      </c>
      <c r="C50" s="12" t="s">
        <v>701</v>
      </c>
    </row>
    <row r="51" customFormat="false" ht="15" hidden="false" customHeight="false" outlineLevel="0" collapsed="false">
      <c r="A51" s="15" t="s">
        <v>1212</v>
      </c>
      <c r="B51" s="15" t="s">
        <v>475</v>
      </c>
      <c r="C51" s="15" t="s">
        <v>476</v>
      </c>
    </row>
    <row r="52" customFormat="false" ht="15" hidden="false" customHeight="false" outlineLevel="0" collapsed="false">
      <c r="A52" s="12" t="s">
        <v>1213</v>
      </c>
      <c r="B52" s="12" t="s">
        <v>448</v>
      </c>
      <c r="C52" s="12" t="s">
        <v>450</v>
      </c>
    </row>
    <row r="53" customFormat="false" ht="15" hidden="false" customHeight="false" outlineLevel="0" collapsed="false">
      <c r="A53" s="15" t="s">
        <v>1214</v>
      </c>
      <c r="B53" s="15" t="s">
        <v>494</v>
      </c>
      <c r="C53" s="15" t="s">
        <v>495</v>
      </c>
    </row>
    <row r="54" customFormat="false" ht="15" hidden="false" customHeight="false" outlineLevel="0" collapsed="false">
      <c r="A54" s="12" t="s">
        <v>1215</v>
      </c>
      <c r="B54" s="12" t="s">
        <v>456</v>
      </c>
      <c r="C54" s="12" t="s">
        <v>457</v>
      </c>
    </row>
    <row r="55" customFormat="false" ht="15" hidden="false" customHeight="false" outlineLevel="0" collapsed="false">
      <c r="A55" s="15" t="s">
        <v>1216</v>
      </c>
      <c r="B55" s="15" t="s">
        <v>460</v>
      </c>
      <c r="C55" s="15" t="s">
        <v>461</v>
      </c>
    </row>
    <row r="56" customFormat="false" ht="15" hidden="false" customHeight="false" outlineLevel="0" collapsed="false">
      <c r="A56" s="12" t="s">
        <v>1217</v>
      </c>
      <c r="B56" s="12" t="s">
        <v>503</v>
      </c>
      <c r="C56" s="12" t="s">
        <v>504</v>
      </c>
    </row>
    <row r="57" customFormat="false" ht="15" hidden="false" customHeight="false" outlineLevel="0" collapsed="false">
      <c r="A57" s="15" t="s">
        <v>1218</v>
      </c>
      <c r="B57" s="15" t="s">
        <v>508</v>
      </c>
      <c r="C57" s="15" t="s">
        <v>509</v>
      </c>
    </row>
    <row r="58" customFormat="false" ht="23.85" hidden="false" customHeight="false" outlineLevel="0" collapsed="false">
      <c r="A58" s="12" t="s">
        <v>1219</v>
      </c>
      <c r="B58" s="12" t="s">
        <v>643</v>
      </c>
      <c r="C58" s="12" t="s">
        <v>644</v>
      </c>
    </row>
    <row r="59" customFormat="false" ht="23.85" hidden="false" customHeight="false" outlineLevel="0" collapsed="false">
      <c r="A59" s="15" t="s">
        <v>213</v>
      </c>
      <c r="B59" s="15" t="s">
        <v>210</v>
      </c>
      <c r="C59" s="15" t="s">
        <v>211</v>
      </c>
    </row>
    <row r="60" customFormat="false" ht="15" hidden="false" customHeight="false" outlineLevel="0" collapsed="false">
      <c r="A60" s="12" t="s">
        <v>1220</v>
      </c>
      <c r="B60" s="12" t="s">
        <v>700</v>
      </c>
      <c r="C60" s="12" t="s">
        <v>701</v>
      </c>
    </row>
    <row r="61" customFormat="false" ht="15" hidden="false" customHeight="false" outlineLevel="0" collapsed="false">
      <c r="A61" s="15" t="s">
        <v>1221</v>
      </c>
      <c r="B61" s="15" t="s">
        <v>527</v>
      </c>
      <c r="C61" s="15" t="s">
        <v>528</v>
      </c>
    </row>
    <row r="62" customFormat="false" ht="15" hidden="false" customHeight="false" outlineLevel="0" collapsed="false">
      <c r="A62" s="12" t="s">
        <v>1222</v>
      </c>
      <c r="B62" s="12" t="s">
        <v>539</v>
      </c>
      <c r="C62" s="12" t="s">
        <v>540</v>
      </c>
    </row>
    <row r="63" customFormat="false" ht="15" hidden="false" customHeight="false" outlineLevel="0" collapsed="false">
      <c r="A63" s="15" t="s">
        <v>1223</v>
      </c>
      <c r="B63" s="15" t="s">
        <v>650</v>
      </c>
      <c r="C63" s="15" t="s">
        <v>652</v>
      </c>
    </row>
    <row r="64" customFormat="false" ht="15" hidden="false" customHeight="false" outlineLevel="0" collapsed="false">
      <c r="A64" s="12" t="s">
        <v>1224</v>
      </c>
      <c r="B64" s="12" t="s">
        <v>512</v>
      </c>
      <c r="C64" s="12" t="s">
        <v>514</v>
      </c>
    </row>
    <row r="65" customFormat="false" ht="23.85" hidden="false" customHeight="false" outlineLevel="0" collapsed="false">
      <c r="A65" s="15" t="s">
        <v>1225</v>
      </c>
      <c r="B65" s="15" t="s">
        <v>485</v>
      </c>
      <c r="C65" s="15" t="s">
        <v>487</v>
      </c>
    </row>
    <row r="66" customFormat="false" ht="15" hidden="false" customHeight="false" outlineLevel="0" collapsed="false">
      <c r="A66" s="12" t="s">
        <v>1226</v>
      </c>
      <c r="B66" s="12" t="s">
        <v>517</v>
      </c>
      <c r="C66" s="12" t="s">
        <v>518</v>
      </c>
    </row>
    <row r="67" customFormat="false" ht="15" hidden="false" customHeight="false" outlineLevel="0" collapsed="false">
      <c r="A67" s="15" t="s">
        <v>1227</v>
      </c>
      <c r="B67" s="15" t="s">
        <v>650</v>
      </c>
      <c r="C67" s="15" t="s">
        <v>652</v>
      </c>
    </row>
    <row r="68" customFormat="false" ht="15" hidden="false" customHeight="false" outlineLevel="0" collapsed="false">
      <c r="A68" s="12" t="s">
        <v>1228</v>
      </c>
      <c r="B68" s="12" t="s">
        <v>217</v>
      </c>
      <c r="C68" s="12" t="s">
        <v>218</v>
      </c>
    </row>
    <row r="69" customFormat="false" ht="15" hidden="false" customHeight="false" outlineLevel="0" collapsed="false">
      <c r="A69" s="15" t="s">
        <v>1228</v>
      </c>
      <c r="B69" s="15" t="s">
        <v>223</v>
      </c>
      <c r="C69" s="15" t="s">
        <v>224</v>
      </c>
    </row>
    <row r="70" customFormat="false" ht="15" hidden="false" customHeight="false" outlineLevel="0" collapsed="false">
      <c r="A70" s="12" t="s">
        <v>273</v>
      </c>
      <c r="B70" s="12" t="s">
        <v>271</v>
      </c>
      <c r="C70" s="12" t="s">
        <v>272</v>
      </c>
    </row>
    <row r="71" customFormat="false" ht="15" hidden="false" customHeight="false" outlineLevel="0" collapsed="false">
      <c r="A71" s="15" t="s">
        <v>278</v>
      </c>
      <c r="B71" s="15" t="s">
        <v>276</v>
      </c>
      <c r="C71" s="15" t="s">
        <v>277</v>
      </c>
    </row>
    <row r="72" customFormat="false" ht="23.85" hidden="false" customHeight="false" outlineLevel="0" collapsed="false">
      <c r="A72" s="12" t="s">
        <v>1229</v>
      </c>
      <c r="B72" s="12" t="s">
        <v>288</v>
      </c>
      <c r="C72" s="12" t="s">
        <v>290</v>
      </c>
    </row>
    <row r="73" customFormat="false" ht="15" hidden="false" customHeight="false" outlineLevel="0" collapsed="false">
      <c r="A73" s="15" t="s">
        <v>314</v>
      </c>
      <c r="B73" s="15" t="s">
        <v>312</v>
      </c>
      <c r="C73" s="15" t="s">
        <v>313</v>
      </c>
    </row>
    <row r="74" customFormat="false" ht="15" hidden="false" customHeight="false" outlineLevel="0" collapsed="false">
      <c r="A74" s="12" t="s">
        <v>1230</v>
      </c>
      <c r="B74" s="12" t="s">
        <v>302</v>
      </c>
      <c r="C74" s="12" t="s">
        <v>304</v>
      </c>
    </row>
    <row r="75" customFormat="false" ht="15" hidden="false" customHeight="false" outlineLevel="0" collapsed="false">
      <c r="A75" s="15" t="s">
        <v>319</v>
      </c>
      <c r="B75" s="15" t="s">
        <v>317</v>
      </c>
      <c r="C75" s="15" t="s">
        <v>318</v>
      </c>
    </row>
    <row r="76" customFormat="false" ht="23.85" hidden="false" customHeight="false" outlineLevel="0" collapsed="false">
      <c r="A76" s="12" t="s">
        <v>367</v>
      </c>
      <c r="B76" s="12" t="s">
        <v>364</v>
      </c>
      <c r="C76" s="12" t="s">
        <v>365</v>
      </c>
    </row>
    <row r="77" customFormat="false" ht="15" hidden="false" customHeight="false" outlineLevel="0" collapsed="false">
      <c r="A77" s="15" t="s">
        <v>1231</v>
      </c>
      <c r="B77" s="15" t="s">
        <v>295</v>
      </c>
      <c r="C77" s="15" t="s">
        <v>296</v>
      </c>
    </row>
    <row r="78" customFormat="false" ht="15" hidden="false" customHeight="false" outlineLevel="0" collapsed="false">
      <c r="A78" s="12" t="s">
        <v>1232</v>
      </c>
      <c r="B78" s="12" t="s">
        <v>359</v>
      </c>
      <c r="C78" s="12" t="s">
        <v>360</v>
      </c>
    </row>
    <row r="79" customFormat="false" ht="15" hidden="false" customHeight="false" outlineLevel="0" collapsed="false">
      <c r="A79" s="15" t="s">
        <v>1233</v>
      </c>
      <c r="B79" s="15" t="s">
        <v>354</v>
      </c>
      <c r="C79" s="15" t="s">
        <v>355</v>
      </c>
    </row>
    <row r="80" customFormat="false" ht="15" hidden="false" customHeight="false" outlineLevel="0" collapsed="false">
      <c r="A80" s="12" t="s">
        <v>377</v>
      </c>
      <c r="B80" s="12" t="s">
        <v>375</v>
      </c>
      <c r="C80" s="12" t="s">
        <v>376</v>
      </c>
    </row>
    <row r="81" customFormat="false" ht="15" hidden="false" customHeight="false" outlineLevel="0" collapsed="false">
      <c r="A81" s="15" t="s">
        <v>1234</v>
      </c>
      <c r="B81" s="15" t="s">
        <v>393</v>
      </c>
      <c r="C81" s="15" t="s">
        <v>394</v>
      </c>
    </row>
    <row r="82" customFormat="false" ht="15" hidden="false" customHeight="false" outlineLevel="0" collapsed="false">
      <c r="A82" s="12" t="s">
        <v>1235</v>
      </c>
      <c r="B82" s="12" t="s">
        <v>400</v>
      </c>
      <c r="C82" s="12" t="s">
        <v>402</v>
      </c>
    </row>
    <row r="83" customFormat="false" ht="15" hidden="false" customHeight="false" outlineLevel="0" collapsed="false">
      <c r="A83" s="15" t="s">
        <v>1236</v>
      </c>
      <c r="B83" s="15" t="s">
        <v>406</v>
      </c>
      <c r="C83" s="15" t="s">
        <v>407</v>
      </c>
    </row>
    <row r="84" customFormat="false" ht="15" hidden="false" customHeight="false" outlineLevel="0" collapsed="false">
      <c r="A84" s="12" t="s">
        <v>1237</v>
      </c>
      <c r="B84" s="12" t="s">
        <v>636</v>
      </c>
      <c r="C84" s="12" t="s">
        <v>638</v>
      </c>
    </row>
    <row r="85" customFormat="false" ht="15" hidden="false" customHeight="false" outlineLevel="0" collapsed="false">
      <c r="A85" s="15" t="s">
        <v>1238</v>
      </c>
      <c r="B85" s="15" t="s">
        <v>631</v>
      </c>
      <c r="C85" s="15" t="s">
        <v>632</v>
      </c>
    </row>
    <row r="86" customFormat="false" ht="15" hidden="false" customHeight="false" outlineLevel="0" collapsed="false">
      <c r="A86" s="12" t="s">
        <v>1239</v>
      </c>
      <c r="B86" s="12" t="s">
        <v>625</v>
      </c>
      <c r="C86" s="12" t="s">
        <v>626</v>
      </c>
    </row>
    <row r="87" customFormat="false" ht="15" hidden="false" customHeight="false" outlineLevel="0" collapsed="false">
      <c r="A87" s="15" t="s">
        <v>1240</v>
      </c>
      <c r="B87" s="15" t="s">
        <v>430</v>
      </c>
      <c r="C87" s="15" t="s">
        <v>431</v>
      </c>
    </row>
    <row r="88" customFormat="false" ht="15" hidden="false" customHeight="false" outlineLevel="0" collapsed="false">
      <c r="A88" s="12" t="s">
        <v>1240</v>
      </c>
      <c r="B88" s="12" t="s">
        <v>696</v>
      </c>
      <c r="C88" s="12" t="s">
        <v>697</v>
      </c>
    </row>
    <row r="89" customFormat="false" ht="15" hidden="false" customHeight="false" outlineLevel="0" collapsed="false">
      <c r="A89" s="15" t="s">
        <v>1241</v>
      </c>
      <c r="B89" s="15" t="s">
        <v>490</v>
      </c>
      <c r="C89" s="15" t="s">
        <v>491</v>
      </c>
    </row>
    <row r="90" customFormat="false" ht="23.85" hidden="false" customHeight="false" outlineLevel="0" collapsed="false">
      <c r="A90" s="12" t="s">
        <v>1242</v>
      </c>
      <c r="B90" s="12" t="s">
        <v>485</v>
      </c>
      <c r="C90" s="12" t="s">
        <v>487</v>
      </c>
    </row>
    <row r="91" customFormat="false" ht="15" hidden="false" customHeight="false" outlineLevel="0" collapsed="false">
      <c r="A91" s="15" t="s">
        <v>442</v>
      </c>
      <c r="B91" s="15" t="s">
        <v>442</v>
      </c>
      <c r="C91" s="15" t="s">
        <v>443</v>
      </c>
    </row>
    <row r="92" customFormat="false" ht="15" hidden="false" customHeight="false" outlineLevel="0" collapsed="false">
      <c r="A92" s="12" t="s">
        <v>1243</v>
      </c>
      <c r="B92" s="12" t="s">
        <v>650</v>
      </c>
      <c r="C92" s="12" t="s">
        <v>652</v>
      </c>
    </row>
    <row r="93" customFormat="false" ht="15" hidden="false" customHeight="false" outlineLevel="0" collapsed="false">
      <c r="A93" s="15" t="s">
        <v>1244</v>
      </c>
      <c r="B93" s="15" t="s">
        <v>302</v>
      </c>
      <c r="C93" s="15" t="s">
        <v>304</v>
      </c>
    </row>
    <row r="94" customFormat="false" ht="15" hidden="false" customHeight="false" outlineLevel="0" collapsed="false">
      <c r="A94" s="12" t="s">
        <v>1245</v>
      </c>
      <c r="B94" s="12" t="s">
        <v>359</v>
      </c>
      <c r="C94" s="12" t="s">
        <v>360</v>
      </c>
    </row>
    <row r="95" customFormat="false" ht="15" hidden="false" customHeight="false" outlineLevel="0" collapsed="false">
      <c r="A95" s="15" t="s">
        <v>1246</v>
      </c>
      <c r="B95" s="15" t="s">
        <v>354</v>
      </c>
      <c r="C95" s="15" t="s">
        <v>355</v>
      </c>
    </row>
    <row r="96" customFormat="false" ht="15" hidden="false" customHeight="false" outlineLevel="0" collapsed="false">
      <c r="A96" s="12" t="s">
        <v>382</v>
      </c>
      <c r="B96" s="12" t="s">
        <v>380</v>
      </c>
      <c r="C96" s="12" t="s">
        <v>381</v>
      </c>
    </row>
    <row r="97" customFormat="false" ht="15" hidden="false" customHeight="false" outlineLevel="0" collapsed="false">
      <c r="A97" s="15" t="s">
        <v>1247</v>
      </c>
      <c r="B97" s="15" t="s">
        <v>636</v>
      </c>
      <c r="C97" s="15" t="s">
        <v>638</v>
      </c>
    </row>
    <row r="98" customFormat="false" ht="15" hidden="false" customHeight="false" outlineLevel="0" collapsed="false">
      <c r="A98" s="12" t="s">
        <v>1248</v>
      </c>
      <c r="B98" s="12" t="s">
        <v>631</v>
      </c>
      <c r="C98" s="12" t="s">
        <v>632</v>
      </c>
    </row>
    <row r="99" customFormat="false" ht="15" hidden="false" customHeight="false" outlineLevel="0" collapsed="false">
      <c r="A99" s="15" t="s">
        <v>1249</v>
      </c>
      <c r="B99" s="15" t="s">
        <v>625</v>
      </c>
      <c r="C99" s="15" t="s">
        <v>626</v>
      </c>
    </row>
    <row r="100" customFormat="false" ht="15" hidden="false" customHeight="false" outlineLevel="0" collapsed="false">
      <c r="A100" s="12" t="s">
        <v>1250</v>
      </c>
      <c r="B100" s="12" t="s">
        <v>434</v>
      </c>
      <c r="C100" s="12" t="s">
        <v>435</v>
      </c>
    </row>
    <row r="101" customFormat="false" ht="15" hidden="false" customHeight="false" outlineLevel="0" collapsed="false">
      <c r="A101" s="15" t="s">
        <v>1251</v>
      </c>
      <c r="B101" s="15" t="s">
        <v>393</v>
      </c>
      <c r="C101" s="15" t="s">
        <v>394</v>
      </c>
    </row>
    <row r="102" customFormat="false" ht="15" hidden="false" customHeight="false" outlineLevel="0" collapsed="false">
      <c r="A102" s="12" t="s">
        <v>1252</v>
      </c>
      <c r="B102" s="12" t="s">
        <v>400</v>
      </c>
      <c r="C102" s="12" t="s">
        <v>402</v>
      </c>
    </row>
    <row r="103" customFormat="false" ht="15" hidden="false" customHeight="false" outlineLevel="0" collapsed="false">
      <c r="A103" s="15" t="s">
        <v>1253</v>
      </c>
      <c r="B103" s="15" t="s">
        <v>406</v>
      </c>
      <c r="C103" s="15" t="s">
        <v>407</v>
      </c>
    </row>
    <row r="104" customFormat="false" ht="15" hidden="false" customHeight="false" outlineLevel="0" collapsed="false">
      <c r="A104" s="12" t="s">
        <v>1254</v>
      </c>
      <c r="B104" s="12" t="s">
        <v>696</v>
      </c>
      <c r="C104" s="12" t="s">
        <v>697</v>
      </c>
    </row>
    <row r="105" customFormat="false" ht="23.85" hidden="false" customHeight="false" outlineLevel="0" collapsed="false">
      <c r="A105" s="15" t="s">
        <v>1255</v>
      </c>
      <c r="B105" s="15" t="s">
        <v>521</v>
      </c>
      <c r="C105" s="15" t="s">
        <v>522</v>
      </c>
    </row>
    <row r="106" customFormat="false" ht="15" hidden="false" customHeight="false" outlineLevel="0" collapsed="false">
      <c r="A106" s="12" t="s">
        <v>1255</v>
      </c>
      <c r="B106" s="12" t="s">
        <v>527</v>
      </c>
      <c r="C106" s="12" t="s">
        <v>528</v>
      </c>
    </row>
    <row r="107" customFormat="false" ht="15" hidden="false" customHeight="false" outlineLevel="0" collapsed="false">
      <c r="A107" s="15" t="s">
        <v>1255</v>
      </c>
      <c r="B107" s="15" t="s">
        <v>535</v>
      </c>
      <c r="C107" s="15" t="s">
        <v>536</v>
      </c>
    </row>
    <row r="108" customFormat="false" ht="15" hidden="false" customHeight="false" outlineLevel="0" collapsed="false">
      <c r="A108" s="12" t="s">
        <v>440</v>
      </c>
      <c r="B108" s="12" t="s">
        <v>438</v>
      </c>
      <c r="C108" s="12" t="s">
        <v>439</v>
      </c>
    </row>
    <row r="109" customFormat="false" ht="15" hidden="false" customHeight="false" outlineLevel="0" collapsed="false">
      <c r="A109" s="15" t="s">
        <v>1256</v>
      </c>
      <c r="B109" s="15" t="s">
        <v>475</v>
      </c>
      <c r="C109" s="15" t="s">
        <v>476</v>
      </c>
    </row>
    <row r="110" customFormat="false" ht="15" hidden="false" customHeight="false" outlineLevel="0" collapsed="false">
      <c r="A110" s="12" t="s">
        <v>1257</v>
      </c>
      <c r="B110" s="12" t="s">
        <v>448</v>
      </c>
      <c r="C110" s="12" t="s">
        <v>450</v>
      </c>
    </row>
    <row r="111" customFormat="false" ht="15" hidden="false" customHeight="false" outlineLevel="0" collapsed="false">
      <c r="A111" s="15" t="s">
        <v>1258</v>
      </c>
      <c r="B111" s="15" t="s">
        <v>393</v>
      </c>
      <c r="C111" s="15" t="s">
        <v>394</v>
      </c>
    </row>
    <row r="112" customFormat="false" ht="15" hidden="false" customHeight="false" outlineLevel="0" collapsed="false">
      <c r="A112" s="12" t="s">
        <v>1259</v>
      </c>
      <c r="B112" s="12" t="s">
        <v>400</v>
      </c>
      <c r="C112" s="12" t="s">
        <v>402</v>
      </c>
    </row>
    <row r="113" customFormat="false" ht="15" hidden="false" customHeight="false" outlineLevel="0" collapsed="false">
      <c r="A113" s="15" t="s">
        <v>1260</v>
      </c>
      <c r="B113" s="15" t="s">
        <v>494</v>
      </c>
      <c r="C113" s="15" t="s">
        <v>495</v>
      </c>
    </row>
    <row r="114" customFormat="false" ht="15" hidden="false" customHeight="false" outlineLevel="0" collapsed="false">
      <c r="A114" s="12" t="s">
        <v>1261</v>
      </c>
      <c r="B114" s="12" t="s">
        <v>456</v>
      </c>
      <c r="C114" s="12" t="s">
        <v>457</v>
      </c>
    </row>
    <row r="115" customFormat="false" ht="15" hidden="false" customHeight="false" outlineLevel="0" collapsed="false">
      <c r="A115" s="15" t="s">
        <v>1262</v>
      </c>
      <c r="B115" s="15" t="s">
        <v>460</v>
      </c>
      <c r="C115" s="15" t="s">
        <v>461</v>
      </c>
    </row>
    <row r="116" customFormat="false" ht="15" hidden="false" customHeight="false" outlineLevel="0" collapsed="false">
      <c r="A116" s="12" t="s">
        <v>1263</v>
      </c>
      <c r="B116" s="12" t="s">
        <v>503</v>
      </c>
      <c r="C116" s="12" t="s">
        <v>504</v>
      </c>
    </row>
    <row r="117" customFormat="false" ht="15" hidden="false" customHeight="false" outlineLevel="0" collapsed="false">
      <c r="A117" s="15" t="s">
        <v>1264</v>
      </c>
      <c r="B117" s="15" t="s">
        <v>508</v>
      </c>
      <c r="C117" s="15" t="s">
        <v>509</v>
      </c>
    </row>
    <row r="118" customFormat="false" ht="23.85" hidden="false" customHeight="false" outlineLevel="0" collapsed="false">
      <c r="A118" s="12" t="s">
        <v>1265</v>
      </c>
      <c r="B118" s="12" t="s">
        <v>643</v>
      </c>
      <c r="C118" s="12" t="s">
        <v>644</v>
      </c>
    </row>
    <row r="119" customFormat="false" ht="15" hidden="false" customHeight="false" outlineLevel="0" collapsed="false">
      <c r="A119" s="15" t="s">
        <v>1266</v>
      </c>
      <c r="B119" s="15" t="s">
        <v>700</v>
      </c>
      <c r="C119" s="15" t="s">
        <v>701</v>
      </c>
    </row>
    <row r="120" customFormat="false" ht="15" hidden="false" customHeight="false" outlineLevel="0" collapsed="false">
      <c r="A120" s="12" t="s">
        <v>1267</v>
      </c>
      <c r="B120" s="12" t="s">
        <v>527</v>
      </c>
      <c r="C120" s="12" t="s">
        <v>528</v>
      </c>
    </row>
    <row r="121" customFormat="false" ht="15" hidden="false" customHeight="false" outlineLevel="0" collapsed="false">
      <c r="A121" s="15" t="s">
        <v>1267</v>
      </c>
      <c r="B121" s="15" t="s">
        <v>539</v>
      </c>
      <c r="C121" s="15" t="s">
        <v>540</v>
      </c>
    </row>
    <row r="122" customFormat="false" ht="15" hidden="false" customHeight="false" outlineLevel="0" collapsed="false">
      <c r="A122" s="12" t="s">
        <v>1268</v>
      </c>
      <c r="B122" s="12" t="s">
        <v>295</v>
      </c>
      <c r="C122" s="12" t="s">
        <v>296</v>
      </c>
    </row>
    <row r="123" customFormat="false" ht="15" hidden="false" customHeight="false" outlineLevel="0" collapsed="false">
      <c r="A123" s="15" t="s">
        <v>1269</v>
      </c>
      <c r="B123" s="15" t="s">
        <v>650</v>
      </c>
      <c r="C123" s="15" t="s">
        <v>652</v>
      </c>
    </row>
    <row r="124" customFormat="false" ht="15" hidden="false" customHeight="false" outlineLevel="0" collapsed="false">
      <c r="A124" s="12" t="s">
        <v>1270</v>
      </c>
      <c r="B124" s="12" t="s">
        <v>512</v>
      </c>
      <c r="C124" s="12" t="s">
        <v>514</v>
      </c>
    </row>
    <row r="125" customFormat="false" ht="23.85" hidden="false" customHeight="false" outlineLevel="0" collapsed="false">
      <c r="A125" s="15" t="s">
        <v>1271</v>
      </c>
      <c r="B125" s="15" t="s">
        <v>485</v>
      </c>
      <c r="C125" s="15" t="s">
        <v>487</v>
      </c>
    </row>
    <row r="126" customFormat="false" ht="15" hidden="false" customHeight="false" outlineLevel="0" collapsed="false">
      <c r="A126" s="12" t="s">
        <v>1272</v>
      </c>
      <c r="B126" s="12" t="s">
        <v>517</v>
      </c>
      <c r="C126" s="12" t="s">
        <v>518</v>
      </c>
    </row>
    <row r="127" customFormat="false" ht="15" hidden="false" customHeight="false" outlineLevel="0" collapsed="false">
      <c r="A127" s="15" t="s">
        <v>1273</v>
      </c>
      <c r="B127" s="15" t="s">
        <v>650</v>
      </c>
      <c r="C127" s="15" t="s">
        <v>652</v>
      </c>
    </row>
    <row r="128" customFormat="false" ht="15" hidden="false" customHeight="false" outlineLevel="0" collapsed="false">
      <c r="A128" s="12" t="s">
        <v>622</v>
      </c>
      <c r="B128" s="12" t="s">
        <v>620</v>
      </c>
      <c r="C128" s="12" t="s">
        <v>621</v>
      </c>
    </row>
    <row r="129" customFormat="false" ht="15" hidden="false" customHeight="false" outlineLevel="0" collapsed="false">
      <c r="A129" s="15" t="s">
        <v>618</v>
      </c>
      <c r="B129" s="15" t="s">
        <v>616</v>
      </c>
      <c r="C129" s="15" t="s">
        <v>617</v>
      </c>
    </row>
    <row r="130" customFormat="false" ht="15" hidden="false" customHeight="false" outlineLevel="0" collapsed="false">
      <c r="A130" s="12" t="s">
        <v>1274</v>
      </c>
      <c r="B130" s="12" t="s">
        <v>636</v>
      </c>
      <c r="C130" s="12" t="s">
        <v>638</v>
      </c>
    </row>
    <row r="131" customFormat="false" ht="15" hidden="false" customHeight="false" outlineLevel="0" collapsed="false">
      <c r="A131" s="15" t="s">
        <v>1275</v>
      </c>
      <c r="B131" s="15" t="s">
        <v>631</v>
      </c>
      <c r="C131" s="15" t="s">
        <v>632</v>
      </c>
    </row>
    <row r="132" customFormat="false" ht="15" hidden="false" customHeight="false" outlineLevel="0" collapsed="false">
      <c r="A132" s="12" t="s">
        <v>1276</v>
      </c>
      <c r="B132" s="12" t="s">
        <v>650</v>
      </c>
      <c r="C132" s="12" t="s">
        <v>652</v>
      </c>
    </row>
    <row r="133" customFormat="false" ht="15" hidden="false" customHeight="false" outlineLevel="0" collapsed="false">
      <c r="A133" s="15" t="s">
        <v>547</v>
      </c>
      <c r="B133" s="15" t="s">
        <v>544</v>
      </c>
      <c r="C133" s="15" t="s">
        <v>546</v>
      </c>
    </row>
    <row r="134" customFormat="false" ht="15" hidden="false" customHeight="false" outlineLevel="0" collapsed="false">
      <c r="A134" s="12" t="s">
        <v>1277</v>
      </c>
      <c r="B134" s="12" t="s">
        <v>650</v>
      </c>
      <c r="C134" s="12" t="s">
        <v>652</v>
      </c>
    </row>
    <row r="135" customFormat="false" ht="15" hidden="false" customHeight="false" outlineLevel="0" collapsed="false">
      <c r="A135" s="15" t="s">
        <v>660</v>
      </c>
      <c r="B135" s="15" t="s">
        <v>657</v>
      </c>
      <c r="C135" s="15" t="s">
        <v>659</v>
      </c>
    </row>
    <row r="136" customFormat="false" ht="15" hidden="false" customHeight="false" outlineLevel="0" collapsed="false">
      <c r="A136" s="12" t="s">
        <v>665</v>
      </c>
      <c r="B136" s="12" t="s">
        <v>663</v>
      </c>
      <c r="C136" s="12" t="s">
        <v>664</v>
      </c>
    </row>
    <row r="137" customFormat="false" ht="15" hidden="false" customHeight="false" outlineLevel="0" collapsed="false">
      <c r="A137" s="15" t="s">
        <v>670</v>
      </c>
      <c r="B137" s="15" t="s">
        <v>668</v>
      </c>
      <c r="C137" s="15" t="s">
        <v>669</v>
      </c>
    </row>
    <row r="138" customFormat="false" ht="15" hidden="false" customHeight="false" outlineLevel="0" collapsed="false">
      <c r="A138" s="12" t="s">
        <v>675</v>
      </c>
      <c r="B138" s="12" t="s">
        <v>673</v>
      </c>
      <c r="C138" s="12" t="s">
        <v>674</v>
      </c>
    </row>
    <row r="139" customFormat="false" ht="15" hidden="false" customHeight="false" outlineLevel="0" collapsed="false">
      <c r="A139" s="15" t="s">
        <v>680</v>
      </c>
      <c r="B139" s="15" t="s">
        <v>678</v>
      </c>
      <c r="C139" s="15" t="s">
        <v>679</v>
      </c>
    </row>
    <row r="140" customFormat="false" ht="15" hidden="false" customHeight="false" outlineLevel="0" collapsed="false">
      <c r="A140" s="12" t="s">
        <v>685</v>
      </c>
      <c r="B140" s="12" t="s">
        <v>682</v>
      </c>
      <c r="C140" s="12" t="s">
        <v>684</v>
      </c>
    </row>
    <row r="141" customFormat="false" ht="15" hidden="false" customHeight="false" outlineLevel="0" collapsed="false">
      <c r="A141" s="15" t="s">
        <v>689</v>
      </c>
      <c r="B141" s="15" t="s">
        <v>687</v>
      </c>
      <c r="C141" s="15" t="s">
        <v>688</v>
      </c>
    </row>
    <row r="142" customFormat="false" ht="15" hidden="false" customHeight="false" outlineLevel="0" collapsed="false">
      <c r="A142" s="12" t="s">
        <v>1278</v>
      </c>
      <c r="B142" s="12" t="s">
        <v>696</v>
      </c>
      <c r="C142" s="12" t="s">
        <v>697</v>
      </c>
    </row>
    <row r="143" customFormat="false" ht="15" hidden="false" customHeight="false" outlineLevel="0" collapsed="false">
      <c r="A143" s="15" t="s">
        <v>1279</v>
      </c>
      <c r="B143" s="15" t="s">
        <v>442</v>
      </c>
      <c r="C143" s="15" t="s">
        <v>443</v>
      </c>
    </row>
    <row r="144" customFormat="false" ht="15" hidden="false" customHeight="false" outlineLevel="0" collapsed="false">
      <c r="A144" s="12" t="s">
        <v>694</v>
      </c>
      <c r="B144" s="12" t="s">
        <v>692</v>
      </c>
      <c r="C144" s="12" t="s">
        <v>693</v>
      </c>
    </row>
  </sheetData>
  <autoFilter ref="A1:C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B913"/>
    <pageSetUpPr fitToPage="true"/>
  </sheetPr>
  <dimension ref="B2: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34"/>
    <col collapsed="false" customWidth="true" hidden="false" outlineLevel="0" max="4" min="3" style="0" width="30"/>
    <col collapsed="false" customWidth="true" hidden="false" outlineLevel="0" max="5" min="5" style="0" width="24"/>
    <col collapsed="false" customWidth="true" hidden="false" outlineLevel="0" max="6" min="6" style="0" width="14"/>
  </cols>
  <sheetData>
    <row r="2" customFormat="false" ht="22.05" hidden="false" customHeight="false" outlineLevel="0" collapsed="false">
      <c r="B2" s="1" t="s">
        <v>1280</v>
      </c>
    </row>
    <row r="3" customFormat="false" ht="15" hidden="false" customHeight="false" outlineLevel="0" collapsed="false">
      <c r="B3" s="2" t="s">
        <v>1281</v>
      </c>
    </row>
    <row r="5" customFormat="false" ht="15" hidden="false" customHeight="false" outlineLevel="0" collapsed="false">
      <c r="B5" s="5" t="s">
        <v>1282</v>
      </c>
      <c r="C5" s="5" t="s">
        <v>1283</v>
      </c>
      <c r="D5" s="5" t="s">
        <v>1284</v>
      </c>
      <c r="E5" s="5" t="s">
        <v>1285</v>
      </c>
      <c r="F5" s="5" t="s">
        <v>813</v>
      </c>
    </row>
    <row r="6" customFormat="false" ht="27.75" hidden="false" customHeight="true" outlineLevel="0" collapsed="false">
      <c r="B6" s="9" t="s">
        <v>1286</v>
      </c>
      <c r="C6" s="18"/>
      <c r="D6" s="18"/>
      <c r="E6" s="18"/>
      <c r="F6" s="18"/>
    </row>
    <row r="7" customFormat="false" ht="27.75" hidden="false" customHeight="true" outlineLevel="0" collapsed="false">
      <c r="B7" s="9" t="s">
        <v>1287</v>
      </c>
      <c r="C7" s="18"/>
      <c r="D7" s="18"/>
      <c r="E7" s="18"/>
      <c r="F7" s="18"/>
    </row>
    <row r="8" customFormat="false" ht="27.75" hidden="false" customHeight="true" outlineLevel="0" collapsed="false">
      <c r="B8" s="9" t="s">
        <v>1288</v>
      </c>
      <c r="C8" s="18"/>
      <c r="D8" s="18"/>
      <c r="E8" s="18"/>
      <c r="F8" s="18"/>
    </row>
    <row r="9" customFormat="false" ht="27.75" hidden="false" customHeight="true" outlineLevel="0" collapsed="false">
      <c r="B9" s="9" t="s">
        <v>1289</v>
      </c>
      <c r="C9" s="18"/>
      <c r="D9" s="18"/>
      <c r="E9" s="18"/>
      <c r="F9" s="18"/>
    </row>
    <row r="10" customFormat="false" ht="27.75" hidden="false" customHeight="true" outlineLevel="0" collapsed="false">
      <c r="B10" s="9" t="s">
        <v>1290</v>
      </c>
      <c r="C10" s="18"/>
      <c r="D10" s="18"/>
      <c r="E10" s="18"/>
      <c r="F10" s="18"/>
    </row>
    <row r="11" customFormat="false" ht="27.75" hidden="false" customHeight="true" outlineLevel="0" collapsed="false">
      <c r="B11" s="9" t="s">
        <v>1291</v>
      </c>
      <c r="C11" s="18"/>
      <c r="D11" s="18"/>
      <c r="E11" s="18"/>
      <c r="F11" s="18"/>
    </row>
    <row r="12" customFormat="false" ht="27.75" hidden="false" customHeight="true" outlineLevel="0" collapsed="false">
      <c r="B12" s="9" t="s">
        <v>1292</v>
      </c>
      <c r="C12" s="18"/>
      <c r="D12" s="18"/>
      <c r="E12" s="18"/>
      <c r="F12" s="18"/>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2026-09-24T10:37:31Z</dcterms:created>
  <dc:creator>openpyxl</dc:creator>
  <dc:description/>
  <dc:language>en-US</dc:language>
  <cp:lastModifiedBy/>
  <dcterms:modified xsi:type="dcterms:W3CDTF">2026-09-24T10:37:31Z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