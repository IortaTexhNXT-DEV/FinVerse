
<file path=[Content_Types].xml><?xml version="1.0" encoding="utf-8"?>
<Types xmlns="http://schemas.openxmlformats.org/package/2006/content-type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xr:revisionPtr revIDLastSave="0" documentId="8_{C92461E6-CD11-4616-A592-152D8B52063F}" xr6:coauthVersionLast="47" xr6:coauthVersionMax="47" xr10:uidLastSave="{00000000-0000-0000-0000-000000000000}"/>
  <bookViews>
    <workbookView xWindow="0" yWindow="0" windowWidth="16384" windowHeight="8192" tabRatio="500" firstSheet="6" activeTab="3" xr2:uid="{00000000-000D-0000-FFFF-FFFF00000000}"/>
  </bookViews>
  <sheets>
    <sheet name="Document Control" sheetId="1" r:id="rId1"/>
    <sheet name="Assumptions" sheetId="2" r:id="rId2"/>
    <sheet name="IER Change Log" sheetId="3" r:id="rId3"/>
    <sheet name="Architecture Diagram" sheetId="4" r:id="rId4"/>
    <sheet name="HW &amp; SW Requirements" sheetId="5" r:id="rId5"/>
    <sheet name="VDI Requirements" sheetId="6" r:id="rId6"/>
    <sheet name="Architecture Diagram (Infra)" sheetId="7" r:id="rId7"/>
    <sheet name="HW &amp; SW Specifications (Infra)" sheetId="8" r:id="rId8"/>
    <sheet name="VDI Specifications (Infra)" sheetId="9" r:id="rId9"/>
    <sheet name="Software Licenses" sheetId="10" r:id="rId10"/>
    <sheet name="DEV" sheetId="11" r:id="rId11"/>
    <sheet name="SIT" sheetId="12" r:id="rId12"/>
    <sheet name="UAT" sheetId="13" r:id="rId13"/>
    <sheet name="Pre-Prod" sheetId="14" r:id="rId14"/>
    <sheet name="PROD" sheetId="15" r:id="rId15"/>
    <sheet name="DR" sheetId="16" r:id="rId16"/>
    <sheet name="SUMMARY" sheetId="17" r:id="rId17"/>
    <sheet name="K8S (DEV Cluster)" sheetId="18" r:id="rId18"/>
    <sheet name="K8S (SIT Cluster)" sheetId="19" r:id="rId19"/>
    <sheet name="K8S (UAT Cluster)" sheetId="20" r:id="rId20"/>
    <sheet name="K8S (PROD Cluster) Y1" sheetId="21" r:id="rId21"/>
    <sheet name="K8S (PROD Cluster) Y2" sheetId="22" r:id="rId22"/>
    <sheet name="K8S (PROD Cluster) Y3" sheetId="23" r:id="rId23"/>
    <sheet name="K8S (PROD Cluster) Y4" sheetId="24" r:id="rId24"/>
    <sheet name="K8S (PROD Cluster) Y5" sheetId="25" r:id="rId25"/>
    <sheet name="Ref - Driver Dropdown" sheetId="26" state="hidden" r:id="rId26"/>
    <sheet name="ref" sheetId="27" state="hidden" r:id="rId27"/>
    <sheet name="Ref - ENI Max Pods" sheetId="28" state="hidden" r:id="rId28"/>
  </sheets>
  <definedNames>
    <definedName name="cur_ex">#REF!</definedName>
    <definedName name="curex">#REF!</definedName>
    <definedName name="ESHardwareDiscount" localSheetId="13">#REF!</definedName>
    <definedName name="ESHardwareDiscount">#REF!</definedName>
    <definedName name="ESSoftwareDiscount" localSheetId="13">#REF!</definedName>
    <definedName name="ESSoftwareDiscount">#REF!</definedName>
    <definedName name="OnPremDiscount" localSheetId="13">#REF!</definedName>
    <definedName name="OnPremDiscount">#REF!</definedName>
    <definedName name="sw_inflation">#REF!</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65" i="24" l="1"/>
  <c r="L64" i="24"/>
  <c r="L63" i="24"/>
  <c r="L62" i="24"/>
  <c r="L61" i="24"/>
  <c r="L60" i="24"/>
  <c r="B54" i="24"/>
  <c r="B53" i="24"/>
  <c r="B52" i="24"/>
  <c r="E43" i="24"/>
  <c r="E52" i="24" s="1"/>
  <c r="P42" i="24"/>
  <c r="O42" i="24"/>
  <c r="N42" i="24"/>
  <c r="M42" i="24"/>
  <c r="L42" i="24"/>
  <c r="Q41" i="24"/>
  <c r="P41" i="24"/>
  <c r="O41" i="24"/>
  <c r="N41" i="24"/>
  <c r="M41" i="24"/>
  <c r="L41" i="24"/>
  <c r="Q40" i="24"/>
  <c r="P40" i="24"/>
  <c r="O40" i="24"/>
  <c r="N40" i="24"/>
  <c r="M40" i="24"/>
  <c r="L40" i="24"/>
  <c r="Q39" i="24"/>
  <c r="P39" i="24"/>
  <c r="O39" i="24"/>
  <c r="N39" i="24"/>
  <c r="M39" i="24"/>
  <c r="L39" i="24"/>
  <c r="Q38" i="24"/>
  <c r="P38" i="24"/>
  <c r="O38" i="24"/>
  <c r="N38" i="24"/>
  <c r="M38" i="24"/>
  <c r="L38" i="24"/>
  <c r="Q36" i="24"/>
  <c r="P36" i="24"/>
  <c r="O36" i="24"/>
  <c r="N36" i="24"/>
  <c r="M36" i="24"/>
  <c r="L36" i="24"/>
  <c r="Q35" i="24"/>
  <c r="P35" i="24"/>
  <c r="O35" i="24"/>
  <c r="N35" i="24"/>
  <c r="M35" i="24"/>
  <c r="L35" i="24"/>
  <c r="Q34" i="24"/>
  <c r="P34" i="24"/>
  <c r="O34" i="24"/>
  <c r="N34" i="24"/>
  <c r="M34" i="24"/>
  <c r="L34" i="24"/>
  <c r="Q33" i="24"/>
  <c r="P33" i="24"/>
  <c r="O33" i="24"/>
  <c r="N33" i="24"/>
  <c r="M33" i="24"/>
  <c r="L33" i="24"/>
  <c r="Q32" i="24"/>
  <c r="P32" i="24"/>
  <c r="O32" i="24"/>
  <c r="N32" i="24"/>
  <c r="M32" i="24"/>
  <c r="L32" i="24"/>
  <c r="Q30" i="24"/>
  <c r="P30" i="24"/>
  <c r="O30" i="24"/>
  <c r="N30" i="24"/>
  <c r="M30" i="24"/>
  <c r="L30" i="24"/>
  <c r="Q28" i="24"/>
  <c r="P28" i="24"/>
  <c r="O28" i="24"/>
  <c r="N28" i="24"/>
  <c r="M28" i="24"/>
  <c r="L28" i="24"/>
  <c r="Q26" i="24"/>
  <c r="P26" i="24"/>
  <c r="O26" i="24"/>
  <c r="N26" i="24"/>
  <c r="M26" i="24"/>
  <c r="L26" i="24"/>
  <c r="Q25" i="24"/>
  <c r="P25" i="24"/>
  <c r="O25" i="24"/>
  <c r="N25" i="24"/>
  <c r="M25" i="24"/>
  <c r="L25" i="24"/>
  <c r="Q24" i="24"/>
  <c r="P24" i="24"/>
  <c r="O24" i="24"/>
  <c r="N24" i="24"/>
  <c r="M24" i="24"/>
  <c r="L24" i="24"/>
  <c r="Q23" i="24"/>
  <c r="P23" i="24"/>
  <c r="O23" i="24"/>
  <c r="N23" i="24"/>
  <c r="M23" i="24"/>
  <c r="L23" i="24"/>
  <c r="Q22" i="24"/>
  <c r="P22" i="24"/>
  <c r="O22" i="24"/>
  <c r="N22" i="24"/>
  <c r="M22" i="24"/>
  <c r="L22" i="24"/>
  <c r="Q21" i="24"/>
  <c r="P21" i="24"/>
  <c r="O21" i="24"/>
  <c r="N21" i="24"/>
  <c r="M21" i="24"/>
  <c r="L21" i="24"/>
  <c r="Q19" i="24"/>
  <c r="P19" i="24"/>
  <c r="O19" i="24"/>
  <c r="N19" i="24"/>
  <c r="M19" i="24"/>
  <c r="L19" i="24"/>
  <c r="Q18" i="24"/>
  <c r="O18" i="24"/>
  <c r="N18" i="24"/>
  <c r="M18" i="24"/>
  <c r="L18" i="24"/>
  <c r="J18" i="24"/>
  <c r="P18" i="24" s="1"/>
  <c r="Q17" i="24"/>
  <c r="O17" i="24"/>
  <c r="N17" i="24"/>
  <c r="M17" i="24"/>
  <c r="L17" i="24"/>
  <c r="J17" i="24"/>
  <c r="P17" i="24" s="1"/>
  <c r="Q16" i="24"/>
  <c r="Q43" i="24" s="1"/>
  <c r="Q44" i="24" s="1"/>
  <c r="O16" i="24"/>
  <c r="O43" i="24" s="1"/>
  <c r="O44" i="24" s="1"/>
  <c r="O45" i="24" s="1"/>
  <c r="G62" i="24" s="1"/>
  <c r="F62" i="24" s="1"/>
  <c r="N16" i="24"/>
  <c r="N43" i="24" s="1"/>
  <c r="N44" i="24" s="1"/>
  <c r="N45" i="24" s="1"/>
  <c r="G61" i="24" s="1"/>
  <c r="F61" i="24" s="1"/>
  <c r="F63" i="24" s="1"/>
  <c r="F52" i="24" s="1"/>
  <c r="M16" i="24"/>
  <c r="M43" i="24" s="1"/>
  <c r="M44" i="24" s="1"/>
  <c r="M45" i="24" s="1"/>
  <c r="C62" i="24" s="1"/>
  <c r="B62" i="24" s="1"/>
  <c r="L16" i="24"/>
  <c r="L43" i="24" s="1"/>
  <c r="L44" i="24" s="1"/>
  <c r="L45" i="24" s="1"/>
  <c r="C61" i="24" s="1"/>
  <c r="B61" i="24" s="1"/>
  <c r="B63" i="24" s="1"/>
  <c r="J16" i="24"/>
  <c r="P16" i="24" s="1"/>
  <c r="P43" i="24" s="1"/>
  <c r="P44" i="24" s="1"/>
  <c r="P45" i="24" s="1"/>
  <c r="L65" i="23"/>
  <c r="L64" i="23"/>
  <c r="L63" i="23"/>
  <c r="L62" i="23"/>
  <c r="L61" i="23"/>
  <c r="L60" i="23"/>
  <c r="B54" i="23"/>
  <c r="B53" i="23"/>
  <c r="B52" i="23"/>
  <c r="E43" i="23"/>
  <c r="E52" i="23" s="1"/>
  <c r="P42" i="23"/>
  <c r="O42" i="23"/>
  <c r="N42" i="23"/>
  <c r="M42" i="23"/>
  <c r="L42" i="23"/>
  <c r="Q41" i="23"/>
  <c r="P41" i="23"/>
  <c r="O41" i="23"/>
  <c r="N41" i="23"/>
  <c r="M41" i="23"/>
  <c r="L41" i="23"/>
  <c r="Q40" i="23"/>
  <c r="P40" i="23"/>
  <c r="O40" i="23"/>
  <c r="N40" i="23"/>
  <c r="M40" i="23"/>
  <c r="L40" i="23"/>
  <c r="Q39" i="23"/>
  <c r="P39" i="23"/>
  <c r="O39" i="23"/>
  <c r="N39" i="23"/>
  <c r="M39" i="23"/>
  <c r="L39" i="23"/>
  <c r="Q38" i="23"/>
  <c r="P38" i="23"/>
  <c r="O38" i="23"/>
  <c r="N38" i="23"/>
  <c r="M38" i="23"/>
  <c r="L38" i="23"/>
  <c r="Q36" i="23"/>
  <c r="P36" i="23"/>
  <c r="O36" i="23"/>
  <c r="N36" i="23"/>
  <c r="M36" i="23"/>
  <c r="L36" i="23"/>
  <c r="Q35" i="23"/>
  <c r="P35" i="23"/>
  <c r="O35" i="23"/>
  <c r="N35" i="23"/>
  <c r="M35" i="23"/>
  <c r="L35" i="23"/>
  <c r="Q34" i="23"/>
  <c r="P34" i="23"/>
  <c r="O34" i="23"/>
  <c r="N34" i="23"/>
  <c r="M34" i="23"/>
  <c r="L34" i="23"/>
  <c r="Q33" i="23"/>
  <c r="P33" i="23"/>
  <c r="O33" i="23"/>
  <c r="N33" i="23"/>
  <c r="M33" i="23"/>
  <c r="L33" i="23"/>
  <c r="Q32" i="23"/>
  <c r="P32" i="23"/>
  <c r="O32" i="23"/>
  <c r="N32" i="23"/>
  <c r="M32" i="23"/>
  <c r="L32" i="23"/>
  <c r="Q30" i="23"/>
  <c r="P30" i="23"/>
  <c r="O30" i="23"/>
  <c r="N30" i="23"/>
  <c r="M30" i="23"/>
  <c r="L30" i="23"/>
  <c r="Q28" i="23"/>
  <c r="P28" i="23"/>
  <c r="O28" i="23"/>
  <c r="N28" i="23"/>
  <c r="M28" i="23"/>
  <c r="L28" i="23"/>
  <c r="Q26" i="23"/>
  <c r="P26" i="23"/>
  <c r="O26" i="23"/>
  <c r="N26" i="23"/>
  <c r="M26" i="23"/>
  <c r="L26" i="23"/>
  <c r="Q25" i="23"/>
  <c r="P25" i="23"/>
  <c r="O25" i="23"/>
  <c r="N25" i="23"/>
  <c r="M25" i="23"/>
  <c r="L25" i="23"/>
  <c r="Q24" i="23"/>
  <c r="P24" i="23"/>
  <c r="O24" i="23"/>
  <c r="N24" i="23"/>
  <c r="M24" i="23"/>
  <c r="L24" i="23"/>
  <c r="Q23" i="23"/>
  <c r="P23" i="23"/>
  <c r="O23" i="23"/>
  <c r="N23" i="23"/>
  <c r="M23" i="23"/>
  <c r="L23" i="23"/>
  <c r="Q22" i="23"/>
  <c r="P22" i="23"/>
  <c r="O22" i="23"/>
  <c r="N22" i="23"/>
  <c r="M22" i="23"/>
  <c r="L22" i="23"/>
  <c r="Q21" i="23"/>
  <c r="P21" i="23"/>
  <c r="O21" i="23"/>
  <c r="N21" i="23"/>
  <c r="M21" i="23"/>
  <c r="L21" i="23"/>
  <c r="Q19" i="23"/>
  <c r="P19" i="23"/>
  <c r="O19" i="23"/>
  <c r="N19" i="23"/>
  <c r="M19" i="23"/>
  <c r="L19" i="23"/>
  <c r="Q18" i="23"/>
  <c r="O18" i="23"/>
  <c r="N18" i="23"/>
  <c r="M18" i="23"/>
  <c r="L18" i="23"/>
  <c r="J18" i="23"/>
  <c r="P18" i="23" s="1"/>
  <c r="Q17" i="23"/>
  <c r="O17" i="23"/>
  <c r="N17" i="23"/>
  <c r="M17" i="23"/>
  <c r="L17" i="23"/>
  <c r="J17" i="23"/>
  <c r="P17" i="23" s="1"/>
  <c r="Q16" i="23"/>
  <c r="Q43" i="23" s="1"/>
  <c r="Q44" i="23" s="1"/>
  <c r="O16" i="23"/>
  <c r="O43" i="23" s="1"/>
  <c r="O44" i="23" s="1"/>
  <c r="O45" i="23" s="1"/>
  <c r="G62" i="23" s="1"/>
  <c r="F62" i="23" s="1"/>
  <c r="N16" i="23"/>
  <c r="N43" i="23" s="1"/>
  <c r="N44" i="23" s="1"/>
  <c r="N45" i="23" s="1"/>
  <c r="G61" i="23" s="1"/>
  <c r="F61" i="23" s="1"/>
  <c r="F63" i="23" s="1"/>
  <c r="F52" i="23" s="1"/>
  <c r="M16" i="23"/>
  <c r="M43" i="23" s="1"/>
  <c r="M44" i="23" s="1"/>
  <c r="M45" i="23" s="1"/>
  <c r="C62" i="23" s="1"/>
  <c r="B62" i="23" s="1"/>
  <c r="L16" i="23"/>
  <c r="L43" i="23" s="1"/>
  <c r="L44" i="23" s="1"/>
  <c r="L45" i="23" s="1"/>
  <c r="C61" i="23" s="1"/>
  <c r="B61" i="23" s="1"/>
  <c r="B63" i="23" s="1"/>
  <c r="J16" i="23"/>
  <c r="P16" i="23" s="1"/>
  <c r="P43" i="23" s="1"/>
  <c r="P44" i="23" s="1"/>
  <c r="P45" i="23" s="1"/>
  <c r="L65" i="22"/>
  <c r="L64" i="22"/>
  <c r="L63" i="22"/>
  <c r="L62" i="22"/>
  <c r="L61" i="22"/>
  <c r="L60" i="22"/>
  <c r="B54" i="22"/>
  <c r="B53" i="22"/>
  <c r="B52" i="22"/>
  <c r="E43" i="22"/>
  <c r="E52" i="22" s="1"/>
  <c r="P42" i="22"/>
  <c r="O42" i="22"/>
  <c r="N42" i="22"/>
  <c r="M42" i="22"/>
  <c r="L42" i="22"/>
  <c r="Q41" i="22"/>
  <c r="P41" i="22"/>
  <c r="O41" i="22"/>
  <c r="N41" i="22"/>
  <c r="M41" i="22"/>
  <c r="L41" i="22"/>
  <c r="Q40" i="22"/>
  <c r="P40" i="22"/>
  <c r="O40" i="22"/>
  <c r="N40" i="22"/>
  <c r="M40" i="22"/>
  <c r="L40" i="22"/>
  <c r="Q39" i="22"/>
  <c r="P39" i="22"/>
  <c r="O39" i="22"/>
  <c r="N39" i="22"/>
  <c r="M39" i="22"/>
  <c r="L39" i="22"/>
  <c r="Q38" i="22"/>
  <c r="P38" i="22"/>
  <c r="O38" i="22"/>
  <c r="N38" i="22"/>
  <c r="M38" i="22"/>
  <c r="L38" i="22"/>
  <c r="Q36" i="22"/>
  <c r="P36" i="22"/>
  <c r="O36" i="22"/>
  <c r="N36" i="22"/>
  <c r="M36" i="22"/>
  <c r="L36" i="22"/>
  <c r="Q35" i="22"/>
  <c r="P35" i="22"/>
  <c r="O35" i="22"/>
  <c r="N35" i="22"/>
  <c r="M35" i="22"/>
  <c r="L35" i="22"/>
  <c r="Q34" i="22"/>
  <c r="P34" i="22"/>
  <c r="O34" i="22"/>
  <c r="N34" i="22"/>
  <c r="M34" i="22"/>
  <c r="L34" i="22"/>
  <c r="Q33" i="22"/>
  <c r="P33" i="22"/>
  <c r="O33" i="22"/>
  <c r="N33" i="22"/>
  <c r="M33" i="22"/>
  <c r="L33" i="22"/>
  <c r="Q32" i="22"/>
  <c r="P32" i="22"/>
  <c r="O32" i="22"/>
  <c r="N32" i="22"/>
  <c r="M32" i="22"/>
  <c r="L32" i="22"/>
  <c r="Q30" i="22"/>
  <c r="P30" i="22"/>
  <c r="O30" i="22"/>
  <c r="N30" i="22"/>
  <c r="M30" i="22"/>
  <c r="L30" i="22"/>
  <c r="Q28" i="22"/>
  <c r="P28" i="22"/>
  <c r="O28" i="22"/>
  <c r="N28" i="22"/>
  <c r="M28" i="22"/>
  <c r="L28" i="22"/>
  <c r="Q26" i="22"/>
  <c r="P26" i="22"/>
  <c r="O26" i="22"/>
  <c r="N26" i="22"/>
  <c r="M26" i="22"/>
  <c r="L26" i="22"/>
  <c r="Q25" i="22"/>
  <c r="P25" i="22"/>
  <c r="O25" i="22"/>
  <c r="N25" i="22"/>
  <c r="M25" i="22"/>
  <c r="L25" i="22"/>
  <c r="Q24" i="22"/>
  <c r="P24" i="22"/>
  <c r="O24" i="22"/>
  <c r="N24" i="22"/>
  <c r="M24" i="22"/>
  <c r="L24" i="22"/>
  <c r="Q23" i="22"/>
  <c r="P23" i="22"/>
  <c r="O23" i="22"/>
  <c r="N23" i="22"/>
  <c r="M23" i="22"/>
  <c r="L23" i="22"/>
  <c r="Q22" i="22"/>
  <c r="P22" i="22"/>
  <c r="O22" i="22"/>
  <c r="N22" i="22"/>
  <c r="M22" i="22"/>
  <c r="L22" i="22"/>
  <c r="Q21" i="22"/>
  <c r="P21" i="22"/>
  <c r="O21" i="22"/>
  <c r="N21" i="22"/>
  <c r="M21" i="22"/>
  <c r="L21" i="22"/>
  <c r="Q19" i="22"/>
  <c r="P19" i="22"/>
  <c r="O19" i="22"/>
  <c r="N19" i="22"/>
  <c r="M19" i="22"/>
  <c r="L19" i="22"/>
  <c r="Q18" i="22"/>
  <c r="O18" i="22"/>
  <c r="N18" i="22"/>
  <c r="M18" i="22"/>
  <c r="L18" i="22"/>
  <c r="J18" i="22"/>
  <c r="P18" i="22" s="1"/>
  <c r="Q17" i="22"/>
  <c r="O17" i="22"/>
  <c r="N17" i="22"/>
  <c r="M17" i="22"/>
  <c r="L17" i="22"/>
  <c r="J17" i="22"/>
  <c r="P17" i="22" s="1"/>
  <c r="Q16" i="22"/>
  <c r="Q43" i="22" s="1"/>
  <c r="Q44" i="22" s="1"/>
  <c r="O16" i="22"/>
  <c r="O43" i="22" s="1"/>
  <c r="O44" i="22" s="1"/>
  <c r="O45" i="22" s="1"/>
  <c r="G62" i="22" s="1"/>
  <c r="F62" i="22" s="1"/>
  <c r="N16" i="22"/>
  <c r="N43" i="22" s="1"/>
  <c r="N44" i="22" s="1"/>
  <c r="N45" i="22" s="1"/>
  <c r="G61" i="22" s="1"/>
  <c r="F61" i="22" s="1"/>
  <c r="F63" i="22" s="1"/>
  <c r="F52" i="22" s="1"/>
  <c r="M16" i="22"/>
  <c r="M43" i="22" s="1"/>
  <c r="M44" i="22" s="1"/>
  <c r="M45" i="22" s="1"/>
  <c r="C62" i="22" s="1"/>
  <c r="B62" i="22" s="1"/>
  <c r="L16" i="22"/>
  <c r="L43" i="22" s="1"/>
  <c r="L44" i="22" s="1"/>
  <c r="L45" i="22" s="1"/>
  <c r="C61" i="22" s="1"/>
  <c r="B61" i="22" s="1"/>
  <c r="B63" i="22" s="1"/>
  <c r="J16" i="22"/>
  <c r="P16" i="22" s="1"/>
  <c r="P43" i="22" s="1"/>
  <c r="P44" i="22" s="1"/>
  <c r="P45" i="22" s="1"/>
  <c r="L65" i="21"/>
  <c r="L64" i="21"/>
  <c r="L63" i="21"/>
  <c r="L62" i="21"/>
  <c r="L61" i="21"/>
  <c r="L60" i="21"/>
  <c r="B54" i="21"/>
  <c r="B53" i="21"/>
  <c r="B52" i="21"/>
  <c r="E43" i="21"/>
  <c r="E52" i="21" s="1"/>
  <c r="P42" i="21"/>
  <c r="O42" i="21"/>
  <c r="N42" i="21"/>
  <c r="M42" i="21"/>
  <c r="L42" i="21"/>
  <c r="Q41" i="21"/>
  <c r="P41" i="21"/>
  <c r="O41" i="21"/>
  <c r="N41" i="21"/>
  <c r="M41" i="21"/>
  <c r="L41" i="21"/>
  <c r="Q40" i="21"/>
  <c r="P40" i="21"/>
  <c r="O40" i="21"/>
  <c r="N40" i="21"/>
  <c r="M40" i="21"/>
  <c r="L40" i="21"/>
  <c r="Q39" i="21"/>
  <c r="P39" i="21"/>
  <c r="O39" i="21"/>
  <c r="N39" i="21"/>
  <c r="M39" i="21"/>
  <c r="L39" i="21"/>
  <c r="Q38" i="21"/>
  <c r="P38" i="21"/>
  <c r="O38" i="21"/>
  <c r="N38" i="21"/>
  <c r="M38" i="21"/>
  <c r="L38" i="21"/>
  <c r="Q36" i="21"/>
  <c r="P36" i="21"/>
  <c r="O36" i="21"/>
  <c r="N36" i="21"/>
  <c r="M36" i="21"/>
  <c r="L36" i="21"/>
  <c r="Q35" i="21"/>
  <c r="P35" i="21"/>
  <c r="O35" i="21"/>
  <c r="N35" i="21"/>
  <c r="M35" i="21"/>
  <c r="L35" i="21"/>
  <c r="Q34" i="21"/>
  <c r="P34" i="21"/>
  <c r="O34" i="21"/>
  <c r="N34" i="21"/>
  <c r="M34" i="21"/>
  <c r="L34" i="21"/>
  <c r="Q33" i="21"/>
  <c r="P33" i="21"/>
  <c r="O33" i="21"/>
  <c r="N33" i="21"/>
  <c r="M33" i="21"/>
  <c r="L33" i="21"/>
  <c r="Q32" i="21"/>
  <c r="P32" i="21"/>
  <c r="O32" i="21"/>
  <c r="N32" i="21"/>
  <c r="M32" i="21"/>
  <c r="L32" i="21"/>
  <c r="Q30" i="21"/>
  <c r="P30" i="21"/>
  <c r="O30" i="21"/>
  <c r="N30" i="21"/>
  <c r="M30" i="21"/>
  <c r="L30" i="21"/>
  <c r="Q28" i="21"/>
  <c r="P28" i="21"/>
  <c r="O28" i="21"/>
  <c r="N28" i="21"/>
  <c r="M28" i="21"/>
  <c r="L28" i="21"/>
  <c r="Q26" i="21"/>
  <c r="P26" i="21"/>
  <c r="O26" i="21"/>
  <c r="N26" i="21"/>
  <c r="M26" i="21"/>
  <c r="L26" i="21"/>
  <c r="Q25" i="21"/>
  <c r="P25" i="21"/>
  <c r="O25" i="21"/>
  <c r="N25" i="21"/>
  <c r="M25" i="21"/>
  <c r="L25" i="21"/>
  <c r="Q24" i="21"/>
  <c r="P24" i="21"/>
  <c r="O24" i="21"/>
  <c r="N24" i="21"/>
  <c r="M24" i="21"/>
  <c r="L24" i="21"/>
  <c r="Q23" i="21"/>
  <c r="P23" i="21"/>
  <c r="O23" i="21"/>
  <c r="N23" i="21"/>
  <c r="M23" i="21"/>
  <c r="L23" i="21"/>
  <c r="Q22" i="21"/>
  <c r="P22" i="21"/>
  <c r="O22" i="21"/>
  <c r="N22" i="21"/>
  <c r="M22" i="21"/>
  <c r="L22" i="21"/>
  <c r="Q21" i="21"/>
  <c r="P21" i="21"/>
  <c r="O21" i="21"/>
  <c r="N21" i="21"/>
  <c r="M21" i="21"/>
  <c r="L21" i="21"/>
  <c r="Q19" i="21"/>
  <c r="P19" i="21"/>
  <c r="O19" i="21"/>
  <c r="N19" i="21"/>
  <c r="M19" i="21"/>
  <c r="L19" i="21"/>
  <c r="Q18" i="21"/>
  <c r="O18" i="21"/>
  <c r="N18" i="21"/>
  <c r="M18" i="21"/>
  <c r="L18" i="21"/>
  <c r="J18" i="21"/>
  <c r="P18" i="21" s="1"/>
  <c r="Q17" i="21"/>
  <c r="O17" i="21"/>
  <c r="N17" i="21"/>
  <c r="M17" i="21"/>
  <c r="L17" i="21"/>
  <c r="J17" i="21"/>
  <c r="P17" i="21" s="1"/>
  <c r="Q16" i="21"/>
  <c r="Q43" i="21" s="1"/>
  <c r="Q44" i="21" s="1"/>
  <c r="O16" i="21"/>
  <c r="O43" i="21" s="1"/>
  <c r="O44" i="21" s="1"/>
  <c r="O45" i="21" s="1"/>
  <c r="G62" i="21" s="1"/>
  <c r="F62" i="21" s="1"/>
  <c r="N16" i="21"/>
  <c r="N43" i="21" s="1"/>
  <c r="N44" i="21" s="1"/>
  <c r="N45" i="21" s="1"/>
  <c r="G61" i="21" s="1"/>
  <c r="F61" i="21" s="1"/>
  <c r="F63" i="21" s="1"/>
  <c r="F52" i="21" s="1"/>
  <c r="M16" i="21"/>
  <c r="M43" i="21" s="1"/>
  <c r="M44" i="21" s="1"/>
  <c r="M45" i="21" s="1"/>
  <c r="C62" i="21" s="1"/>
  <c r="B62" i="21" s="1"/>
  <c r="L16" i="21"/>
  <c r="L43" i="21" s="1"/>
  <c r="L44" i="21" s="1"/>
  <c r="L45" i="21" s="1"/>
  <c r="C61" i="21" s="1"/>
  <c r="B61" i="21" s="1"/>
  <c r="B63" i="21" s="1"/>
  <c r="J16" i="21"/>
  <c r="P16" i="21" s="1"/>
  <c r="P43" i="21" s="1"/>
  <c r="P44" i="21" s="1"/>
  <c r="P45" i="21" s="1"/>
  <c r="D62" i="20"/>
  <c r="D61" i="20"/>
  <c r="D60" i="20"/>
  <c r="D59" i="20"/>
  <c r="D58" i="20"/>
  <c r="D57" i="20"/>
  <c r="E32" i="20"/>
  <c r="E41" i="20" s="1"/>
  <c r="P31" i="20"/>
  <c r="O31" i="20"/>
  <c r="N31" i="20"/>
  <c r="M31" i="20"/>
  <c r="L31" i="20"/>
  <c r="Q30" i="20"/>
  <c r="P30" i="20"/>
  <c r="O30" i="20"/>
  <c r="N30" i="20"/>
  <c r="M30" i="20"/>
  <c r="L30" i="20"/>
  <c r="Q29" i="20"/>
  <c r="P29" i="20"/>
  <c r="O29" i="20"/>
  <c r="N29" i="20"/>
  <c r="M29" i="20"/>
  <c r="L29" i="20"/>
  <c r="Q28" i="20"/>
  <c r="P28" i="20"/>
  <c r="O28" i="20"/>
  <c r="N28" i="20"/>
  <c r="M28" i="20"/>
  <c r="L28" i="20"/>
  <c r="Q27" i="20"/>
  <c r="P27" i="20"/>
  <c r="O27" i="20"/>
  <c r="N27" i="20"/>
  <c r="M27" i="20"/>
  <c r="L27" i="20"/>
  <c r="Q25" i="20"/>
  <c r="P25" i="20"/>
  <c r="O25" i="20"/>
  <c r="N25" i="20"/>
  <c r="M25" i="20"/>
  <c r="L25" i="20"/>
  <c r="Q24" i="20"/>
  <c r="P24" i="20"/>
  <c r="O24" i="20"/>
  <c r="N24" i="20"/>
  <c r="M24" i="20"/>
  <c r="L24" i="20"/>
  <c r="Q23" i="20"/>
  <c r="P23" i="20"/>
  <c r="O23" i="20"/>
  <c r="N23" i="20"/>
  <c r="M23" i="20"/>
  <c r="L23" i="20"/>
  <c r="Q22" i="20"/>
  <c r="P22" i="20"/>
  <c r="O22" i="20"/>
  <c r="N22" i="20"/>
  <c r="M22" i="20"/>
  <c r="L22" i="20"/>
  <c r="Q21" i="20"/>
  <c r="P21" i="20"/>
  <c r="O21" i="20"/>
  <c r="N21" i="20"/>
  <c r="M21" i="20"/>
  <c r="L21" i="20"/>
  <c r="Q19" i="20"/>
  <c r="P19" i="20"/>
  <c r="O19" i="20"/>
  <c r="N19" i="20"/>
  <c r="M19" i="20"/>
  <c r="L19" i="20"/>
  <c r="Q17" i="20"/>
  <c r="P17" i="20"/>
  <c r="O17" i="20"/>
  <c r="N17" i="20"/>
  <c r="M17" i="20"/>
  <c r="L17" i="20"/>
  <c r="Q15" i="20"/>
  <c r="P15" i="20"/>
  <c r="O15" i="20"/>
  <c r="N15" i="20"/>
  <c r="M15" i="20"/>
  <c r="L15" i="20"/>
  <c r="Q14" i="20"/>
  <c r="P14" i="20"/>
  <c r="O14" i="20"/>
  <c r="N14" i="20"/>
  <c r="M14" i="20"/>
  <c r="L14" i="20"/>
  <c r="Q13" i="20"/>
  <c r="P13" i="20"/>
  <c r="O13" i="20"/>
  <c r="N13" i="20"/>
  <c r="M13" i="20"/>
  <c r="L13" i="20"/>
  <c r="Q12" i="20"/>
  <c r="P12" i="20"/>
  <c r="O12" i="20"/>
  <c r="N12" i="20"/>
  <c r="M12" i="20"/>
  <c r="L12" i="20"/>
  <c r="Q11" i="20"/>
  <c r="P11" i="20"/>
  <c r="O11" i="20"/>
  <c r="N11" i="20"/>
  <c r="M11" i="20"/>
  <c r="L11" i="20"/>
  <c r="Q10" i="20"/>
  <c r="P10" i="20"/>
  <c r="O10" i="20"/>
  <c r="N10" i="20"/>
  <c r="M10" i="20"/>
  <c r="L10" i="20"/>
  <c r="Q8" i="20"/>
  <c r="P8" i="20"/>
  <c r="O8" i="20"/>
  <c r="N8" i="20"/>
  <c r="M8" i="20"/>
  <c r="L8" i="20"/>
  <c r="Q7" i="20"/>
  <c r="O7" i="20"/>
  <c r="N7" i="20"/>
  <c r="M7" i="20"/>
  <c r="L7" i="20"/>
  <c r="J7" i="20"/>
  <c r="P7" i="20" s="1"/>
  <c r="Q6" i="20"/>
  <c r="O6" i="20"/>
  <c r="N6" i="20"/>
  <c r="M6" i="20"/>
  <c r="L6" i="20"/>
  <c r="J6" i="20"/>
  <c r="P6" i="20" s="1"/>
  <c r="Q5" i="20"/>
  <c r="Q32" i="20" s="1"/>
  <c r="Q33" i="20" s="1"/>
  <c r="O5" i="20"/>
  <c r="O32" i="20" s="1"/>
  <c r="O33" i="20" s="1"/>
  <c r="O34" i="20" s="1"/>
  <c r="G51" i="20" s="1"/>
  <c r="F51" i="20" s="1"/>
  <c r="N5" i="20"/>
  <c r="N32" i="20" s="1"/>
  <c r="N33" i="20" s="1"/>
  <c r="N34" i="20" s="1"/>
  <c r="G50" i="20" s="1"/>
  <c r="F50" i="20" s="1"/>
  <c r="F52" i="20" s="1"/>
  <c r="F41" i="20" s="1"/>
  <c r="M5" i="20"/>
  <c r="M32" i="20" s="1"/>
  <c r="M33" i="20" s="1"/>
  <c r="M34" i="20" s="1"/>
  <c r="C51" i="20" s="1"/>
  <c r="B51" i="20" s="1"/>
  <c r="L5" i="20"/>
  <c r="L32" i="20" s="1"/>
  <c r="L33" i="20" s="1"/>
  <c r="L34" i="20" s="1"/>
  <c r="C50" i="20" s="1"/>
  <c r="B50" i="20" s="1"/>
  <c r="B52" i="20" s="1"/>
  <c r="J5" i="20"/>
  <c r="P5" i="20" s="1"/>
  <c r="P32" i="20" s="1"/>
  <c r="P33" i="20" s="1"/>
  <c r="P34" i="20" s="1"/>
  <c r="D55" i="19"/>
  <c r="D54" i="19"/>
  <c r="D53" i="19"/>
  <c r="D52" i="19"/>
  <c r="D51" i="19"/>
  <c r="D50" i="19"/>
  <c r="E25" i="19"/>
  <c r="E34" i="19" s="1"/>
  <c r="P24" i="19"/>
  <c r="O24" i="19"/>
  <c r="N24" i="19"/>
  <c r="M24" i="19"/>
  <c r="L24" i="19"/>
  <c r="Q23" i="19"/>
  <c r="P23" i="19"/>
  <c r="O23" i="19"/>
  <c r="N23" i="19"/>
  <c r="M23" i="19"/>
  <c r="L23" i="19"/>
  <c r="Q22" i="19"/>
  <c r="P22" i="19"/>
  <c r="O22" i="19"/>
  <c r="N22" i="19"/>
  <c r="M22" i="19"/>
  <c r="L22" i="19"/>
  <c r="Q21" i="19"/>
  <c r="P21" i="19"/>
  <c r="O21" i="19"/>
  <c r="N21" i="19"/>
  <c r="M21" i="19"/>
  <c r="L21" i="19"/>
  <c r="Q20" i="19"/>
  <c r="P20" i="19"/>
  <c r="O20" i="19"/>
  <c r="N20" i="19"/>
  <c r="M20" i="19"/>
  <c r="L20" i="19"/>
  <c r="Q18" i="19"/>
  <c r="P18" i="19"/>
  <c r="O18" i="19"/>
  <c r="N18" i="19"/>
  <c r="M18" i="19"/>
  <c r="L18" i="19"/>
  <c r="Q17" i="19"/>
  <c r="P17" i="19"/>
  <c r="O17" i="19"/>
  <c r="N17" i="19"/>
  <c r="M17" i="19"/>
  <c r="L17" i="19"/>
  <c r="Q16" i="19"/>
  <c r="P16" i="19"/>
  <c r="O16" i="19"/>
  <c r="N16" i="19"/>
  <c r="M16" i="19"/>
  <c r="L16" i="19"/>
  <c r="Q15" i="19"/>
  <c r="P15" i="19"/>
  <c r="O15" i="19"/>
  <c r="N15" i="19"/>
  <c r="M15" i="19"/>
  <c r="L15" i="19"/>
  <c r="Q14" i="19"/>
  <c r="P14" i="19"/>
  <c r="O14" i="19"/>
  <c r="N14" i="19"/>
  <c r="M14" i="19"/>
  <c r="L14" i="19"/>
  <c r="Q12" i="19"/>
  <c r="P12" i="19"/>
  <c r="O12" i="19"/>
  <c r="N12" i="19"/>
  <c r="M12" i="19"/>
  <c r="L12" i="19"/>
  <c r="Q10" i="19"/>
  <c r="P10" i="19"/>
  <c r="O10" i="19"/>
  <c r="N10" i="19"/>
  <c r="M10" i="19"/>
  <c r="L10" i="19"/>
  <c r="Q9" i="19"/>
  <c r="P9" i="19"/>
  <c r="O9" i="19"/>
  <c r="N9" i="19"/>
  <c r="M9" i="19"/>
  <c r="L9" i="19"/>
  <c r="Q8" i="19"/>
  <c r="P8" i="19"/>
  <c r="O8" i="19"/>
  <c r="N8" i="19"/>
  <c r="M8" i="19"/>
  <c r="L8" i="19"/>
  <c r="Q7" i="19"/>
  <c r="P7" i="19"/>
  <c r="O7" i="19"/>
  <c r="N7" i="19"/>
  <c r="M7" i="19"/>
  <c r="L7" i="19"/>
  <c r="Q6" i="19"/>
  <c r="P6" i="19"/>
  <c r="O6" i="19"/>
  <c r="N6" i="19"/>
  <c r="M6" i="19"/>
  <c r="L6" i="19"/>
  <c r="Q5" i="19"/>
  <c r="Q25" i="19" s="1"/>
  <c r="Q26" i="19" s="1"/>
  <c r="P5" i="19"/>
  <c r="P25" i="19" s="1"/>
  <c r="P26" i="19" s="1"/>
  <c r="P27" i="19" s="1"/>
  <c r="O5" i="19"/>
  <c r="O25" i="19" s="1"/>
  <c r="O26" i="19" s="1"/>
  <c r="O27" i="19" s="1"/>
  <c r="G44" i="19" s="1"/>
  <c r="F44" i="19" s="1"/>
  <c r="N5" i="19"/>
  <c r="N25" i="19" s="1"/>
  <c r="N26" i="19" s="1"/>
  <c r="N27" i="19" s="1"/>
  <c r="G43" i="19" s="1"/>
  <c r="F43" i="19" s="1"/>
  <c r="F45" i="19" s="1"/>
  <c r="F34" i="19" s="1"/>
  <c r="M5" i="19"/>
  <c r="M25" i="19" s="1"/>
  <c r="M26" i="19" s="1"/>
  <c r="M27" i="19" s="1"/>
  <c r="C44" i="19" s="1"/>
  <c r="B44" i="19" s="1"/>
  <c r="L5" i="19"/>
  <c r="L25" i="19" s="1"/>
  <c r="L26" i="19" s="1"/>
  <c r="L27" i="19" s="1"/>
  <c r="C43" i="19" s="1"/>
  <c r="B43" i="19" s="1"/>
  <c r="B45" i="19" s="1"/>
  <c r="D55" i="18"/>
  <c r="D54" i="18"/>
  <c r="D53" i="18"/>
  <c r="D52" i="18"/>
  <c r="D51" i="18"/>
  <c r="D50" i="18"/>
  <c r="E25" i="18"/>
  <c r="E34" i="18" s="1"/>
  <c r="P24" i="18"/>
  <c r="O24" i="18"/>
  <c r="N24" i="18"/>
  <c r="M24" i="18"/>
  <c r="L24" i="18"/>
  <c r="Q23" i="18"/>
  <c r="P23" i="18"/>
  <c r="O23" i="18"/>
  <c r="N23" i="18"/>
  <c r="M23" i="18"/>
  <c r="L23" i="18"/>
  <c r="Q22" i="18"/>
  <c r="P22" i="18"/>
  <c r="O22" i="18"/>
  <c r="N22" i="18"/>
  <c r="M22" i="18"/>
  <c r="L22" i="18"/>
  <c r="Q21" i="18"/>
  <c r="P21" i="18"/>
  <c r="O21" i="18"/>
  <c r="N21" i="18"/>
  <c r="M21" i="18"/>
  <c r="L21" i="18"/>
  <c r="Q20" i="18"/>
  <c r="P20" i="18"/>
  <c r="O20" i="18"/>
  <c r="N20" i="18"/>
  <c r="M20" i="18"/>
  <c r="L20" i="18"/>
  <c r="Q18" i="18"/>
  <c r="P18" i="18"/>
  <c r="O18" i="18"/>
  <c r="N18" i="18"/>
  <c r="M18" i="18"/>
  <c r="L18" i="18"/>
  <c r="Q17" i="18"/>
  <c r="P17" i="18"/>
  <c r="O17" i="18"/>
  <c r="N17" i="18"/>
  <c r="M17" i="18"/>
  <c r="L17" i="18"/>
  <c r="Q16" i="18"/>
  <c r="P16" i="18"/>
  <c r="O16" i="18"/>
  <c r="N16" i="18"/>
  <c r="M16" i="18"/>
  <c r="L16" i="18"/>
  <c r="Q15" i="18"/>
  <c r="P15" i="18"/>
  <c r="O15" i="18"/>
  <c r="N15" i="18"/>
  <c r="M15" i="18"/>
  <c r="L15" i="18"/>
  <c r="Q14" i="18"/>
  <c r="P14" i="18"/>
  <c r="O14" i="18"/>
  <c r="N14" i="18"/>
  <c r="M14" i="18"/>
  <c r="L14" i="18"/>
  <c r="Q12" i="18"/>
  <c r="P12" i="18"/>
  <c r="O12" i="18"/>
  <c r="N12" i="18"/>
  <c r="M12" i="18"/>
  <c r="L12" i="18"/>
  <c r="Q10" i="18"/>
  <c r="P10" i="18"/>
  <c r="O10" i="18"/>
  <c r="N10" i="18"/>
  <c r="M10" i="18"/>
  <c r="L10" i="18"/>
  <c r="Q9" i="18"/>
  <c r="P9" i="18"/>
  <c r="O9" i="18"/>
  <c r="N9" i="18"/>
  <c r="M9" i="18"/>
  <c r="L9" i="18"/>
  <c r="Q8" i="18"/>
  <c r="P8" i="18"/>
  <c r="O8" i="18"/>
  <c r="N8" i="18"/>
  <c r="M8" i="18"/>
  <c r="L8" i="18"/>
  <c r="Q7" i="18"/>
  <c r="P7" i="18"/>
  <c r="O7" i="18"/>
  <c r="N7" i="18"/>
  <c r="M7" i="18"/>
  <c r="L7" i="18"/>
  <c r="Q6" i="18"/>
  <c r="P6" i="18"/>
  <c r="O6" i="18"/>
  <c r="N6" i="18"/>
  <c r="M6" i="18"/>
  <c r="L6" i="18"/>
  <c r="Q5" i="18"/>
  <c r="Q25" i="18" s="1"/>
  <c r="Q26" i="18" s="1"/>
  <c r="P5" i="18"/>
  <c r="P25" i="18" s="1"/>
  <c r="P26" i="18" s="1"/>
  <c r="P27" i="18" s="1"/>
  <c r="O5" i="18"/>
  <c r="O25" i="18" s="1"/>
  <c r="O26" i="18" s="1"/>
  <c r="O27" i="18" s="1"/>
  <c r="G44" i="18" s="1"/>
  <c r="F44" i="18" s="1"/>
  <c r="N5" i="18"/>
  <c r="N25" i="18" s="1"/>
  <c r="N26" i="18" s="1"/>
  <c r="N27" i="18" s="1"/>
  <c r="G43" i="18" s="1"/>
  <c r="F43" i="18" s="1"/>
  <c r="F45" i="18" s="1"/>
  <c r="F34" i="18" s="1"/>
  <c r="M5" i="18"/>
  <c r="M25" i="18" s="1"/>
  <c r="M26" i="18" s="1"/>
  <c r="M27" i="18" s="1"/>
  <c r="C44" i="18" s="1"/>
  <c r="B44" i="18" s="1"/>
  <c r="L5" i="18"/>
  <c r="L25" i="18" s="1"/>
  <c r="L26" i="18" s="1"/>
  <c r="L27" i="18" s="1"/>
  <c r="C43" i="18" s="1"/>
  <c r="B43" i="18" s="1"/>
  <c r="B45" i="18" s="1"/>
  <c r="C24" i="17"/>
  <c r="B13" i="17"/>
  <c r="L132" i="16"/>
  <c r="I131" i="16"/>
  <c r="H131" i="16"/>
  <c r="I130" i="16"/>
  <c r="H130" i="16"/>
  <c r="H129" i="16"/>
  <c r="N128" i="16"/>
  <c r="M128" i="16"/>
  <c r="I128" i="16"/>
  <c r="H128" i="16"/>
  <c r="B128" i="16"/>
  <c r="I127" i="16"/>
  <c r="H127" i="16"/>
  <c r="I126" i="16"/>
  <c r="H126" i="16"/>
  <c r="H125" i="16"/>
  <c r="N124" i="16"/>
  <c r="M124" i="16"/>
  <c r="I124" i="16"/>
  <c r="H124" i="16"/>
  <c r="B124" i="16"/>
  <c r="I123" i="16"/>
  <c r="H123" i="16"/>
  <c r="I122" i="16"/>
  <c r="H122" i="16"/>
  <c r="H121" i="16"/>
  <c r="N120" i="16"/>
  <c r="M120" i="16"/>
  <c r="I120" i="16"/>
  <c r="H120" i="16"/>
  <c r="B120" i="16"/>
  <c r="I119" i="16"/>
  <c r="H119" i="16"/>
  <c r="I118" i="16"/>
  <c r="H118" i="16"/>
  <c r="H117" i="16"/>
  <c r="N116" i="16"/>
  <c r="M116" i="16"/>
  <c r="I116" i="16"/>
  <c r="H116" i="16"/>
  <c r="B116" i="16"/>
  <c r="I115" i="16"/>
  <c r="H115" i="16"/>
  <c r="I114" i="16"/>
  <c r="H114" i="16"/>
  <c r="H113" i="16"/>
  <c r="N112" i="16"/>
  <c r="M112" i="16"/>
  <c r="I112" i="16"/>
  <c r="H112" i="16"/>
  <c r="B112" i="16"/>
  <c r="I111" i="16"/>
  <c r="H111" i="16"/>
  <c r="I110" i="16"/>
  <c r="H110" i="16"/>
  <c r="H109" i="16"/>
  <c r="N108" i="16"/>
  <c r="M108" i="16"/>
  <c r="I108" i="16"/>
  <c r="H108" i="16"/>
  <c r="B108" i="16"/>
  <c r="L106" i="16"/>
  <c r="I105" i="16"/>
  <c r="H105" i="16"/>
  <c r="I104" i="16"/>
  <c r="H104" i="16"/>
  <c r="H103" i="16"/>
  <c r="N102" i="16"/>
  <c r="M102" i="16"/>
  <c r="I102" i="16"/>
  <c r="H102" i="16"/>
  <c r="B102" i="16"/>
  <c r="I101" i="16"/>
  <c r="H101" i="16"/>
  <c r="I100" i="16"/>
  <c r="H100" i="16"/>
  <c r="H99" i="16"/>
  <c r="N98" i="16"/>
  <c r="M98" i="16"/>
  <c r="I98" i="16"/>
  <c r="H98" i="16"/>
  <c r="B98" i="16"/>
  <c r="I97" i="16"/>
  <c r="H97" i="16"/>
  <c r="I96" i="16"/>
  <c r="H96" i="16"/>
  <c r="H95" i="16"/>
  <c r="N94" i="16"/>
  <c r="M94" i="16"/>
  <c r="I94" i="16"/>
  <c r="H94" i="16"/>
  <c r="B94" i="16"/>
  <c r="I93" i="16"/>
  <c r="H93" i="16"/>
  <c r="I92" i="16"/>
  <c r="H92" i="16"/>
  <c r="H91" i="16"/>
  <c r="N90" i="16"/>
  <c r="M90" i="16"/>
  <c r="I90" i="16"/>
  <c r="H90" i="16"/>
  <c r="B90" i="16"/>
  <c r="I89" i="16"/>
  <c r="H89" i="16"/>
  <c r="I88" i="16"/>
  <c r="H88" i="16"/>
  <c r="H87" i="16"/>
  <c r="N86" i="16"/>
  <c r="M86" i="16"/>
  <c r="I86" i="16"/>
  <c r="H86" i="16"/>
  <c r="B86" i="16"/>
  <c r="I85" i="16"/>
  <c r="H85" i="16"/>
  <c r="I84" i="16"/>
  <c r="H84" i="16"/>
  <c r="H83" i="16"/>
  <c r="N82" i="16"/>
  <c r="M82" i="16"/>
  <c r="I82" i="16"/>
  <c r="H82" i="16"/>
  <c r="B82" i="16"/>
  <c r="L80" i="16"/>
  <c r="I79" i="16"/>
  <c r="H79" i="16"/>
  <c r="I78" i="16"/>
  <c r="H78" i="16"/>
  <c r="H77" i="16"/>
  <c r="N76" i="16"/>
  <c r="M76" i="16"/>
  <c r="I76" i="16"/>
  <c r="H76" i="16"/>
  <c r="B76" i="16"/>
  <c r="I75" i="16"/>
  <c r="H75" i="16"/>
  <c r="I74" i="16"/>
  <c r="H74" i="16"/>
  <c r="H73" i="16"/>
  <c r="N72" i="16"/>
  <c r="M72" i="16"/>
  <c r="I72" i="16"/>
  <c r="H72" i="16"/>
  <c r="B72" i="16"/>
  <c r="I71" i="16"/>
  <c r="H71" i="16"/>
  <c r="I70" i="16"/>
  <c r="H70" i="16"/>
  <c r="H69" i="16"/>
  <c r="N68" i="16"/>
  <c r="M68" i="16"/>
  <c r="I68" i="16"/>
  <c r="H68" i="16"/>
  <c r="B68" i="16"/>
  <c r="I67" i="16"/>
  <c r="H67" i="16"/>
  <c r="I66" i="16"/>
  <c r="H66" i="16"/>
  <c r="H65" i="16"/>
  <c r="N64" i="16"/>
  <c r="M64" i="16"/>
  <c r="I64" i="16"/>
  <c r="H64" i="16"/>
  <c r="B64" i="16"/>
  <c r="I63" i="16"/>
  <c r="H63" i="16"/>
  <c r="I62" i="16"/>
  <c r="H62" i="16"/>
  <c r="H61" i="16"/>
  <c r="N60" i="16"/>
  <c r="M60" i="16"/>
  <c r="I60" i="16"/>
  <c r="H60" i="16"/>
  <c r="B60" i="16"/>
  <c r="I59" i="16"/>
  <c r="H59" i="16"/>
  <c r="I58" i="16"/>
  <c r="H58" i="16"/>
  <c r="H57" i="16"/>
  <c r="N56" i="16"/>
  <c r="M56" i="16"/>
  <c r="I56" i="16"/>
  <c r="H56" i="16"/>
  <c r="B56" i="16"/>
  <c r="L54" i="16"/>
  <c r="I53" i="16"/>
  <c r="H53" i="16"/>
  <c r="I52" i="16"/>
  <c r="H52" i="16"/>
  <c r="I51" i="16"/>
  <c r="I77" i="16" s="1"/>
  <c r="I103" i="16" s="1"/>
  <c r="I129" i="16" s="1"/>
  <c r="H51" i="16"/>
  <c r="N50" i="16"/>
  <c r="M50" i="16"/>
  <c r="I50" i="16"/>
  <c r="J50" i="16" s="1"/>
  <c r="K50" i="16" s="1"/>
  <c r="O50" i="16" s="1"/>
  <c r="P50" i="16" s="1"/>
  <c r="H50" i="16"/>
  <c r="F50" i="16"/>
  <c r="F76" i="16" s="1"/>
  <c r="F102" i="16" s="1"/>
  <c r="F128" i="16" s="1"/>
  <c r="E50" i="16"/>
  <c r="E76" i="16" s="1"/>
  <c r="E102" i="16" s="1"/>
  <c r="E128" i="16" s="1"/>
  <c r="B50" i="16"/>
  <c r="I49" i="16"/>
  <c r="H49" i="16"/>
  <c r="I48" i="16"/>
  <c r="H48" i="16"/>
  <c r="I47" i="16"/>
  <c r="I73" i="16" s="1"/>
  <c r="I99" i="16" s="1"/>
  <c r="I125" i="16" s="1"/>
  <c r="H47" i="16"/>
  <c r="N46" i="16"/>
  <c r="M46" i="16"/>
  <c r="I46" i="16"/>
  <c r="J46" i="16" s="1"/>
  <c r="K46" i="16" s="1"/>
  <c r="O46" i="16" s="1"/>
  <c r="P46" i="16" s="1"/>
  <c r="H46" i="16"/>
  <c r="F46" i="16"/>
  <c r="F72" i="16" s="1"/>
  <c r="F98" i="16" s="1"/>
  <c r="F124" i="16" s="1"/>
  <c r="E46" i="16"/>
  <c r="E72" i="16" s="1"/>
  <c r="E98" i="16" s="1"/>
  <c r="E124" i="16" s="1"/>
  <c r="B46" i="16"/>
  <c r="I45" i="16"/>
  <c r="H45" i="16"/>
  <c r="I44" i="16"/>
  <c r="H44" i="16"/>
  <c r="I43" i="16"/>
  <c r="I69" i="16" s="1"/>
  <c r="I95" i="16" s="1"/>
  <c r="I121" i="16" s="1"/>
  <c r="H43" i="16"/>
  <c r="N42" i="16"/>
  <c r="M42" i="16"/>
  <c r="I42" i="16"/>
  <c r="J42" i="16" s="1"/>
  <c r="K42" i="16" s="1"/>
  <c r="O42" i="16" s="1"/>
  <c r="P42" i="16" s="1"/>
  <c r="H42" i="16"/>
  <c r="F42" i="16"/>
  <c r="F68" i="16" s="1"/>
  <c r="F94" i="16" s="1"/>
  <c r="F120" i="16" s="1"/>
  <c r="E42" i="16"/>
  <c r="E68" i="16" s="1"/>
  <c r="E94" i="16" s="1"/>
  <c r="E120" i="16" s="1"/>
  <c r="B42" i="16"/>
  <c r="I41" i="16"/>
  <c r="H41" i="16"/>
  <c r="I40" i="16"/>
  <c r="H40" i="16"/>
  <c r="I39" i="16"/>
  <c r="I65" i="16" s="1"/>
  <c r="I91" i="16" s="1"/>
  <c r="I117" i="16" s="1"/>
  <c r="H39" i="16"/>
  <c r="N38" i="16"/>
  <c r="M38" i="16"/>
  <c r="I38" i="16"/>
  <c r="J38" i="16" s="1"/>
  <c r="K38" i="16" s="1"/>
  <c r="O38" i="16" s="1"/>
  <c r="P38" i="16" s="1"/>
  <c r="H38" i="16"/>
  <c r="F38" i="16"/>
  <c r="F64" i="16" s="1"/>
  <c r="F90" i="16" s="1"/>
  <c r="F116" i="16" s="1"/>
  <c r="E38" i="16"/>
  <c r="E64" i="16" s="1"/>
  <c r="E90" i="16" s="1"/>
  <c r="E116" i="16" s="1"/>
  <c r="B38" i="16"/>
  <c r="I37" i="16"/>
  <c r="H37" i="16"/>
  <c r="I36" i="16"/>
  <c r="H36" i="16"/>
  <c r="I35" i="16"/>
  <c r="I61" i="16" s="1"/>
  <c r="I87" i="16" s="1"/>
  <c r="I113" i="16" s="1"/>
  <c r="H35" i="16"/>
  <c r="N34" i="16"/>
  <c r="M34" i="16"/>
  <c r="I34" i="16"/>
  <c r="J34" i="16" s="1"/>
  <c r="K34" i="16" s="1"/>
  <c r="O34" i="16" s="1"/>
  <c r="P34" i="16" s="1"/>
  <c r="H34" i="16"/>
  <c r="F34" i="16"/>
  <c r="F60" i="16" s="1"/>
  <c r="F86" i="16" s="1"/>
  <c r="F112" i="16" s="1"/>
  <c r="E34" i="16"/>
  <c r="E60" i="16" s="1"/>
  <c r="E86" i="16" s="1"/>
  <c r="E112" i="16" s="1"/>
  <c r="B34" i="16"/>
  <c r="I33" i="16"/>
  <c r="H33" i="16"/>
  <c r="I32" i="16"/>
  <c r="H32" i="16"/>
  <c r="I31" i="16"/>
  <c r="I57" i="16" s="1"/>
  <c r="I83" i="16" s="1"/>
  <c r="I109" i="16" s="1"/>
  <c r="H31" i="16"/>
  <c r="N30" i="16"/>
  <c r="M30" i="16"/>
  <c r="I30" i="16"/>
  <c r="J30" i="16" s="1"/>
  <c r="H30" i="16"/>
  <c r="F30" i="16"/>
  <c r="E30" i="16"/>
  <c r="B30" i="16"/>
  <c r="L28" i="16"/>
  <c r="F28" i="16"/>
  <c r="E28" i="16"/>
  <c r="I27" i="16"/>
  <c r="H27" i="16"/>
  <c r="I26" i="16"/>
  <c r="H26" i="16"/>
  <c r="H25" i="16"/>
  <c r="N24" i="16"/>
  <c r="M24" i="16"/>
  <c r="I24" i="16"/>
  <c r="J24" i="16" s="1"/>
  <c r="K24" i="16" s="1"/>
  <c r="O24" i="16" s="1"/>
  <c r="P24" i="16" s="1"/>
  <c r="H24" i="16"/>
  <c r="B24" i="16"/>
  <c r="I23" i="16"/>
  <c r="H23" i="16"/>
  <c r="I22" i="16"/>
  <c r="H22" i="16"/>
  <c r="H21" i="16"/>
  <c r="N20" i="16"/>
  <c r="M20" i="16"/>
  <c r="I20" i="16"/>
  <c r="J20" i="16" s="1"/>
  <c r="K20" i="16" s="1"/>
  <c r="O20" i="16" s="1"/>
  <c r="P20" i="16" s="1"/>
  <c r="H20" i="16"/>
  <c r="B20" i="16"/>
  <c r="I19" i="16"/>
  <c r="H19" i="16"/>
  <c r="I18" i="16"/>
  <c r="H18" i="16"/>
  <c r="H17" i="16"/>
  <c r="N16" i="16"/>
  <c r="M16" i="16"/>
  <c r="I16" i="16"/>
  <c r="J16" i="16" s="1"/>
  <c r="K16" i="16" s="1"/>
  <c r="O16" i="16" s="1"/>
  <c r="P16" i="16" s="1"/>
  <c r="H16" i="16"/>
  <c r="B16" i="16"/>
  <c r="I15" i="16"/>
  <c r="H15" i="16"/>
  <c r="I14" i="16"/>
  <c r="H14" i="16"/>
  <c r="H13" i="16"/>
  <c r="N12" i="16"/>
  <c r="M12" i="16"/>
  <c r="I12" i="16"/>
  <c r="J12" i="16" s="1"/>
  <c r="K12" i="16" s="1"/>
  <c r="O12" i="16" s="1"/>
  <c r="P12" i="16" s="1"/>
  <c r="H12" i="16"/>
  <c r="B12" i="16"/>
  <c r="I11" i="16"/>
  <c r="H11" i="16"/>
  <c r="I10" i="16"/>
  <c r="H10" i="16"/>
  <c r="H9" i="16"/>
  <c r="N8" i="16"/>
  <c r="M8" i="16"/>
  <c r="I8" i="16"/>
  <c r="J8" i="16" s="1"/>
  <c r="K8" i="16" s="1"/>
  <c r="O8" i="16" s="1"/>
  <c r="P8" i="16" s="1"/>
  <c r="H8" i="16"/>
  <c r="B8" i="16"/>
  <c r="I7" i="16"/>
  <c r="H7" i="16"/>
  <c r="I6" i="16"/>
  <c r="H6" i="16"/>
  <c r="H5" i="16"/>
  <c r="N4" i="16"/>
  <c r="M4" i="16"/>
  <c r="I4" i="16"/>
  <c r="J4" i="16" s="1"/>
  <c r="H4" i="16"/>
  <c r="B4" i="16"/>
  <c r="L132" i="15"/>
  <c r="I131" i="15"/>
  <c r="H131" i="15"/>
  <c r="I130" i="15"/>
  <c r="H130" i="15"/>
  <c r="H129" i="15"/>
  <c r="N128" i="15"/>
  <c r="M128" i="15"/>
  <c r="I128" i="15"/>
  <c r="H128" i="15"/>
  <c r="B128" i="15"/>
  <c r="I127" i="15"/>
  <c r="H127" i="15"/>
  <c r="I126" i="15"/>
  <c r="H126" i="15"/>
  <c r="H125" i="15"/>
  <c r="N124" i="15"/>
  <c r="M124" i="15"/>
  <c r="I124" i="15"/>
  <c r="H124" i="15"/>
  <c r="B124" i="15"/>
  <c r="I123" i="15"/>
  <c r="H123" i="15"/>
  <c r="I122" i="15"/>
  <c r="H122" i="15"/>
  <c r="H121" i="15"/>
  <c r="N120" i="15"/>
  <c r="M120" i="15"/>
  <c r="I120" i="15"/>
  <c r="H120" i="15"/>
  <c r="B120" i="15"/>
  <c r="I119" i="15"/>
  <c r="H119" i="15"/>
  <c r="I118" i="15"/>
  <c r="H118" i="15"/>
  <c r="H117" i="15"/>
  <c r="N116" i="15"/>
  <c r="M116" i="15"/>
  <c r="I116" i="15"/>
  <c r="H116" i="15"/>
  <c r="B116" i="15"/>
  <c r="I115" i="15"/>
  <c r="H115" i="15"/>
  <c r="I114" i="15"/>
  <c r="H114" i="15"/>
  <c r="H113" i="15"/>
  <c r="N112" i="15"/>
  <c r="M112" i="15"/>
  <c r="I112" i="15"/>
  <c r="H112" i="15"/>
  <c r="B112" i="15"/>
  <c r="I111" i="15"/>
  <c r="H111" i="15"/>
  <c r="I110" i="15"/>
  <c r="H110" i="15"/>
  <c r="H109" i="15"/>
  <c r="N108" i="15"/>
  <c r="M108" i="15"/>
  <c r="I108" i="15"/>
  <c r="H108" i="15"/>
  <c r="B108" i="15"/>
  <c r="L106" i="15"/>
  <c r="I105" i="15"/>
  <c r="H105" i="15"/>
  <c r="I104" i="15"/>
  <c r="H104" i="15"/>
  <c r="H103" i="15"/>
  <c r="N102" i="15"/>
  <c r="M102" i="15"/>
  <c r="I102" i="15"/>
  <c r="H102" i="15"/>
  <c r="B102" i="15"/>
  <c r="I101" i="15"/>
  <c r="H101" i="15"/>
  <c r="I100" i="15"/>
  <c r="H100" i="15"/>
  <c r="H99" i="15"/>
  <c r="N98" i="15"/>
  <c r="M98" i="15"/>
  <c r="I98" i="15"/>
  <c r="H98" i="15"/>
  <c r="B98" i="15"/>
  <c r="I97" i="15"/>
  <c r="H97" i="15"/>
  <c r="I96" i="15"/>
  <c r="H96" i="15"/>
  <c r="H95" i="15"/>
  <c r="N94" i="15"/>
  <c r="M94" i="15"/>
  <c r="I94" i="15"/>
  <c r="H94" i="15"/>
  <c r="B94" i="15"/>
  <c r="I93" i="15"/>
  <c r="H93" i="15"/>
  <c r="I92" i="15"/>
  <c r="H92" i="15"/>
  <c r="H91" i="15"/>
  <c r="N90" i="15"/>
  <c r="M90" i="15"/>
  <c r="I90" i="15"/>
  <c r="H90" i="15"/>
  <c r="B90" i="15"/>
  <c r="I89" i="15"/>
  <c r="H89" i="15"/>
  <c r="I88" i="15"/>
  <c r="H88" i="15"/>
  <c r="H87" i="15"/>
  <c r="N86" i="15"/>
  <c r="M86" i="15"/>
  <c r="I86" i="15"/>
  <c r="H86" i="15"/>
  <c r="B86" i="15"/>
  <c r="I85" i="15"/>
  <c r="H85" i="15"/>
  <c r="I84" i="15"/>
  <c r="H84" i="15"/>
  <c r="H83" i="15"/>
  <c r="N82" i="15"/>
  <c r="M82" i="15"/>
  <c r="I82" i="15"/>
  <c r="H82" i="15"/>
  <c r="B82" i="15"/>
  <c r="L80" i="15"/>
  <c r="I79" i="15"/>
  <c r="H79" i="15"/>
  <c r="I78" i="15"/>
  <c r="H78" i="15"/>
  <c r="H77" i="15"/>
  <c r="N76" i="15"/>
  <c r="M76" i="15"/>
  <c r="I76" i="15"/>
  <c r="H76" i="15"/>
  <c r="B76" i="15"/>
  <c r="I75" i="15"/>
  <c r="H75" i="15"/>
  <c r="I74" i="15"/>
  <c r="H74" i="15"/>
  <c r="H73" i="15"/>
  <c r="N72" i="15"/>
  <c r="M72" i="15"/>
  <c r="I72" i="15"/>
  <c r="H72" i="15"/>
  <c r="B72" i="15"/>
  <c r="I71" i="15"/>
  <c r="H71" i="15"/>
  <c r="I70" i="15"/>
  <c r="H70" i="15"/>
  <c r="H69" i="15"/>
  <c r="N68" i="15"/>
  <c r="M68" i="15"/>
  <c r="I68" i="15"/>
  <c r="H68" i="15"/>
  <c r="B68" i="15"/>
  <c r="I67" i="15"/>
  <c r="H67" i="15"/>
  <c r="I66" i="15"/>
  <c r="H66" i="15"/>
  <c r="H65" i="15"/>
  <c r="N64" i="15"/>
  <c r="M64" i="15"/>
  <c r="I64" i="15"/>
  <c r="H64" i="15"/>
  <c r="B64" i="15"/>
  <c r="I63" i="15"/>
  <c r="H63" i="15"/>
  <c r="I62" i="15"/>
  <c r="H62" i="15"/>
  <c r="H61" i="15"/>
  <c r="N60" i="15"/>
  <c r="M60" i="15"/>
  <c r="I60" i="15"/>
  <c r="H60" i="15"/>
  <c r="B60" i="15"/>
  <c r="I59" i="15"/>
  <c r="H59" i="15"/>
  <c r="I58" i="15"/>
  <c r="H58" i="15"/>
  <c r="H57" i="15"/>
  <c r="N56" i="15"/>
  <c r="M56" i="15"/>
  <c r="I56" i="15"/>
  <c r="H56" i="15"/>
  <c r="B56" i="15"/>
  <c r="L54" i="15"/>
  <c r="I53" i="15"/>
  <c r="H53" i="15"/>
  <c r="I52" i="15"/>
  <c r="H52" i="15"/>
  <c r="I51" i="15"/>
  <c r="I77" i="15" s="1"/>
  <c r="I103" i="15" s="1"/>
  <c r="I129" i="15" s="1"/>
  <c r="H51" i="15"/>
  <c r="N50" i="15"/>
  <c r="M50" i="15"/>
  <c r="I50" i="15"/>
  <c r="J50" i="15" s="1"/>
  <c r="K50" i="15" s="1"/>
  <c r="O50" i="15" s="1"/>
  <c r="P50" i="15" s="1"/>
  <c r="H50" i="15"/>
  <c r="F50" i="15"/>
  <c r="F76" i="15" s="1"/>
  <c r="F102" i="15" s="1"/>
  <c r="E50" i="15"/>
  <c r="E76" i="15" s="1"/>
  <c r="E102" i="15" s="1"/>
  <c r="B50" i="15"/>
  <c r="I49" i="15"/>
  <c r="H49" i="15"/>
  <c r="I48" i="15"/>
  <c r="H48" i="15"/>
  <c r="I47" i="15"/>
  <c r="I73" i="15" s="1"/>
  <c r="I99" i="15" s="1"/>
  <c r="I125" i="15" s="1"/>
  <c r="H47" i="15"/>
  <c r="N46" i="15"/>
  <c r="M46" i="15"/>
  <c r="I46" i="15"/>
  <c r="J46" i="15" s="1"/>
  <c r="K46" i="15" s="1"/>
  <c r="O46" i="15" s="1"/>
  <c r="P46" i="15" s="1"/>
  <c r="H46" i="15"/>
  <c r="F46" i="15"/>
  <c r="F72" i="15" s="1"/>
  <c r="F98" i="15" s="1"/>
  <c r="F124" i="15" s="1"/>
  <c r="E46" i="15"/>
  <c r="E72" i="15" s="1"/>
  <c r="E98" i="15" s="1"/>
  <c r="E124" i="15" s="1"/>
  <c r="B46" i="15"/>
  <c r="I45" i="15"/>
  <c r="H45" i="15"/>
  <c r="I44" i="15"/>
  <c r="H44" i="15"/>
  <c r="I43" i="15"/>
  <c r="I69" i="15" s="1"/>
  <c r="I95" i="15" s="1"/>
  <c r="I121" i="15" s="1"/>
  <c r="H43" i="15"/>
  <c r="N42" i="15"/>
  <c r="M42" i="15"/>
  <c r="I42" i="15"/>
  <c r="J42" i="15" s="1"/>
  <c r="K42" i="15" s="1"/>
  <c r="O42" i="15" s="1"/>
  <c r="P42" i="15" s="1"/>
  <c r="H42" i="15"/>
  <c r="F42" i="15"/>
  <c r="F68" i="15" s="1"/>
  <c r="F94" i="15" s="1"/>
  <c r="F120" i="15" s="1"/>
  <c r="E42" i="15"/>
  <c r="E68" i="15" s="1"/>
  <c r="E94" i="15" s="1"/>
  <c r="E120" i="15" s="1"/>
  <c r="B42" i="15"/>
  <c r="I41" i="15"/>
  <c r="H41" i="15"/>
  <c r="I40" i="15"/>
  <c r="H40" i="15"/>
  <c r="I39" i="15"/>
  <c r="I65" i="15" s="1"/>
  <c r="I91" i="15" s="1"/>
  <c r="I117" i="15" s="1"/>
  <c r="H39" i="15"/>
  <c r="N38" i="15"/>
  <c r="M38" i="15"/>
  <c r="I38" i="15"/>
  <c r="J38" i="15" s="1"/>
  <c r="K38" i="15" s="1"/>
  <c r="O38" i="15" s="1"/>
  <c r="P38" i="15" s="1"/>
  <c r="H38" i="15"/>
  <c r="F38" i="15"/>
  <c r="F64" i="15" s="1"/>
  <c r="F90" i="15" s="1"/>
  <c r="F116" i="15" s="1"/>
  <c r="E38" i="15"/>
  <c r="E64" i="15" s="1"/>
  <c r="E90" i="15" s="1"/>
  <c r="E116" i="15" s="1"/>
  <c r="B38" i="15"/>
  <c r="I37" i="15"/>
  <c r="H37" i="15"/>
  <c r="I36" i="15"/>
  <c r="H36" i="15"/>
  <c r="I35" i="15"/>
  <c r="I61" i="15" s="1"/>
  <c r="I87" i="15" s="1"/>
  <c r="I113" i="15" s="1"/>
  <c r="H35" i="15"/>
  <c r="N34" i="15"/>
  <c r="M34" i="15"/>
  <c r="I34" i="15"/>
  <c r="J34" i="15" s="1"/>
  <c r="K34" i="15" s="1"/>
  <c r="O34" i="15" s="1"/>
  <c r="P34" i="15" s="1"/>
  <c r="H34" i="15"/>
  <c r="F34" i="15"/>
  <c r="F60" i="15" s="1"/>
  <c r="F86" i="15" s="1"/>
  <c r="F112" i="15" s="1"/>
  <c r="E34" i="15"/>
  <c r="E60" i="15" s="1"/>
  <c r="E86" i="15" s="1"/>
  <c r="E112" i="15" s="1"/>
  <c r="B34" i="15"/>
  <c r="I33" i="15"/>
  <c r="H33" i="15"/>
  <c r="I32" i="15"/>
  <c r="H32" i="15"/>
  <c r="I31" i="15"/>
  <c r="I57" i="15" s="1"/>
  <c r="I83" i="15" s="1"/>
  <c r="I109" i="15" s="1"/>
  <c r="H31" i="15"/>
  <c r="N30" i="15"/>
  <c r="M30" i="15"/>
  <c r="I30" i="15"/>
  <c r="J30" i="15" s="1"/>
  <c r="H30" i="15"/>
  <c r="F30" i="15"/>
  <c r="E30" i="15"/>
  <c r="B30" i="15"/>
  <c r="L28" i="15"/>
  <c r="F28" i="15"/>
  <c r="E28" i="15"/>
  <c r="I27" i="15"/>
  <c r="H27" i="15"/>
  <c r="I26" i="15"/>
  <c r="H26" i="15"/>
  <c r="H25" i="15"/>
  <c r="N24" i="15"/>
  <c r="M24" i="15"/>
  <c r="I24" i="15"/>
  <c r="J24" i="15" s="1"/>
  <c r="K24" i="15" s="1"/>
  <c r="O24" i="15" s="1"/>
  <c r="P24" i="15" s="1"/>
  <c r="H24" i="15"/>
  <c r="B24" i="15"/>
  <c r="I23" i="15"/>
  <c r="H23" i="15"/>
  <c r="I22" i="15"/>
  <c r="H22" i="15"/>
  <c r="H21" i="15"/>
  <c r="N20" i="15"/>
  <c r="M20" i="15"/>
  <c r="I20" i="15"/>
  <c r="J20" i="15" s="1"/>
  <c r="K20" i="15" s="1"/>
  <c r="O20" i="15" s="1"/>
  <c r="P20" i="15" s="1"/>
  <c r="H20" i="15"/>
  <c r="B20" i="15"/>
  <c r="I19" i="15"/>
  <c r="H19" i="15"/>
  <c r="I18" i="15"/>
  <c r="H18" i="15"/>
  <c r="H17" i="15"/>
  <c r="N16" i="15"/>
  <c r="M16" i="15"/>
  <c r="I16" i="15"/>
  <c r="J16" i="15" s="1"/>
  <c r="K16" i="15" s="1"/>
  <c r="O16" i="15" s="1"/>
  <c r="P16" i="15" s="1"/>
  <c r="H16" i="15"/>
  <c r="B16" i="15"/>
  <c r="I15" i="15"/>
  <c r="H15" i="15"/>
  <c r="I14" i="15"/>
  <c r="H14" i="15"/>
  <c r="H13" i="15"/>
  <c r="N12" i="15"/>
  <c r="M12" i="15"/>
  <c r="I12" i="15"/>
  <c r="J12" i="15" s="1"/>
  <c r="K12" i="15" s="1"/>
  <c r="O12" i="15" s="1"/>
  <c r="P12" i="15" s="1"/>
  <c r="H12" i="15"/>
  <c r="B12" i="15"/>
  <c r="I11" i="15"/>
  <c r="H11" i="15"/>
  <c r="I10" i="15"/>
  <c r="H10" i="15"/>
  <c r="H9" i="15"/>
  <c r="N8" i="15"/>
  <c r="M8" i="15"/>
  <c r="I8" i="15"/>
  <c r="J8" i="15" s="1"/>
  <c r="K8" i="15" s="1"/>
  <c r="O8" i="15" s="1"/>
  <c r="P8" i="15" s="1"/>
  <c r="H8" i="15"/>
  <c r="B8" i="15"/>
  <c r="I7" i="15"/>
  <c r="H7" i="15"/>
  <c r="I6" i="15"/>
  <c r="H6" i="15"/>
  <c r="H5" i="15"/>
  <c r="N4" i="15"/>
  <c r="M4" i="15"/>
  <c r="I4" i="15"/>
  <c r="J4" i="15" s="1"/>
  <c r="H4" i="15"/>
  <c r="B4" i="15"/>
  <c r="L132" i="14"/>
  <c r="I131" i="14"/>
  <c r="H131" i="14"/>
  <c r="I130" i="14"/>
  <c r="H130" i="14"/>
  <c r="H129" i="14"/>
  <c r="N128" i="14"/>
  <c r="M128" i="14"/>
  <c r="I128" i="14"/>
  <c r="H128" i="14"/>
  <c r="B128" i="14"/>
  <c r="I127" i="14"/>
  <c r="H127" i="14"/>
  <c r="I126" i="14"/>
  <c r="H126" i="14"/>
  <c r="H125" i="14"/>
  <c r="N124" i="14"/>
  <c r="M124" i="14"/>
  <c r="I124" i="14"/>
  <c r="H124" i="14"/>
  <c r="B124" i="14"/>
  <c r="I123" i="14"/>
  <c r="H123" i="14"/>
  <c r="I122" i="14"/>
  <c r="H122" i="14"/>
  <c r="H121" i="14"/>
  <c r="N120" i="14"/>
  <c r="M120" i="14"/>
  <c r="I120" i="14"/>
  <c r="H120" i="14"/>
  <c r="B120" i="14"/>
  <c r="I119" i="14"/>
  <c r="H119" i="14"/>
  <c r="I118" i="14"/>
  <c r="H118" i="14"/>
  <c r="H117" i="14"/>
  <c r="N116" i="14"/>
  <c r="M116" i="14"/>
  <c r="I116" i="14"/>
  <c r="H116" i="14"/>
  <c r="B116" i="14"/>
  <c r="I115" i="14"/>
  <c r="H115" i="14"/>
  <c r="I114" i="14"/>
  <c r="H114" i="14"/>
  <c r="H113" i="14"/>
  <c r="N112" i="14"/>
  <c r="M112" i="14"/>
  <c r="I112" i="14"/>
  <c r="H112" i="14"/>
  <c r="B112" i="14"/>
  <c r="I111" i="14"/>
  <c r="H111" i="14"/>
  <c r="I110" i="14"/>
  <c r="H110" i="14"/>
  <c r="H109" i="14"/>
  <c r="N108" i="14"/>
  <c r="M108" i="14"/>
  <c r="I108" i="14"/>
  <c r="H108" i="14"/>
  <c r="B108" i="14"/>
  <c r="L106" i="14"/>
  <c r="I105" i="14"/>
  <c r="H105" i="14"/>
  <c r="I104" i="14"/>
  <c r="H104" i="14"/>
  <c r="H103" i="14"/>
  <c r="N102" i="14"/>
  <c r="M102" i="14"/>
  <c r="I102" i="14"/>
  <c r="H102" i="14"/>
  <c r="B102" i="14"/>
  <c r="I101" i="14"/>
  <c r="H101" i="14"/>
  <c r="I100" i="14"/>
  <c r="H100" i="14"/>
  <c r="H99" i="14"/>
  <c r="N98" i="14"/>
  <c r="M98" i="14"/>
  <c r="I98" i="14"/>
  <c r="H98" i="14"/>
  <c r="B98" i="14"/>
  <c r="I97" i="14"/>
  <c r="H97" i="14"/>
  <c r="I96" i="14"/>
  <c r="H96" i="14"/>
  <c r="H95" i="14"/>
  <c r="N94" i="14"/>
  <c r="M94" i="14"/>
  <c r="I94" i="14"/>
  <c r="H94" i="14"/>
  <c r="B94" i="14"/>
  <c r="I93" i="14"/>
  <c r="H93" i="14"/>
  <c r="I92" i="14"/>
  <c r="H92" i="14"/>
  <c r="H91" i="14"/>
  <c r="N90" i="14"/>
  <c r="M90" i="14"/>
  <c r="I90" i="14"/>
  <c r="H90" i="14"/>
  <c r="B90" i="14"/>
  <c r="I89" i="14"/>
  <c r="H89" i="14"/>
  <c r="I88" i="14"/>
  <c r="H88" i="14"/>
  <c r="H87" i="14"/>
  <c r="N86" i="14"/>
  <c r="M86" i="14"/>
  <c r="I86" i="14"/>
  <c r="H86" i="14"/>
  <c r="B86" i="14"/>
  <c r="I85" i="14"/>
  <c r="H85" i="14"/>
  <c r="I84" i="14"/>
  <c r="H84" i="14"/>
  <c r="H83" i="14"/>
  <c r="N82" i="14"/>
  <c r="M82" i="14"/>
  <c r="I82" i="14"/>
  <c r="H82" i="14"/>
  <c r="B82" i="14"/>
  <c r="L80" i="14"/>
  <c r="I79" i="14"/>
  <c r="H79" i="14"/>
  <c r="I78" i="14"/>
  <c r="H78" i="14"/>
  <c r="H77" i="14"/>
  <c r="N76" i="14"/>
  <c r="M76" i="14"/>
  <c r="I76" i="14"/>
  <c r="H76" i="14"/>
  <c r="B76" i="14"/>
  <c r="I75" i="14"/>
  <c r="H75" i="14"/>
  <c r="I74" i="14"/>
  <c r="H74" i="14"/>
  <c r="H73" i="14"/>
  <c r="N72" i="14"/>
  <c r="M72" i="14"/>
  <c r="I72" i="14"/>
  <c r="H72" i="14"/>
  <c r="B72" i="14"/>
  <c r="I71" i="14"/>
  <c r="H71" i="14"/>
  <c r="I70" i="14"/>
  <c r="H70" i="14"/>
  <c r="H69" i="14"/>
  <c r="N68" i="14"/>
  <c r="M68" i="14"/>
  <c r="I68" i="14"/>
  <c r="H68" i="14"/>
  <c r="B68" i="14"/>
  <c r="I67" i="14"/>
  <c r="H67" i="14"/>
  <c r="I66" i="14"/>
  <c r="H66" i="14"/>
  <c r="H65" i="14"/>
  <c r="N64" i="14"/>
  <c r="M64" i="14"/>
  <c r="I64" i="14"/>
  <c r="H64" i="14"/>
  <c r="B64" i="14"/>
  <c r="I63" i="14"/>
  <c r="H63" i="14"/>
  <c r="I62" i="14"/>
  <c r="H62" i="14"/>
  <c r="H61" i="14"/>
  <c r="N60" i="14"/>
  <c r="M60" i="14"/>
  <c r="I60" i="14"/>
  <c r="H60" i="14"/>
  <c r="B60" i="14"/>
  <c r="I59" i="14"/>
  <c r="H59" i="14"/>
  <c r="I58" i="14"/>
  <c r="H58" i="14"/>
  <c r="H57" i="14"/>
  <c r="N56" i="14"/>
  <c r="M56" i="14"/>
  <c r="I56" i="14"/>
  <c r="H56" i="14"/>
  <c r="B56" i="14"/>
  <c r="L54" i="14"/>
  <c r="I53" i="14"/>
  <c r="H53" i="14"/>
  <c r="I52" i="14"/>
  <c r="H52" i="14"/>
  <c r="I51" i="14"/>
  <c r="I77" i="14" s="1"/>
  <c r="I103" i="14" s="1"/>
  <c r="I129" i="14" s="1"/>
  <c r="H51" i="14"/>
  <c r="N50" i="14"/>
  <c r="M50" i="14"/>
  <c r="I50" i="14"/>
  <c r="J50" i="14" s="1"/>
  <c r="K50" i="14" s="1"/>
  <c r="O50" i="14" s="1"/>
  <c r="P50" i="14" s="1"/>
  <c r="H50" i="14"/>
  <c r="F50" i="14"/>
  <c r="F76" i="14" s="1"/>
  <c r="F102" i="14" s="1"/>
  <c r="F128" i="14" s="1"/>
  <c r="E50" i="14"/>
  <c r="E76" i="14" s="1"/>
  <c r="E102" i="14" s="1"/>
  <c r="E128" i="14" s="1"/>
  <c r="B50" i="14"/>
  <c r="I49" i="14"/>
  <c r="H49" i="14"/>
  <c r="I48" i="14"/>
  <c r="H48" i="14"/>
  <c r="I47" i="14"/>
  <c r="I73" i="14" s="1"/>
  <c r="I99" i="14" s="1"/>
  <c r="I125" i="14" s="1"/>
  <c r="H47" i="14"/>
  <c r="N46" i="14"/>
  <c r="M46" i="14"/>
  <c r="I46" i="14"/>
  <c r="J46" i="14" s="1"/>
  <c r="K46" i="14" s="1"/>
  <c r="O46" i="14" s="1"/>
  <c r="P46" i="14" s="1"/>
  <c r="H46" i="14"/>
  <c r="F46" i="14"/>
  <c r="F72" i="14" s="1"/>
  <c r="F98" i="14" s="1"/>
  <c r="F124" i="14" s="1"/>
  <c r="E46" i="14"/>
  <c r="E72" i="14" s="1"/>
  <c r="E98" i="14" s="1"/>
  <c r="E124" i="14" s="1"/>
  <c r="B46" i="14"/>
  <c r="I45" i="14"/>
  <c r="H45" i="14"/>
  <c r="I44" i="14"/>
  <c r="H44" i="14"/>
  <c r="I43" i="14"/>
  <c r="I69" i="14" s="1"/>
  <c r="I95" i="14" s="1"/>
  <c r="I121" i="14" s="1"/>
  <c r="H43" i="14"/>
  <c r="N42" i="14"/>
  <c r="M42" i="14"/>
  <c r="I42" i="14"/>
  <c r="J42" i="14" s="1"/>
  <c r="K42" i="14" s="1"/>
  <c r="O42" i="14" s="1"/>
  <c r="P42" i="14" s="1"/>
  <c r="H42" i="14"/>
  <c r="F42" i="14"/>
  <c r="F68" i="14" s="1"/>
  <c r="F94" i="14" s="1"/>
  <c r="F120" i="14" s="1"/>
  <c r="E42" i="14"/>
  <c r="E68" i="14" s="1"/>
  <c r="E94" i="14" s="1"/>
  <c r="E120" i="14" s="1"/>
  <c r="B42" i="14"/>
  <c r="I41" i="14"/>
  <c r="H41" i="14"/>
  <c r="I40" i="14"/>
  <c r="H40" i="14"/>
  <c r="I39" i="14"/>
  <c r="I65" i="14" s="1"/>
  <c r="I91" i="14" s="1"/>
  <c r="I117" i="14" s="1"/>
  <c r="H39" i="14"/>
  <c r="N38" i="14"/>
  <c r="M38" i="14"/>
  <c r="I38" i="14"/>
  <c r="J38" i="14" s="1"/>
  <c r="K38" i="14" s="1"/>
  <c r="O38" i="14" s="1"/>
  <c r="P38" i="14" s="1"/>
  <c r="H38" i="14"/>
  <c r="F38" i="14"/>
  <c r="F64" i="14" s="1"/>
  <c r="F90" i="14" s="1"/>
  <c r="F116" i="14" s="1"/>
  <c r="E38" i="14"/>
  <c r="E64" i="14" s="1"/>
  <c r="E90" i="14" s="1"/>
  <c r="E116" i="14" s="1"/>
  <c r="B38" i="14"/>
  <c r="I37" i="14"/>
  <c r="H37" i="14"/>
  <c r="I36" i="14"/>
  <c r="H36" i="14"/>
  <c r="I35" i="14"/>
  <c r="I61" i="14" s="1"/>
  <c r="I87" i="14" s="1"/>
  <c r="I113" i="14" s="1"/>
  <c r="H35" i="14"/>
  <c r="N34" i="14"/>
  <c r="M34" i="14"/>
  <c r="I34" i="14"/>
  <c r="J34" i="14" s="1"/>
  <c r="K34" i="14" s="1"/>
  <c r="O34" i="14" s="1"/>
  <c r="P34" i="14" s="1"/>
  <c r="H34" i="14"/>
  <c r="F34" i="14"/>
  <c r="F60" i="14" s="1"/>
  <c r="F86" i="14" s="1"/>
  <c r="F112" i="14" s="1"/>
  <c r="E34" i="14"/>
  <c r="E60" i="14" s="1"/>
  <c r="E86" i="14" s="1"/>
  <c r="E112" i="14" s="1"/>
  <c r="B34" i="14"/>
  <c r="I33" i="14"/>
  <c r="H33" i="14"/>
  <c r="I32" i="14"/>
  <c r="H32" i="14"/>
  <c r="I31" i="14"/>
  <c r="I57" i="14" s="1"/>
  <c r="I83" i="14" s="1"/>
  <c r="I109" i="14" s="1"/>
  <c r="H31" i="14"/>
  <c r="N30" i="14"/>
  <c r="M30" i="14"/>
  <c r="I30" i="14"/>
  <c r="J30" i="14" s="1"/>
  <c r="H30" i="14"/>
  <c r="F30" i="14"/>
  <c r="E30" i="14"/>
  <c r="B30" i="14"/>
  <c r="L28" i="14"/>
  <c r="F28" i="14"/>
  <c r="E28" i="14"/>
  <c r="I27" i="14"/>
  <c r="H27" i="14"/>
  <c r="I26" i="14"/>
  <c r="H26" i="14"/>
  <c r="H25" i="14"/>
  <c r="N24" i="14"/>
  <c r="M24" i="14"/>
  <c r="I24" i="14"/>
  <c r="J24" i="14" s="1"/>
  <c r="K24" i="14" s="1"/>
  <c r="O24" i="14" s="1"/>
  <c r="P24" i="14" s="1"/>
  <c r="H24" i="14"/>
  <c r="B24" i="14"/>
  <c r="I23" i="14"/>
  <c r="H23" i="14"/>
  <c r="I22" i="14"/>
  <c r="H22" i="14"/>
  <c r="H21" i="14"/>
  <c r="N20" i="14"/>
  <c r="M20" i="14"/>
  <c r="I20" i="14"/>
  <c r="J20" i="14" s="1"/>
  <c r="K20" i="14" s="1"/>
  <c r="O20" i="14" s="1"/>
  <c r="P20" i="14" s="1"/>
  <c r="H20" i="14"/>
  <c r="B20" i="14"/>
  <c r="I19" i="14"/>
  <c r="H19" i="14"/>
  <c r="I18" i="14"/>
  <c r="H18" i="14"/>
  <c r="H17" i="14"/>
  <c r="N16" i="14"/>
  <c r="M16" i="14"/>
  <c r="I16" i="14"/>
  <c r="J16" i="14" s="1"/>
  <c r="K16" i="14" s="1"/>
  <c r="O16" i="14" s="1"/>
  <c r="P16" i="14" s="1"/>
  <c r="H16" i="14"/>
  <c r="B16" i="14"/>
  <c r="I15" i="14"/>
  <c r="H15" i="14"/>
  <c r="I14" i="14"/>
  <c r="H14" i="14"/>
  <c r="H13" i="14"/>
  <c r="N12" i="14"/>
  <c r="M12" i="14"/>
  <c r="I12" i="14"/>
  <c r="J12" i="14" s="1"/>
  <c r="K12" i="14" s="1"/>
  <c r="O12" i="14" s="1"/>
  <c r="P12" i="14" s="1"/>
  <c r="H12" i="14"/>
  <c r="B12" i="14"/>
  <c r="I11" i="14"/>
  <c r="H11" i="14"/>
  <c r="I10" i="14"/>
  <c r="H10" i="14"/>
  <c r="H9" i="14"/>
  <c r="N8" i="14"/>
  <c r="M8" i="14"/>
  <c r="I8" i="14"/>
  <c r="J8" i="14" s="1"/>
  <c r="K8" i="14" s="1"/>
  <c r="O8" i="14" s="1"/>
  <c r="P8" i="14" s="1"/>
  <c r="H8" i="14"/>
  <c r="B8" i="14"/>
  <c r="I7" i="14"/>
  <c r="H7" i="14"/>
  <c r="I6" i="14"/>
  <c r="H6" i="14"/>
  <c r="H5" i="14"/>
  <c r="N4" i="14"/>
  <c r="M4" i="14"/>
  <c r="I4" i="14"/>
  <c r="J4" i="14" s="1"/>
  <c r="H4" i="14"/>
  <c r="B4" i="14"/>
  <c r="L132" i="13"/>
  <c r="I131" i="13"/>
  <c r="H131" i="13"/>
  <c r="I130" i="13"/>
  <c r="H130" i="13"/>
  <c r="H129" i="13"/>
  <c r="N128" i="13"/>
  <c r="M128" i="13"/>
  <c r="I128" i="13"/>
  <c r="H128" i="13"/>
  <c r="B128" i="13"/>
  <c r="I127" i="13"/>
  <c r="H127" i="13"/>
  <c r="I126" i="13"/>
  <c r="H126" i="13"/>
  <c r="H125" i="13"/>
  <c r="N124" i="13"/>
  <c r="M124" i="13"/>
  <c r="I124" i="13"/>
  <c r="H124" i="13"/>
  <c r="B124" i="13"/>
  <c r="I123" i="13"/>
  <c r="H123" i="13"/>
  <c r="I122" i="13"/>
  <c r="H122" i="13"/>
  <c r="H121" i="13"/>
  <c r="N120" i="13"/>
  <c r="M120" i="13"/>
  <c r="I120" i="13"/>
  <c r="H120" i="13"/>
  <c r="B120" i="13"/>
  <c r="I119" i="13"/>
  <c r="H119" i="13"/>
  <c r="I118" i="13"/>
  <c r="H118" i="13"/>
  <c r="H117" i="13"/>
  <c r="N116" i="13"/>
  <c r="M116" i="13"/>
  <c r="I116" i="13"/>
  <c r="H116" i="13"/>
  <c r="B116" i="13"/>
  <c r="I115" i="13"/>
  <c r="H115" i="13"/>
  <c r="I114" i="13"/>
  <c r="H114" i="13"/>
  <c r="H113" i="13"/>
  <c r="N112" i="13"/>
  <c r="M112" i="13"/>
  <c r="I112" i="13"/>
  <c r="H112" i="13"/>
  <c r="B112" i="13"/>
  <c r="I111" i="13"/>
  <c r="H111" i="13"/>
  <c r="I110" i="13"/>
  <c r="H110" i="13"/>
  <c r="H109" i="13"/>
  <c r="N108" i="13"/>
  <c r="M108" i="13"/>
  <c r="I108" i="13"/>
  <c r="H108" i="13"/>
  <c r="B108" i="13"/>
  <c r="L106" i="13"/>
  <c r="I105" i="13"/>
  <c r="H105" i="13"/>
  <c r="I104" i="13"/>
  <c r="H104" i="13"/>
  <c r="H103" i="13"/>
  <c r="N102" i="13"/>
  <c r="M102" i="13"/>
  <c r="I102" i="13"/>
  <c r="H102" i="13"/>
  <c r="B102" i="13"/>
  <c r="I101" i="13"/>
  <c r="H101" i="13"/>
  <c r="I100" i="13"/>
  <c r="H100" i="13"/>
  <c r="H99" i="13"/>
  <c r="N98" i="13"/>
  <c r="M98" i="13"/>
  <c r="I98" i="13"/>
  <c r="H98" i="13"/>
  <c r="B98" i="13"/>
  <c r="I97" i="13"/>
  <c r="H97" i="13"/>
  <c r="I96" i="13"/>
  <c r="H96" i="13"/>
  <c r="H95" i="13"/>
  <c r="N94" i="13"/>
  <c r="M94" i="13"/>
  <c r="I94" i="13"/>
  <c r="H94" i="13"/>
  <c r="B94" i="13"/>
  <c r="I93" i="13"/>
  <c r="H93" i="13"/>
  <c r="I92" i="13"/>
  <c r="H92" i="13"/>
  <c r="H91" i="13"/>
  <c r="N90" i="13"/>
  <c r="M90" i="13"/>
  <c r="I90" i="13"/>
  <c r="H90" i="13"/>
  <c r="B90" i="13"/>
  <c r="I89" i="13"/>
  <c r="H89" i="13"/>
  <c r="I88" i="13"/>
  <c r="H88" i="13"/>
  <c r="H87" i="13"/>
  <c r="N86" i="13"/>
  <c r="M86" i="13"/>
  <c r="I86" i="13"/>
  <c r="H86" i="13"/>
  <c r="B86" i="13"/>
  <c r="I85" i="13"/>
  <c r="H85" i="13"/>
  <c r="I84" i="13"/>
  <c r="H84" i="13"/>
  <c r="H83" i="13"/>
  <c r="N82" i="13"/>
  <c r="M82" i="13"/>
  <c r="I82" i="13"/>
  <c r="H82" i="13"/>
  <c r="B82" i="13"/>
  <c r="L80" i="13"/>
  <c r="I79" i="13"/>
  <c r="H79" i="13"/>
  <c r="I78" i="13"/>
  <c r="H78" i="13"/>
  <c r="H77" i="13"/>
  <c r="N76" i="13"/>
  <c r="M76" i="13"/>
  <c r="I76" i="13"/>
  <c r="H76" i="13"/>
  <c r="B76" i="13"/>
  <c r="I75" i="13"/>
  <c r="H75" i="13"/>
  <c r="I74" i="13"/>
  <c r="H74" i="13"/>
  <c r="H73" i="13"/>
  <c r="N72" i="13"/>
  <c r="M72" i="13"/>
  <c r="I72" i="13"/>
  <c r="H72" i="13"/>
  <c r="B72" i="13"/>
  <c r="I71" i="13"/>
  <c r="H71" i="13"/>
  <c r="I70" i="13"/>
  <c r="H70" i="13"/>
  <c r="H69" i="13"/>
  <c r="N68" i="13"/>
  <c r="M68" i="13"/>
  <c r="I68" i="13"/>
  <c r="H68" i="13"/>
  <c r="B68" i="13"/>
  <c r="I67" i="13"/>
  <c r="H67" i="13"/>
  <c r="I66" i="13"/>
  <c r="H66" i="13"/>
  <c r="H65" i="13"/>
  <c r="N64" i="13"/>
  <c r="M64" i="13"/>
  <c r="I64" i="13"/>
  <c r="H64" i="13"/>
  <c r="B64" i="13"/>
  <c r="I63" i="13"/>
  <c r="H63" i="13"/>
  <c r="I62" i="13"/>
  <c r="H62" i="13"/>
  <c r="H61" i="13"/>
  <c r="N60" i="13"/>
  <c r="M60" i="13"/>
  <c r="I60" i="13"/>
  <c r="H60" i="13"/>
  <c r="B60" i="13"/>
  <c r="I59" i="13"/>
  <c r="H59" i="13"/>
  <c r="I58" i="13"/>
  <c r="H58" i="13"/>
  <c r="H57" i="13"/>
  <c r="N56" i="13"/>
  <c r="M56" i="13"/>
  <c r="I56" i="13"/>
  <c r="H56" i="13"/>
  <c r="B56" i="13"/>
  <c r="L54" i="13"/>
  <c r="I53" i="13"/>
  <c r="H53" i="13"/>
  <c r="I52" i="13"/>
  <c r="H52" i="13"/>
  <c r="I51" i="13"/>
  <c r="I77" i="13" s="1"/>
  <c r="I103" i="13" s="1"/>
  <c r="I129" i="13" s="1"/>
  <c r="H51" i="13"/>
  <c r="N50" i="13"/>
  <c r="M50" i="13"/>
  <c r="I50" i="13"/>
  <c r="J50" i="13" s="1"/>
  <c r="K50" i="13" s="1"/>
  <c r="O50" i="13" s="1"/>
  <c r="P50" i="13" s="1"/>
  <c r="H50" i="13"/>
  <c r="F50" i="13"/>
  <c r="F76" i="13" s="1"/>
  <c r="F102" i="13" s="1"/>
  <c r="F128" i="13" s="1"/>
  <c r="E50" i="13"/>
  <c r="E76" i="13" s="1"/>
  <c r="E102" i="13" s="1"/>
  <c r="E128" i="13" s="1"/>
  <c r="B50" i="13"/>
  <c r="I49" i="13"/>
  <c r="H49" i="13"/>
  <c r="I48" i="13"/>
  <c r="H48" i="13"/>
  <c r="I47" i="13"/>
  <c r="I73" i="13" s="1"/>
  <c r="I99" i="13" s="1"/>
  <c r="I125" i="13" s="1"/>
  <c r="H47" i="13"/>
  <c r="N46" i="13"/>
  <c r="M46" i="13"/>
  <c r="I46" i="13"/>
  <c r="J46" i="13" s="1"/>
  <c r="K46" i="13" s="1"/>
  <c r="O46" i="13" s="1"/>
  <c r="P46" i="13" s="1"/>
  <c r="H46" i="13"/>
  <c r="F46" i="13"/>
  <c r="F72" i="13" s="1"/>
  <c r="F98" i="13" s="1"/>
  <c r="F124" i="13" s="1"/>
  <c r="E46" i="13"/>
  <c r="E72" i="13" s="1"/>
  <c r="E98" i="13" s="1"/>
  <c r="E124" i="13" s="1"/>
  <c r="B46" i="13"/>
  <c r="I45" i="13"/>
  <c r="H45" i="13"/>
  <c r="I44" i="13"/>
  <c r="H44" i="13"/>
  <c r="I43" i="13"/>
  <c r="I69" i="13" s="1"/>
  <c r="I95" i="13" s="1"/>
  <c r="I121" i="13" s="1"/>
  <c r="H43" i="13"/>
  <c r="N42" i="13"/>
  <c r="M42" i="13"/>
  <c r="I42" i="13"/>
  <c r="J42" i="13" s="1"/>
  <c r="K42" i="13" s="1"/>
  <c r="O42" i="13" s="1"/>
  <c r="P42" i="13" s="1"/>
  <c r="H42" i="13"/>
  <c r="F42" i="13"/>
  <c r="F68" i="13" s="1"/>
  <c r="F94" i="13" s="1"/>
  <c r="F120" i="13" s="1"/>
  <c r="E42" i="13"/>
  <c r="E68" i="13" s="1"/>
  <c r="E94" i="13" s="1"/>
  <c r="E120" i="13" s="1"/>
  <c r="B42" i="13"/>
  <c r="I41" i="13"/>
  <c r="H41" i="13"/>
  <c r="I40" i="13"/>
  <c r="H40" i="13"/>
  <c r="I39" i="13"/>
  <c r="I65" i="13" s="1"/>
  <c r="I91" i="13" s="1"/>
  <c r="I117" i="13" s="1"/>
  <c r="H39" i="13"/>
  <c r="N38" i="13"/>
  <c r="M38" i="13"/>
  <c r="I38" i="13"/>
  <c r="J38" i="13" s="1"/>
  <c r="K38" i="13" s="1"/>
  <c r="O38" i="13" s="1"/>
  <c r="P38" i="13" s="1"/>
  <c r="H38" i="13"/>
  <c r="F38" i="13"/>
  <c r="F64" i="13" s="1"/>
  <c r="F90" i="13" s="1"/>
  <c r="F116" i="13" s="1"/>
  <c r="E38" i="13"/>
  <c r="E64" i="13" s="1"/>
  <c r="E90" i="13" s="1"/>
  <c r="E116" i="13" s="1"/>
  <c r="B38" i="13"/>
  <c r="I37" i="13"/>
  <c r="H37" i="13"/>
  <c r="I36" i="13"/>
  <c r="H36" i="13"/>
  <c r="I35" i="13"/>
  <c r="I61" i="13" s="1"/>
  <c r="I87" i="13" s="1"/>
  <c r="I113" i="13" s="1"/>
  <c r="H35" i="13"/>
  <c r="N34" i="13"/>
  <c r="M34" i="13"/>
  <c r="I34" i="13"/>
  <c r="J34" i="13" s="1"/>
  <c r="K34" i="13" s="1"/>
  <c r="O34" i="13" s="1"/>
  <c r="P34" i="13" s="1"/>
  <c r="H34" i="13"/>
  <c r="F34" i="13"/>
  <c r="F60" i="13" s="1"/>
  <c r="F86" i="13" s="1"/>
  <c r="F112" i="13" s="1"/>
  <c r="E34" i="13"/>
  <c r="E60" i="13" s="1"/>
  <c r="E86" i="13" s="1"/>
  <c r="E112" i="13" s="1"/>
  <c r="B34" i="13"/>
  <c r="I33" i="13"/>
  <c r="H33" i="13"/>
  <c r="I32" i="13"/>
  <c r="H32" i="13"/>
  <c r="I31" i="13"/>
  <c r="I57" i="13" s="1"/>
  <c r="I83" i="13" s="1"/>
  <c r="I109" i="13" s="1"/>
  <c r="H31" i="13"/>
  <c r="N30" i="13"/>
  <c r="M30" i="13"/>
  <c r="I30" i="13"/>
  <c r="J30" i="13" s="1"/>
  <c r="H30" i="13"/>
  <c r="F30" i="13"/>
  <c r="E30" i="13"/>
  <c r="B30" i="13"/>
  <c r="L28" i="13"/>
  <c r="F28" i="13"/>
  <c r="E28" i="13"/>
  <c r="I27" i="13"/>
  <c r="H27" i="13"/>
  <c r="I26" i="13"/>
  <c r="H26" i="13"/>
  <c r="H25" i="13"/>
  <c r="N24" i="13"/>
  <c r="M24" i="13"/>
  <c r="I24" i="13"/>
  <c r="J24" i="13" s="1"/>
  <c r="K24" i="13" s="1"/>
  <c r="O24" i="13" s="1"/>
  <c r="P24" i="13" s="1"/>
  <c r="H24" i="13"/>
  <c r="B24" i="13"/>
  <c r="I23" i="13"/>
  <c r="H23" i="13"/>
  <c r="I22" i="13"/>
  <c r="H22" i="13"/>
  <c r="H21" i="13"/>
  <c r="N20" i="13"/>
  <c r="M20" i="13"/>
  <c r="I20" i="13"/>
  <c r="J20" i="13" s="1"/>
  <c r="K20" i="13" s="1"/>
  <c r="O20" i="13" s="1"/>
  <c r="P20" i="13" s="1"/>
  <c r="H20" i="13"/>
  <c r="B20" i="13"/>
  <c r="I19" i="13"/>
  <c r="H19" i="13"/>
  <c r="I18" i="13"/>
  <c r="H18" i="13"/>
  <c r="H17" i="13"/>
  <c r="N16" i="13"/>
  <c r="M16" i="13"/>
  <c r="I16" i="13"/>
  <c r="J16" i="13" s="1"/>
  <c r="K16" i="13" s="1"/>
  <c r="O16" i="13" s="1"/>
  <c r="P16" i="13" s="1"/>
  <c r="H16" i="13"/>
  <c r="B16" i="13"/>
  <c r="I15" i="13"/>
  <c r="H15" i="13"/>
  <c r="I14" i="13"/>
  <c r="H14" i="13"/>
  <c r="H13" i="13"/>
  <c r="N12" i="13"/>
  <c r="M12" i="13"/>
  <c r="I12" i="13"/>
  <c r="J12" i="13" s="1"/>
  <c r="K12" i="13" s="1"/>
  <c r="O12" i="13" s="1"/>
  <c r="P12" i="13" s="1"/>
  <c r="H12" i="13"/>
  <c r="B12" i="13"/>
  <c r="I11" i="13"/>
  <c r="H11" i="13"/>
  <c r="I10" i="13"/>
  <c r="H10" i="13"/>
  <c r="H9" i="13"/>
  <c r="N8" i="13"/>
  <c r="M8" i="13"/>
  <c r="I8" i="13"/>
  <c r="J8" i="13" s="1"/>
  <c r="K8" i="13" s="1"/>
  <c r="O8" i="13" s="1"/>
  <c r="P8" i="13" s="1"/>
  <c r="H8" i="13"/>
  <c r="B8" i="13"/>
  <c r="I7" i="13"/>
  <c r="H7" i="13"/>
  <c r="I6" i="13"/>
  <c r="H6" i="13"/>
  <c r="H5" i="13"/>
  <c r="N4" i="13"/>
  <c r="M4" i="13"/>
  <c r="I4" i="13"/>
  <c r="J4" i="13" s="1"/>
  <c r="H4" i="13"/>
  <c r="B4" i="13"/>
  <c r="L52" i="12"/>
  <c r="I51" i="12"/>
  <c r="H51" i="12"/>
  <c r="I50" i="12"/>
  <c r="H50" i="12"/>
  <c r="H49" i="12"/>
  <c r="N48" i="12"/>
  <c r="M48" i="12"/>
  <c r="I48" i="12"/>
  <c r="J48" i="12" s="1"/>
  <c r="K48" i="12" s="1"/>
  <c r="O48" i="12" s="1"/>
  <c r="P48" i="12" s="1"/>
  <c r="H48" i="12"/>
  <c r="F48" i="12"/>
  <c r="E48" i="12"/>
  <c r="B48" i="12"/>
  <c r="I47" i="12"/>
  <c r="H47" i="12"/>
  <c r="I46" i="12"/>
  <c r="H46" i="12"/>
  <c r="H45" i="12"/>
  <c r="N44" i="12"/>
  <c r="M44" i="12"/>
  <c r="I44" i="12"/>
  <c r="J44" i="12" s="1"/>
  <c r="H44" i="12"/>
  <c r="F44" i="12"/>
  <c r="F52" i="12" s="1"/>
  <c r="E44" i="12"/>
  <c r="E52" i="12" s="1"/>
  <c r="B44" i="12"/>
  <c r="L42" i="12"/>
  <c r="I41" i="12"/>
  <c r="H41" i="12"/>
  <c r="I40" i="12"/>
  <c r="H40" i="12"/>
  <c r="I39" i="12"/>
  <c r="H39" i="12"/>
  <c r="N38" i="12"/>
  <c r="M38" i="12"/>
  <c r="I38" i="12"/>
  <c r="J38" i="12" s="1"/>
  <c r="K38" i="12" s="1"/>
  <c r="O38" i="12" s="1"/>
  <c r="P38" i="12" s="1"/>
  <c r="H38" i="12"/>
  <c r="F38" i="12"/>
  <c r="E38" i="12"/>
  <c r="B38" i="12"/>
  <c r="I37" i="12"/>
  <c r="H37" i="12"/>
  <c r="I36" i="12"/>
  <c r="H36" i="12"/>
  <c r="I35" i="12"/>
  <c r="H35" i="12"/>
  <c r="N34" i="12"/>
  <c r="M34" i="12"/>
  <c r="I34" i="12"/>
  <c r="J34" i="12" s="1"/>
  <c r="H34" i="12"/>
  <c r="F34" i="12"/>
  <c r="F42" i="12" s="1"/>
  <c r="E34" i="12"/>
  <c r="E42" i="12" s="1"/>
  <c r="B34" i="12"/>
  <c r="L32" i="12"/>
  <c r="I31" i="12"/>
  <c r="H31" i="12"/>
  <c r="I30" i="12"/>
  <c r="H30" i="12"/>
  <c r="H29" i="12"/>
  <c r="N28" i="12"/>
  <c r="M28" i="12"/>
  <c r="I28" i="12"/>
  <c r="J28" i="12" s="1"/>
  <c r="K28" i="12" s="1"/>
  <c r="O28" i="12" s="1"/>
  <c r="P28" i="12" s="1"/>
  <c r="H28" i="12"/>
  <c r="F28" i="12"/>
  <c r="E28" i="12"/>
  <c r="B28" i="12"/>
  <c r="I27" i="12"/>
  <c r="H27" i="12"/>
  <c r="I26" i="12"/>
  <c r="H26" i="12"/>
  <c r="H25" i="12"/>
  <c r="N24" i="12"/>
  <c r="M24" i="12"/>
  <c r="I24" i="12"/>
  <c r="J24" i="12" s="1"/>
  <c r="H24" i="12"/>
  <c r="F24" i="12"/>
  <c r="F32" i="12" s="1"/>
  <c r="E24" i="12"/>
  <c r="E32" i="12" s="1"/>
  <c r="B24" i="12"/>
  <c r="L22" i="12"/>
  <c r="I21" i="12"/>
  <c r="H21" i="12"/>
  <c r="I20" i="12"/>
  <c r="H20" i="12"/>
  <c r="I19" i="12"/>
  <c r="H19" i="12"/>
  <c r="N18" i="12"/>
  <c r="M18" i="12"/>
  <c r="I18" i="12"/>
  <c r="J18" i="12" s="1"/>
  <c r="K18" i="12" s="1"/>
  <c r="O18" i="12" s="1"/>
  <c r="P18" i="12" s="1"/>
  <c r="H18" i="12"/>
  <c r="F18" i="12"/>
  <c r="E18" i="12"/>
  <c r="B18" i="12"/>
  <c r="I17" i="12"/>
  <c r="H17" i="12"/>
  <c r="I16" i="12"/>
  <c r="H16" i="12"/>
  <c r="I15" i="12"/>
  <c r="H15" i="12"/>
  <c r="N14" i="12"/>
  <c r="M14" i="12"/>
  <c r="I14" i="12"/>
  <c r="J14" i="12" s="1"/>
  <c r="H14" i="12"/>
  <c r="F14" i="12"/>
  <c r="F22" i="12" s="1"/>
  <c r="E14" i="12"/>
  <c r="E22" i="12" s="1"/>
  <c r="B14" i="12"/>
  <c r="L12" i="12"/>
  <c r="F12" i="12"/>
  <c r="E12" i="12"/>
  <c r="I11" i="12"/>
  <c r="H11" i="12"/>
  <c r="I10" i="12"/>
  <c r="H10" i="12"/>
  <c r="H9" i="12"/>
  <c r="N8" i="12"/>
  <c r="M8" i="12"/>
  <c r="I8" i="12"/>
  <c r="J8" i="12" s="1"/>
  <c r="K8" i="12" s="1"/>
  <c r="O8" i="12" s="1"/>
  <c r="P8" i="12" s="1"/>
  <c r="H8" i="12"/>
  <c r="B8" i="12"/>
  <c r="I7" i="12"/>
  <c r="H7" i="12"/>
  <c r="I6" i="12"/>
  <c r="H6" i="12"/>
  <c r="H5" i="12"/>
  <c r="N4" i="12"/>
  <c r="M4" i="12"/>
  <c r="I4" i="12"/>
  <c r="J4" i="12" s="1"/>
  <c r="H4" i="12"/>
  <c r="B4" i="12"/>
  <c r="L52" i="11"/>
  <c r="I51" i="11"/>
  <c r="H51" i="11"/>
  <c r="I50" i="11"/>
  <c r="H50" i="11"/>
  <c r="H49" i="11"/>
  <c r="N48" i="11"/>
  <c r="M48" i="11"/>
  <c r="I48" i="11"/>
  <c r="J48" i="11" s="1"/>
  <c r="K48" i="11" s="1"/>
  <c r="O48" i="11" s="1"/>
  <c r="P48" i="11" s="1"/>
  <c r="H48" i="11"/>
  <c r="F48" i="11"/>
  <c r="E48" i="11"/>
  <c r="B48" i="11"/>
  <c r="I47" i="11"/>
  <c r="H47" i="11"/>
  <c r="I46" i="11"/>
  <c r="H46" i="11"/>
  <c r="H45" i="11"/>
  <c r="N44" i="11"/>
  <c r="M44" i="11"/>
  <c r="I44" i="11"/>
  <c r="J44" i="11" s="1"/>
  <c r="H44" i="11"/>
  <c r="F44" i="11"/>
  <c r="F52" i="11" s="1"/>
  <c r="E44" i="11"/>
  <c r="E52" i="11" s="1"/>
  <c r="B44" i="11"/>
  <c r="L42" i="11"/>
  <c r="I41" i="11"/>
  <c r="H41" i="11"/>
  <c r="I40" i="11"/>
  <c r="H40" i="11"/>
  <c r="I39" i="11"/>
  <c r="H39" i="11"/>
  <c r="N38" i="11"/>
  <c r="M38" i="11"/>
  <c r="I38" i="11"/>
  <c r="J38" i="11" s="1"/>
  <c r="K38" i="11" s="1"/>
  <c r="O38" i="11" s="1"/>
  <c r="P38" i="11" s="1"/>
  <c r="H38" i="11"/>
  <c r="F38" i="11"/>
  <c r="E38" i="11"/>
  <c r="B38" i="11"/>
  <c r="I37" i="11"/>
  <c r="H37" i="11"/>
  <c r="I36" i="11"/>
  <c r="H36" i="11"/>
  <c r="I35" i="11"/>
  <c r="H35" i="11"/>
  <c r="N34" i="11"/>
  <c r="M34" i="11"/>
  <c r="I34" i="11"/>
  <c r="J34" i="11" s="1"/>
  <c r="H34" i="11"/>
  <c r="F34" i="11"/>
  <c r="F42" i="11" s="1"/>
  <c r="E34" i="11"/>
  <c r="E42" i="11" s="1"/>
  <c r="B34" i="11"/>
  <c r="L32" i="11"/>
  <c r="I31" i="11"/>
  <c r="H31" i="11"/>
  <c r="I30" i="11"/>
  <c r="H30" i="11"/>
  <c r="H29" i="11"/>
  <c r="N28" i="11"/>
  <c r="M28" i="11"/>
  <c r="I28" i="11"/>
  <c r="J28" i="11" s="1"/>
  <c r="K28" i="11" s="1"/>
  <c r="O28" i="11" s="1"/>
  <c r="P28" i="11" s="1"/>
  <c r="H28" i="11"/>
  <c r="F28" i="11"/>
  <c r="E28" i="11"/>
  <c r="B28" i="11"/>
  <c r="I27" i="11"/>
  <c r="H27" i="11"/>
  <c r="I26" i="11"/>
  <c r="H26" i="11"/>
  <c r="H25" i="11"/>
  <c r="N24" i="11"/>
  <c r="M24" i="11"/>
  <c r="I24" i="11"/>
  <c r="J24" i="11" s="1"/>
  <c r="H24" i="11"/>
  <c r="F24" i="11"/>
  <c r="F32" i="11" s="1"/>
  <c r="E24" i="11"/>
  <c r="E32" i="11" s="1"/>
  <c r="B24" i="11"/>
  <c r="L22" i="11"/>
  <c r="I21" i="11"/>
  <c r="H21" i="11"/>
  <c r="I20" i="11"/>
  <c r="H20" i="11"/>
  <c r="I19" i="11"/>
  <c r="H19" i="11"/>
  <c r="N18" i="11"/>
  <c r="M18" i="11"/>
  <c r="I18" i="11"/>
  <c r="J18" i="11" s="1"/>
  <c r="K18" i="11" s="1"/>
  <c r="O18" i="11" s="1"/>
  <c r="P18" i="11" s="1"/>
  <c r="H18" i="11"/>
  <c r="F18" i="11"/>
  <c r="E18" i="11"/>
  <c r="B18" i="11"/>
  <c r="I17" i="11"/>
  <c r="H17" i="11"/>
  <c r="I16" i="11"/>
  <c r="H16" i="11"/>
  <c r="I15" i="11"/>
  <c r="H15" i="11"/>
  <c r="N14" i="11"/>
  <c r="M14" i="11"/>
  <c r="I14" i="11"/>
  <c r="J14" i="11" s="1"/>
  <c r="H14" i="11"/>
  <c r="F14" i="11"/>
  <c r="F22" i="11" s="1"/>
  <c r="E14" i="11"/>
  <c r="E22" i="11" s="1"/>
  <c r="B14" i="11"/>
  <c r="L12" i="11"/>
  <c r="F12" i="11"/>
  <c r="E12" i="11"/>
  <c r="I11" i="11"/>
  <c r="H11" i="11"/>
  <c r="I10" i="11"/>
  <c r="H10" i="11"/>
  <c r="H9" i="11"/>
  <c r="N8" i="11"/>
  <c r="M8" i="11"/>
  <c r="I8" i="11"/>
  <c r="J8" i="11" s="1"/>
  <c r="K8" i="11" s="1"/>
  <c r="O8" i="11" s="1"/>
  <c r="P8" i="11" s="1"/>
  <c r="H8" i="11"/>
  <c r="B8" i="11"/>
  <c r="I7" i="11"/>
  <c r="H7" i="11"/>
  <c r="I6" i="11"/>
  <c r="H6" i="11"/>
  <c r="H5" i="11"/>
  <c r="N4" i="11"/>
  <c r="M4" i="11"/>
  <c r="I4" i="11"/>
  <c r="J4" i="11" s="1"/>
  <c r="H4" i="11"/>
  <c r="B4" i="11"/>
  <c r="F18" i="10"/>
  <c r="G18" i="10" s="1"/>
  <c r="F17" i="10"/>
  <c r="G17" i="10" s="1"/>
  <c r="F16" i="10"/>
  <c r="G16" i="10" s="1"/>
  <c r="F15" i="10"/>
  <c r="G15" i="10" s="1"/>
  <c r="F14" i="10"/>
  <c r="G14" i="10" s="1"/>
  <c r="F13" i="10"/>
  <c r="G13" i="10" s="1"/>
  <c r="F12" i="10"/>
  <c r="G12" i="10" s="1"/>
  <c r="F11" i="10"/>
  <c r="G11" i="10" s="1"/>
  <c r="F10" i="10"/>
  <c r="G10" i="10" s="1"/>
  <c r="F9" i="10"/>
  <c r="G9" i="10" s="1"/>
  <c r="F8" i="10"/>
  <c r="G8" i="10" s="1"/>
  <c r="F7" i="10"/>
  <c r="G7" i="10" s="1"/>
  <c r="F6" i="10"/>
  <c r="G6" i="10" s="1"/>
  <c r="F5" i="10"/>
  <c r="G5" i="10" s="1"/>
  <c r="F4" i="10"/>
  <c r="I15" i="9"/>
  <c r="J15" i="9" s="1"/>
  <c r="I14" i="9"/>
  <c r="J14" i="9" s="1"/>
  <c r="I13" i="9"/>
  <c r="J13" i="9" s="1"/>
  <c r="B13" i="9"/>
  <c r="A12" i="9"/>
  <c r="I11" i="9"/>
  <c r="J11" i="9" s="1"/>
  <c r="I10" i="9"/>
  <c r="J10" i="9" s="1"/>
  <c r="I9" i="9"/>
  <c r="J9" i="9" s="1"/>
  <c r="B9" i="9"/>
  <c r="A8" i="9"/>
  <c r="I7" i="9"/>
  <c r="J7" i="9" s="1"/>
  <c r="I6" i="9"/>
  <c r="J6" i="9" s="1"/>
  <c r="I5" i="9"/>
  <c r="B5" i="9"/>
  <c r="A4" i="9"/>
  <c r="C2" i="8"/>
  <c r="G81" i="6"/>
  <c r="F81" i="6"/>
  <c r="B64" i="6"/>
  <c r="A60" i="6"/>
  <c r="A59" i="6"/>
  <c r="G55" i="6"/>
  <c r="F55" i="6"/>
  <c r="B38" i="6"/>
  <c r="A34" i="6"/>
  <c r="A33" i="6"/>
  <c r="G29" i="6"/>
  <c r="F29" i="6"/>
  <c r="B12" i="6"/>
  <c r="A8" i="6"/>
  <c r="A7" i="6"/>
  <c r="H3" i="6"/>
  <c r="A25" i="10" s="1"/>
  <c r="K18" i="3"/>
  <c r="J18" i="3"/>
  <c r="I18" i="3"/>
  <c r="H18" i="3"/>
  <c r="K17" i="3"/>
  <c r="J17" i="3"/>
  <c r="I17" i="3"/>
  <c r="H17" i="3"/>
  <c r="K16" i="3"/>
  <c r="J16" i="3"/>
  <c r="I16" i="3"/>
  <c r="H16" i="3"/>
  <c r="K15" i="3"/>
  <c r="J15" i="3"/>
  <c r="I15" i="3"/>
  <c r="H15" i="3"/>
  <c r="K14" i="3"/>
  <c r="J14" i="3"/>
  <c r="I14" i="3"/>
  <c r="H14" i="3"/>
  <c r="K13" i="3"/>
  <c r="J13" i="3"/>
  <c r="I13" i="3"/>
  <c r="H13" i="3"/>
  <c r="K12" i="3"/>
  <c r="J12" i="3"/>
  <c r="I12" i="3"/>
  <c r="H12" i="3"/>
  <c r="K11" i="3"/>
  <c r="J11" i="3"/>
  <c r="I11" i="3"/>
  <c r="H11" i="3"/>
  <c r="K10" i="3"/>
  <c r="J10" i="3"/>
  <c r="I10" i="3"/>
  <c r="H10" i="3"/>
  <c r="I9" i="3"/>
  <c r="H9" i="3"/>
  <c r="B12" i="2"/>
  <c r="L65" i="25"/>
  <c r="L64" i="25"/>
  <c r="L63" i="25"/>
  <c r="L62" i="25"/>
  <c r="L61" i="25"/>
  <c r="L60" i="25"/>
  <c r="B54" i="25"/>
  <c r="B53" i="25"/>
  <c r="B52" i="25"/>
  <c r="E43" i="25"/>
  <c r="E52" i="25" s="1"/>
  <c r="P42" i="25"/>
  <c r="O42" i="25"/>
  <c r="N42" i="25"/>
  <c r="M42" i="25"/>
  <c r="L42" i="25"/>
  <c r="Q41" i="25"/>
  <c r="P41" i="25"/>
  <c r="O41" i="25"/>
  <c r="N41" i="25"/>
  <c r="M41" i="25"/>
  <c r="L41" i="25"/>
  <c r="Q40" i="25"/>
  <c r="P40" i="25"/>
  <c r="O40" i="25"/>
  <c r="N40" i="25"/>
  <c r="M40" i="25"/>
  <c r="L40" i="25"/>
  <c r="Q39" i="25"/>
  <c r="P39" i="25"/>
  <c r="O39" i="25"/>
  <c r="N39" i="25"/>
  <c r="M39" i="25"/>
  <c r="L39" i="25"/>
  <c r="Q38" i="25"/>
  <c r="P38" i="25"/>
  <c r="O38" i="25"/>
  <c r="N38" i="25"/>
  <c r="M38" i="25"/>
  <c r="L38" i="25"/>
  <c r="Q36" i="25"/>
  <c r="P36" i="25"/>
  <c r="O36" i="25"/>
  <c r="N36" i="25"/>
  <c r="M36" i="25"/>
  <c r="L36" i="25"/>
  <c r="Q35" i="25"/>
  <c r="P35" i="25"/>
  <c r="O35" i="25"/>
  <c r="N35" i="25"/>
  <c r="M35" i="25"/>
  <c r="L35" i="25"/>
  <c r="Q34" i="25"/>
  <c r="P34" i="25"/>
  <c r="O34" i="25"/>
  <c r="N34" i="25"/>
  <c r="M34" i="25"/>
  <c r="L34" i="25"/>
  <c r="Q33" i="25"/>
  <c r="P33" i="25"/>
  <c r="O33" i="25"/>
  <c r="N33" i="25"/>
  <c r="M33" i="25"/>
  <c r="L33" i="25"/>
  <c r="Q32" i="25"/>
  <c r="P32" i="25"/>
  <c r="O32" i="25"/>
  <c r="N32" i="25"/>
  <c r="M32" i="25"/>
  <c r="L32" i="25"/>
  <c r="Q30" i="25"/>
  <c r="P30" i="25"/>
  <c r="O30" i="25"/>
  <c r="N30" i="25"/>
  <c r="M30" i="25"/>
  <c r="L30" i="25"/>
  <c r="Q28" i="25"/>
  <c r="P28" i="25"/>
  <c r="O28" i="25"/>
  <c r="N28" i="25"/>
  <c r="M28" i="25"/>
  <c r="L28" i="25"/>
  <c r="Q26" i="25"/>
  <c r="P26" i="25"/>
  <c r="O26" i="25"/>
  <c r="N26" i="25"/>
  <c r="M26" i="25"/>
  <c r="L26" i="25"/>
  <c r="Q25" i="25"/>
  <c r="P25" i="25"/>
  <c r="O25" i="25"/>
  <c r="N25" i="25"/>
  <c r="M25" i="25"/>
  <c r="L25" i="25"/>
  <c r="Q24" i="25"/>
  <c r="P24" i="25"/>
  <c r="O24" i="25"/>
  <c r="N24" i="25"/>
  <c r="M24" i="25"/>
  <c r="L24" i="25"/>
  <c r="Q23" i="25"/>
  <c r="P23" i="25"/>
  <c r="O23" i="25"/>
  <c r="N23" i="25"/>
  <c r="M23" i="25"/>
  <c r="L23" i="25"/>
  <c r="Q22" i="25"/>
  <c r="P22" i="25"/>
  <c r="O22" i="25"/>
  <c r="N22" i="25"/>
  <c r="M22" i="25"/>
  <c r="L22" i="25"/>
  <c r="Q21" i="25"/>
  <c r="P21" i="25"/>
  <c r="O21" i="25"/>
  <c r="N21" i="25"/>
  <c r="M21" i="25"/>
  <c r="L21" i="25"/>
  <c r="Q19" i="25"/>
  <c r="P19" i="25"/>
  <c r="O19" i="25"/>
  <c r="N19" i="25"/>
  <c r="M19" i="25"/>
  <c r="L19" i="25"/>
  <c r="Q18" i="25"/>
  <c r="O18" i="25"/>
  <c r="N18" i="25"/>
  <c r="M18" i="25"/>
  <c r="L18" i="25"/>
  <c r="J18" i="25"/>
  <c r="P18" i="25" s="1"/>
  <c r="Q17" i="25"/>
  <c r="O17" i="25"/>
  <c r="N17" i="25"/>
  <c r="M17" i="25"/>
  <c r="L17" i="25"/>
  <c r="J17" i="25"/>
  <c r="P17" i="25" s="1"/>
  <c r="Q16" i="25"/>
  <c r="Q43" i="25" s="1"/>
  <c r="Q44" i="25" s="1"/>
  <c r="O16" i="25"/>
  <c r="O43" i="25" s="1"/>
  <c r="O44" i="25" s="1"/>
  <c r="O45" i="25" s="1"/>
  <c r="G62" i="25" s="1"/>
  <c r="F62" i="25" s="1"/>
  <c r="N16" i="25"/>
  <c r="N43" i="25" s="1"/>
  <c r="N44" i="25" s="1"/>
  <c r="N45" i="25" s="1"/>
  <c r="G61" i="25" s="1"/>
  <c r="F61" i="25" s="1"/>
  <c r="F63" i="25" s="1"/>
  <c r="F52" i="25" s="1"/>
  <c r="M16" i="25"/>
  <c r="M43" i="25" s="1"/>
  <c r="M44" i="25" s="1"/>
  <c r="M45" i="25" s="1"/>
  <c r="C62" i="25" s="1"/>
  <c r="B62" i="25" s="1"/>
  <c r="L16" i="25"/>
  <c r="L43" i="25" s="1"/>
  <c r="L44" i="25" s="1"/>
  <c r="L45" i="25" s="1"/>
  <c r="C61" i="25" s="1"/>
  <c r="B61" i="25" s="1"/>
  <c r="B63" i="25" s="1"/>
  <c r="J16" i="25"/>
  <c r="P16" i="25" s="1"/>
  <c r="P43" i="25" s="1"/>
  <c r="P44" i="25" s="1"/>
  <c r="P45" i="25" s="1"/>
  <c r="D52" i="25" l="1"/>
  <c r="Q45" i="25"/>
  <c r="K25" i="10"/>
  <c r="J25" i="10"/>
  <c r="I25" i="10"/>
  <c r="H25" i="10"/>
  <c r="G25" i="10"/>
  <c r="L25" i="10" s="1"/>
  <c r="E25" i="10"/>
  <c r="C7" i="9"/>
  <c r="C6" i="9"/>
  <c r="C5" i="9"/>
  <c r="C11" i="9"/>
  <c r="C10" i="9"/>
  <c r="C9" i="9"/>
  <c r="C15" i="9"/>
  <c r="C14" i="9"/>
  <c r="C13" i="9"/>
  <c r="I16" i="9"/>
  <c r="J5" i="9"/>
  <c r="J16" i="9" s="1"/>
  <c r="F19" i="10"/>
  <c r="G4" i="10"/>
  <c r="H5" i="10"/>
  <c r="H6" i="10"/>
  <c r="H7" i="10"/>
  <c r="H8" i="10"/>
  <c r="H9" i="10"/>
  <c r="H10" i="10"/>
  <c r="H11" i="10"/>
  <c r="H12" i="10"/>
  <c r="H13" i="10"/>
  <c r="H14" i="10"/>
  <c r="H15" i="10"/>
  <c r="H16" i="10"/>
  <c r="H17" i="10"/>
  <c r="H18" i="10"/>
  <c r="J12" i="11"/>
  <c r="K4" i="11"/>
  <c r="J22" i="11"/>
  <c r="K14" i="11"/>
  <c r="J32" i="11"/>
  <c r="K24" i="11"/>
  <c r="J42" i="11"/>
  <c r="K34" i="11"/>
  <c r="J52" i="11"/>
  <c r="K44" i="11"/>
  <c r="J12" i="12"/>
  <c r="K4" i="12"/>
  <c r="J22" i="12"/>
  <c r="K14" i="12"/>
  <c r="J32" i="12"/>
  <c r="K24" i="12"/>
  <c r="J42" i="12"/>
  <c r="K34" i="12"/>
  <c r="J52" i="12"/>
  <c r="K44" i="12"/>
  <c r="J28" i="13"/>
  <c r="K4" i="13"/>
  <c r="E56" i="13"/>
  <c r="E54" i="13"/>
  <c r="F56" i="13"/>
  <c r="F54" i="13"/>
  <c r="J54" i="13"/>
  <c r="K30" i="13"/>
  <c r="J56" i="13"/>
  <c r="J60" i="13"/>
  <c r="K60" i="13" s="1"/>
  <c r="O60" i="13" s="1"/>
  <c r="P60" i="13" s="1"/>
  <c r="J64" i="13"/>
  <c r="K64" i="13" s="1"/>
  <c r="O64" i="13" s="1"/>
  <c r="P64" i="13" s="1"/>
  <c r="J68" i="13"/>
  <c r="K68" i="13" s="1"/>
  <c r="O68" i="13" s="1"/>
  <c r="P68" i="13" s="1"/>
  <c r="J72" i="13"/>
  <c r="K72" i="13" s="1"/>
  <c r="O72" i="13" s="1"/>
  <c r="P72" i="13" s="1"/>
  <c r="J76" i="13"/>
  <c r="K76" i="13" s="1"/>
  <c r="O76" i="13" s="1"/>
  <c r="P76" i="13" s="1"/>
  <c r="J82" i="13"/>
  <c r="J86" i="13"/>
  <c r="K86" i="13" s="1"/>
  <c r="O86" i="13" s="1"/>
  <c r="P86" i="13" s="1"/>
  <c r="J90" i="13"/>
  <c r="K90" i="13" s="1"/>
  <c r="O90" i="13" s="1"/>
  <c r="P90" i="13" s="1"/>
  <c r="J94" i="13"/>
  <c r="K94" i="13" s="1"/>
  <c r="O94" i="13" s="1"/>
  <c r="P94" i="13" s="1"/>
  <c r="J98" i="13"/>
  <c r="K98" i="13" s="1"/>
  <c r="O98" i="13" s="1"/>
  <c r="P98" i="13" s="1"/>
  <c r="J102" i="13"/>
  <c r="K102" i="13" s="1"/>
  <c r="O102" i="13" s="1"/>
  <c r="P102" i="13" s="1"/>
  <c r="J108" i="13"/>
  <c r="J112" i="13"/>
  <c r="K112" i="13" s="1"/>
  <c r="O112" i="13" s="1"/>
  <c r="P112" i="13" s="1"/>
  <c r="J116" i="13"/>
  <c r="K116" i="13" s="1"/>
  <c r="O116" i="13" s="1"/>
  <c r="P116" i="13" s="1"/>
  <c r="J120" i="13"/>
  <c r="K120" i="13" s="1"/>
  <c r="O120" i="13" s="1"/>
  <c r="P120" i="13" s="1"/>
  <c r="J124" i="13"/>
  <c r="K124" i="13" s="1"/>
  <c r="O124" i="13" s="1"/>
  <c r="P124" i="13" s="1"/>
  <c r="J128" i="13"/>
  <c r="K128" i="13" s="1"/>
  <c r="O128" i="13" s="1"/>
  <c r="P128" i="13" s="1"/>
  <c r="J28" i="14"/>
  <c r="K4" i="14"/>
  <c r="E56" i="14"/>
  <c r="E54" i="14"/>
  <c r="F56" i="14"/>
  <c r="F54" i="14"/>
  <c r="J54" i="14"/>
  <c r="K30" i="14"/>
  <c r="J56" i="14"/>
  <c r="J60" i="14"/>
  <c r="K60" i="14" s="1"/>
  <c r="O60" i="14" s="1"/>
  <c r="P60" i="14" s="1"/>
  <c r="J64" i="14"/>
  <c r="K64" i="14" s="1"/>
  <c r="O64" i="14" s="1"/>
  <c r="P64" i="14" s="1"/>
  <c r="J68" i="14"/>
  <c r="K68" i="14" s="1"/>
  <c r="O68" i="14" s="1"/>
  <c r="P68" i="14" s="1"/>
  <c r="J72" i="14"/>
  <c r="K72" i="14" s="1"/>
  <c r="O72" i="14" s="1"/>
  <c r="P72" i="14" s="1"/>
  <c r="J76" i="14"/>
  <c r="K76" i="14" s="1"/>
  <c r="O76" i="14" s="1"/>
  <c r="P76" i="14" s="1"/>
  <c r="J82" i="14"/>
  <c r="J86" i="14"/>
  <c r="K86" i="14" s="1"/>
  <c r="O86" i="14" s="1"/>
  <c r="P86" i="14" s="1"/>
  <c r="J90" i="14"/>
  <c r="K90" i="14" s="1"/>
  <c r="O90" i="14" s="1"/>
  <c r="P90" i="14" s="1"/>
  <c r="J94" i="14"/>
  <c r="K94" i="14" s="1"/>
  <c r="O94" i="14" s="1"/>
  <c r="P94" i="14" s="1"/>
  <c r="J98" i="14"/>
  <c r="K98" i="14" s="1"/>
  <c r="O98" i="14" s="1"/>
  <c r="P98" i="14" s="1"/>
  <c r="J102" i="14"/>
  <c r="K102" i="14" s="1"/>
  <c r="O102" i="14" s="1"/>
  <c r="P102" i="14" s="1"/>
  <c r="J108" i="14"/>
  <c r="J112" i="14"/>
  <c r="K112" i="14" s="1"/>
  <c r="O112" i="14" s="1"/>
  <c r="P112" i="14" s="1"/>
  <c r="J116" i="14"/>
  <c r="K116" i="14" s="1"/>
  <c r="O116" i="14" s="1"/>
  <c r="P116" i="14" s="1"/>
  <c r="J120" i="14"/>
  <c r="K120" i="14" s="1"/>
  <c r="O120" i="14" s="1"/>
  <c r="P120" i="14" s="1"/>
  <c r="J124" i="14"/>
  <c r="K124" i="14" s="1"/>
  <c r="O124" i="14" s="1"/>
  <c r="P124" i="14" s="1"/>
  <c r="J128" i="14"/>
  <c r="K128" i="14" s="1"/>
  <c r="O128" i="14" s="1"/>
  <c r="P128" i="14" s="1"/>
  <c r="J28" i="15"/>
  <c r="K4" i="15"/>
  <c r="E56" i="15"/>
  <c r="E54" i="15"/>
  <c r="F56" i="15"/>
  <c r="F54" i="15"/>
  <c r="J54" i="15"/>
  <c r="K30" i="15"/>
  <c r="J56" i="15"/>
  <c r="J60" i="15"/>
  <c r="K60" i="15" s="1"/>
  <c r="O60" i="15" s="1"/>
  <c r="P60" i="15" s="1"/>
  <c r="J64" i="15"/>
  <c r="K64" i="15" s="1"/>
  <c r="O64" i="15" s="1"/>
  <c r="P64" i="15" s="1"/>
  <c r="J68" i="15"/>
  <c r="K68" i="15" s="1"/>
  <c r="O68" i="15" s="1"/>
  <c r="P68" i="15" s="1"/>
  <c r="J72" i="15"/>
  <c r="K72" i="15" s="1"/>
  <c r="O72" i="15" s="1"/>
  <c r="P72" i="15" s="1"/>
  <c r="J76" i="15"/>
  <c r="K76" i="15" s="1"/>
  <c r="O76" i="15" s="1"/>
  <c r="P76" i="15" s="1"/>
  <c r="J82" i="15"/>
  <c r="J86" i="15"/>
  <c r="K86" i="15" s="1"/>
  <c r="O86" i="15" s="1"/>
  <c r="P86" i="15" s="1"/>
  <c r="J90" i="15"/>
  <c r="K90" i="15" s="1"/>
  <c r="O90" i="15" s="1"/>
  <c r="P90" i="15" s="1"/>
  <c r="J94" i="15"/>
  <c r="K94" i="15" s="1"/>
  <c r="O94" i="15" s="1"/>
  <c r="P94" i="15" s="1"/>
  <c r="J98" i="15"/>
  <c r="K98" i="15" s="1"/>
  <c r="O98" i="15" s="1"/>
  <c r="P98" i="15" s="1"/>
  <c r="J102" i="15"/>
  <c r="K102" i="15" s="1"/>
  <c r="O102" i="15" s="1"/>
  <c r="P102" i="15" s="1"/>
  <c r="J108" i="15"/>
  <c r="J112" i="15"/>
  <c r="K112" i="15" s="1"/>
  <c r="O112" i="15" s="1"/>
  <c r="P112" i="15" s="1"/>
  <c r="J116" i="15"/>
  <c r="K116" i="15" s="1"/>
  <c r="O116" i="15" s="1"/>
  <c r="P116" i="15" s="1"/>
  <c r="J120" i="15"/>
  <c r="K120" i="15" s="1"/>
  <c r="O120" i="15" s="1"/>
  <c r="P120" i="15" s="1"/>
  <c r="J124" i="15"/>
  <c r="K124" i="15" s="1"/>
  <c r="O124" i="15" s="1"/>
  <c r="P124" i="15" s="1"/>
  <c r="J128" i="15"/>
  <c r="K128" i="15" s="1"/>
  <c r="O128" i="15" s="1"/>
  <c r="P128" i="15" s="1"/>
  <c r="J28" i="16"/>
  <c r="K4" i="16"/>
  <c r="E56" i="16"/>
  <c r="E54" i="16"/>
  <c r="F56" i="16"/>
  <c r="F54" i="16"/>
  <c r="J54" i="16"/>
  <c r="K30" i="16"/>
  <c r="J56" i="16"/>
  <c r="J60" i="16"/>
  <c r="K60" i="16" s="1"/>
  <c r="O60" i="16" s="1"/>
  <c r="P60" i="16" s="1"/>
  <c r="J64" i="16"/>
  <c r="K64" i="16" s="1"/>
  <c r="O64" i="16" s="1"/>
  <c r="P64" i="16" s="1"/>
  <c r="J68" i="16"/>
  <c r="K68" i="16" s="1"/>
  <c r="O68" i="16" s="1"/>
  <c r="P68" i="16" s="1"/>
  <c r="J72" i="16"/>
  <c r="K72" i="16" s="1"/>
  <c r="O72" i="16" s="1"/>
  <c r="P72" i="16" s="1"/>
  <c r="J76" i="16"/>
  <c r="K76" i="16" s="1"/>
  <c r="O76" i="16" s="1"/>
  <c r="P76" i="16" s="1"/>
  <c r="J82" i="16"/>
  <c r="J86" i="16"/>
  <c r="K86" i="16" s="1"/>
  <c r="O86" i="16" s="1"/>
  <c r="P86" i="16" s="1"/>
  <c r="J90" i="16"/>
  <c r="K90" i="16" s="1"/>
  <c r="O90" i="16" s="1"/>
  <c r="P90" i="16" s="1"/>
  <c r="J94" i="16"/>
  <c r="K94" i="16" s="1"/>
  <c r="O94" i="16" s="1"/>
  <c r="P94" i="16" s="1"/>
  <c r="J98" i="16"/>
  <c r="K98" i="16" s="1"/>
  <c r="O98" i="16" s="1"/>
  <c r="P98" i="16" s="1"/>
  <c r="J102" i="16"/>
  <c r="K102" i="16" s="1"/>
  <c r="O102" i="16" s="1"/>
  <c r="P102" i="16" s="1"/>
  <c r="J108" i="16"/>
  <c r="J112" i="16"/>
  <c r="K112" i="16" s="1"/>
  <c r="O112" i="16" s="1"/>
  <c r="P112" i="16" s="1"/>
  <c r="J116" i="16"/>
  <c r="K116" i="16" s="1"/>
  <c r="O116" i="16" s="1"/>
  <c r="P116" i="16" s="1"/>
  <c r="J120" i="16"/>
  <c r="K120" i="16" s="1"/>
  <c r="O120" i="16" s="1"/>
  <c r="P120" i="16" s="1"/>
  <c r="J124" i="16"/>
  <c r="K124" i="16" s="1"/>
  <c r="O124" i="16" s="1"/>
  <c r="P124" i="16" s="1"/>
  <c r="J128" i="16"/>
  <c r="K128" i="16" s="1"/>
  <c r="O128" i="16" s="1"/>
  <c r="P128" i="16" s="1"/>
  <c r="D34" i="18"/>
  <c r="Q27" i="18"/>
  <c r="D34" i="19"/>
  <c r="Q27" i="19"/>
  <c r="D41" i="20"/>
  <c r="Q34" i="20"/>
  <c r="D52" i="21"/>
  <c r="Q45" i="21"/>
  <c r="D52" i="22"/>
  <c r="Q45" i="22"/>
  <c r="D52" i="23"/>
  <c r="Q45" i="23"/>
  <c r="D52" i="24"/>
  <c r="Q45" i="24"/>
  <c r="J132" i="16" l="1"/>
  <c r="K108" i="16"/>
  <c r="J106" i="16"/>
  <c r="K82" i="16"/>
  <c r="J80" i="16"/>
  <c r="K56" i="16"/>
  <c r="K54" i="16"/>
  <c r="O30" i="16"/>
  <c r="F82" i="16"/>
  <c r="F80" i="16"/>
  <c r="E82" i="16"/>
  <c r="E80" i="16"/>
  <c r="K28" i="16"/>
  <c r="O4" i="16"/>
  <c r="J132" i="15"/>
  <c r="K108" i="15"/>
  <c r="J106" i="15"/>
  <c r="K82" i="15"/>
  <c r="J80" i="15"/>
  <c r="K56" i="15"/>
  <c r="K54" i="15"/>
  <c r="O30" i="15"/>
  <c r="F82" i="15"/>
  <c r="F80" i="15"/>
  <c r="E82" i="15"/>
  <c r="E80" i="15"/>
  <c r="K28" i="15"/>
  <c r="O4" i="15"/>
  <c r="J132" i="14"/>
  <c r="K108" i="14"/>
  <c r="J106" i="14"/>
  <c r="K82" i="14"/>
  <c r="J80" i="14"/>
  <c r="K56" i="14"/>
  <c r="K54" i="14"/>
  <c r="O30" i="14"/>
  <c r="F82" i="14"/>
  <c r="F80" i="14"/>
  <c r="E82" i="14"/>
  <c r="E80" i="14"/>
  <c r="K28" i="14"/>
  <c r="O4" i="14"/>
  <c r="J132" i="13"/>
  <c r="K108" i="13"/>
  <c r="J106" i="13"/>
  <c r="K82" i="13"/>
  <c r="J80" i="13"/>
  <c r="K56" i="13"/>
  <c r="K54" i="13"/>
  <c r="O30" i="13"/>
  <c r="F82" i="13"/>
  <c r="F80" i="13"/>
  <c r="E82" i="13"/>
  <c r="E80" i="13"/>
  <c r="K28" i="13"/>
  <c r="O4" i="13"/>
  <c r="K52" i="12"/>
  <c r="O44" i="12"/>
  <c r="K42" i="12"/>
  <c r="O34" i="12"/>
  <c r="K32" i="12"/>
  <c r="O24" i="12"/>
  <c r="K22" i="12"/>
  <c r="O14" i="12"/>
  <c r="K12" i="12"/>
  <c r="O4" i="12"/>
  <c r="K52" i="11"/>
  <c r="O44" i="11"/>
  <c r="K42" i="11"/>
  <c r="O34" i="11"/>
  <c r="K32" i="11"/>
  <c r="O24" i="11"/>
  <c r="K22" i="11"/>
  <c r="O14" i="11"/>
  <c r="K12" i="11"/>
  <c r="O4" i="11"/>
  <c r="I18" i="10"/>
  <c r="J18" i="10" s="1"/>
  <c r="K18" i="10" s="1"/>
  <c r="L18" i="10"/>
  <c r="I17" i="10"/>
  <c r="J17" i="10" s="1"/>
  <c r="K17" i="10" s="1"/>
  <c r="L17" i="10"/>
  <c r="I16" i="10"/>
  <c r="J16" i="10" s="1"/>
  <c r="K16" i="10" s="1"/>
  <c r="L16" i="10"/>
  <c r="I15" i="10"/>
  <c r="J15" i="10" s="1"/>
  <c r="K15" i="10" s="1"/>
  <c r="L15" i="10"/>
  <c r="I14" i="10"/>
  <c r="J14" i="10" s="1"/>
  <c r="K14" i="10" s="1"/>
  <c r="L14" i="10"/>
  <c r="I13" i="10"/>
  <c r="J13" i="10" s="1"/>
  <c r="K13" i="10" s="1"/>
  <c r="L13" i="10"/>
  <c r="I12" i="10"/>
  <c r="J12" i="10" s="1"/>
  <c r="K12" i="10" s="1"/>
  <c r="L12" i="10"/>
  <c r="I11" i="10"/>
  <c r="J11" i="10" s="1"/>
  <c r="K11" i="10" s="1"/>
  <c r="L11" i="10"/>
  <c r="I10" i="10"/>
  <c r="J10" i="10" s="1"/>
  <c r="K10" i="10" s="1"/>
  <c r="L10" i="10"/>
  <c r="I9" i="10"/>
  <c r="J9" i="10" s="1"/>
  <c r="K9" i="10" s="1"/>
  <c r="L9" i="10"/>
  <c r="I8" i="10"/>
  <c r="J8" i="10" s="1"/>
  <c r="K8" i="10" s="1"/>
  <c r="L8" i="10"/>
  <c r="I7" i="10"/>
  <c r="J7" i="10" s="1"/>
  <c r="K7" i="10" s="1"/>
  <c r="L7" i="10"/>
  <c r="I6" i="10"/>
  <c r="J6" i="10" s="1"/>
  <c r="K6" i="10" s="1"/>
  <c r="L6" i="10"/>
  <c r="I5" i="10"/>
  <c r="J5" i="10" s="1"/>
  <c r="K5" i="10" s="1"/>
  <c r="L5" i="10"/>
  <c r="G19" i="10"/>
  <c r="C10" i="17" s="1"/>
  <c r="H4" i="10"/>
  <c r="G11" i="17"/>
  <c r="F11" i="17"/>
  <c r="E11" i="17"/>
  <c r="D11" i="17"/>
  <c r="C11" i="17"/>
  <c r="H11" i="17" s="1"/>
  <c r="H19" i="10" l="1"/>
  <c r="D10" i="17" s="1"/>
  <c r="I4" i="10"/>
  <c r="O12" i="11"/>
  <c r="P4" i="11"/>
  <c r="P12" i="11" s="1"/>
  <c r="C4" i="17" s="1"/>
  <c r="O22" i="11"/>
  <c r="P14" i="11"/>
  <c r="P22" i="11" s="1"/>
  <c r="D4" i="17" s="1"/>
  <c r="O32" i="11"/>
  <c r="P24" i="11"/>
  <c r="P32" i="11" s="1"/>
  <c r="E4" i="17" s="1"/>
  <c r="O42" i="11"/>
  <c r="P34" i="11"/>
  <c r="P42" i="11" s="1"/>
  <c r="F4" i="17" s="1"/>
  <c r="O52" i="11"/>
  <c r="P44" i="11"/>
  <c r="P52" i="11" s="1"/>
  <c r="G4" i="17" s="1"/>
  <c r="O12" i="12"/>
  <c r="P4" i="12"/>
  <c r="P12" i="12" s="1"/>
  <c r="C5" i="17" s="1"/>
  <c r="O22" i="12"/>
  <c r="P14" i="12"/>
  <c r="P22" i="12" s="1"/>
  <c r="D5" i="17" s="1"/>
  <c r="O32" i="12"/>
  <c r="P24" i="12"/>
  <c r="P32" i="12" s="1"/>
  <c r="E5" i="17" s="1"/>
  <c r="O42" i="12"/>
  <c r="P34" i="12"/>
  <c r="P42" i="12" s="1"/>
  <c r="F5" i="17" s="1"/>
  <c r="O52" i="12"/>
  <c r="P44" i="12"/>
  <c r="P52" i="12" s="1"/>
  <c r="G5" i="17" s="1"/>
  <c r="O28" i="13"/>
  <c r="P4" i="13"/>
  <c r="P28" i="13" s="1"/>
  <c r="C6" i="17" s="1"/>
  <c r="E108" i="13"/>
  <c r="E132" i="13" s="1"/>
  <c r="E106" i="13"/>
  <c r="F108" i="13"/>
  <c r="F132" i="13" s="1"/>
  <c r="F106" i="13"/>
  <c r="O54" i="13"/>
  <c r="P30" i="13"/>
  <c r="P54" i="13" s="1"/>
  <c r="D6" i="17" s="1"/>
  <c r="K80" i="13"/>
  <c r="O56" i="13"/>
  <c r="K106" i="13"/>
  <c r="O82" i="13"/>
  <c r="K132" i="13"/>
  <c r="O108" i="13"/>
  <c r="O28" i="14"/>
  <c r="P4" i="14"/>
  <c r="P28" i="14" s="1"/>
  <c r="C7" i="17" s="1"/>
  <c r="E108" i="14"/>
  <c r="E132" i="14" s="1"/>
  <c r="E106" i="14"/>
  <c r="F108" i="14"/>
  <c r="F132" i="14" s="1"/>
  <c r="F106" i="14"/>
  <c r="O54" i="14"/>
  <c r="P30" i="14"/>
  <c r="P54" i="14" s="1"/>
  <c r="D7" i="17" s="1"/>
  <c r="K80" i="14"/>
  <c r="O56" i="14"/>
  <c r="K106" i="14"/>
  <c r="O82" i="14"/>
  <c r="K132" i="14"/>
  <c r="O108" i="14"/>
  <c r="O28" i="15"/>
  <c r="P4" i="15"/>
  <c r="P28" i="15" s="1"/>
  <c r="C8" i="17" s="1"/>
  <c r="E128" i="15"/>
  <c r="E108" i="15"/>
  <c r="E132" i="15" s="1"/>
  <c r="E106" i="15"/>
  <c r="F128" i="15"/>
  <c r="F108" i="15"/>
  <c r="F132" i="15" s="1"/>
  <c r="F106" i="15"/>
  <c r="O54" i="15"/>
  <c r="P30" i="15"/>
  <c r="P54" i="15" s="1"/>
  <c r="D8" i="17" s="1"/>
  <c r="K80" i="15"/>
  <c r="O56" i="15"/>
  <c r="K106" i="15"/>
  <c r="O82" i="15"/>
  <c r="K132" i="15"/>
  <c r="O108" i="15"/>
  <c r="O28" i="16"/>
  <c r="P4" i="16"/>
  <c r="P28" i="16" s="1"/>
  <c r="C9" i="17" s="1"/>
  <c r="E108" i="16"/>
  <c r="E132" i="16" s="1"/>
  <c r="E106" i="16"/>
  <c r="F108" i="16"/>
  <c r="F132" i="16" s="1"/>
  <c r="F106" i="16"/>
  <c r="O54" i="16"/>
  <c r="P30" i="16"/>
  <c r="P54" i="16" s="1"/>
  <c r="D9" i="17" s="1"/>
  <c r="K80" i="16"/>
  <c r="O56" i="16"/>
  <c r="K106" i="16"/>
  <c r="O82" i="16"/>
  <c r="K132" i="16"/>
  <c r="O108" i="16"/>
  <c r="O132" i="16" l="1"/>
  <c r="P108" i="16"/>
  <c r="P132" i="16" s="1"/>
  <c r="G9" i="17" s="1"/>
  <c r="O106" i="16"/>
  <c r="P82" i="16"/>
  <c r="P106" i="16" s="1"/>
  <c r="F9" i="17" s="1"/>
  <c r="O80" i="16"/>
  <c r="P56" i="16"/>
  <c r="P80" i="16" s="1"/>
  <c r="E9" i="17" s="1"/>
  <c r="H9" i="17"/>
  <c r="O132" i="15"/>
  <c r="P108" i="15"/>
  <c r="P132" i="15" s="1"/>
  <c r="G8" i="17" s="1"/>
  <c r="O106" i="15"/>
  <c r="P82" i="15"/>
  <c r="P106" i="15" s="1"/>
  <c r="F8" i="17" s="1"/>
  <c r="O80" i="15"/>
  <c r="P56" i="15"/>
  <c r="P80" i="15" s="1"/>
  <c r="E8" i="17" s="1"/>
  <c r="H8" i="17"/>
  <c r="O132" i="14"/>
  <c r="P108" i="14"/>
  <c r="P132" i="14" s="1"/>
  <c r="G7" i="17" s="1"/>
  <c r="O106" i="14"/>
  <c r="P82" i="14"/>
  <c r="P106" i="14" s="1"/>
  <c r="F7" i="17" s="1"/>
  <c r="O80" i="14"/>
  <c r="P56" i="14"/>
  <c r="P80" i="14" s="1"/>
  <c r="E7" i="17" s="1"/>
  <c r="H7" i="17"/>
  <c r="O132" i="13"/>
  <c r="P108" i="13"/>
  <c r="P132" i="13" s="1"/>
  <c r="G6" i="17" s="1"/>
  <c r="O106" i="13"/>
  <c r="P82" i="13"/>
  <c r="P106" i="13" s="1"/>
  <c r="F6" i="17" s="1"/>
  <c r="O80" i="13"/>
  <c r="P56" i="13"/>
  <c r="P80" i="13" s="1"/>
  <c r="E6" i="17" s="1"/>
  <c r="H6" i="17"/>
  <c r="H5" i="17"/>
  <c r="D12" i="17"/>
  <c r="C12" i="17"/>
  <c r="H4" i="17"/>
  <c r="I19" i="10"/>
  <c r="E10" i="17" s="1"/>
  <c r="J4" i="10"/>
  <c r="J19" i="10" l="1"/>
  <c r="F10" i="17" s="1"/>
  <c r="F12" i="17" s="1"/>
  <c r="K4" i="10"/>
  <c r="K19" i="10" s="1"/>
  <c r="G10" i="17" s="1"/>
  <c r="G12" i="17" s="1"/>
  <c r="L4" i="10"/>
  <c r="L19" i="10" s="1"/>
  <c r="H10" i="17"/>
  <c r="E12" i="17"/>
  <c r="C13" i="17"/>
  <c r="C15" i="17" s="1"/>
  <c r="H12" i="17"/>
  <c r="D13" i="17"/>
  <c r="D15" i="17" s="1"/>
  <c r="H13" i="17" l="1"/>
  <c r="H15" i="17" s="1"/>
  <c r="E13" i="17"/>
  <c r="E15" i="17" s="1"/>
  <c r="G13" i="17"/>
  <c r="G15" i="17" s="1"/>
  <c r="F13" i="17"/>
  <c r="F15" i="17" s="1"/>
</calcChain>
</file>

<file path=xl/sharedStrings.xml><?xml version="1.0" encoding="utf-8"?>
<sst xmlns="http://schemas.openxmlformats.org/spreadsheetml/2006/main" count="1793" uniqueCount="486">
  <si>
    <t>Information Technology
Cloud &amp; Digital Operations
Engineering</t>
  </si>
  <si>
    <t>Infrastructure Estimation and Recommendation Workbook</t>
  </si>
  <si>
    <t>Doc. Ref. No.:</t>
  </si>
  <si>
    <t>FR-ITC-ENG007</t>
  </si>
  <si>
    <t>Effective Date:</t>
  </si>
  <si>
    <t>Ver. and Rev. No.:</t>
  </si>
  <si>
    <t>Document Version History</t>
  </si>
  <si>
    <t>Ver. and Rev. No.</t>
  </si>
  <si>
    <t>Date</t>
  </si>
  <si>
    <t>Prepared By</t>
  </si>
  <si>
    <t>Reviewed By</t>
  </si>
  <si>
    <t>Approved By</t>
  </si>
  <si>
    <t>Description</t>
  </si>
  <si>
    <t>Edlin Resurreccion</t>
  </si>
  <si>
    <t>Ronna May Dimapilis</t>
  </si>
  <si>
    <t>Joel Eric Tesoro</t>
  </si>
  <si>
    <t>Initial Creation</t>
  </si>
  <si>
    <t>Josephus Carl Gallo</t>
  </si>
  <si>
    <t>- Updated General Assumptions list with common assumptions, and added "Suggestions to minimize cost" section
- General assumptions for Dollar-to-Php, Cost Buffer, and TCO % increase per year conversion has been linked to Summary page
- Modified Licenses and One-Time Cost computations from US Dollars to Philippine Peso (PhP)
- Modified Environment sheets by adding Monthly EBS Snapshot costs for all environments
- Removed 5-year TCO in Environment sheets, adjusted currency fields to 2 decimal digits
- Modified Summary page with the costing buffer and TCO values for easier estimations
- Modified the Additional Cost % on Summay Page and Grand Total visuals only</t>
  </si>
  <si>
    <t>Ryan Kerwin Macrohon</t>
  </si>
  <si>
    <t>Added note in HW &amp; SW Requirements regarding technical refresh</t>
  </si>
  <si>
    <t>- Color coded tabs and cells to be filled out by requesting unit (green) and servicing unit (blue) 
- Updated utilization to 36% in all non-productions environments based on the assumption 12x5 availability per month
- Removed Instance Count column 
- Updated reference to the new AWS calculator
- Updated document ownership to Engineering
- Renamed from Cost Estimation Workbook to Infrastructure Estimation and Recommendation Workbook
- Other formatting updates</t>
  </si>
  <si>
    <t>Hanna Raissa Sarmiento
Ronna May Dimapilis</t>
  </si>
  <si>
    <t>- Added RTO, RPO requirements, expected % YoY growth, tabs for IT Infrastructure outputs (Architecture Diagram, HW&amp;SW Specifications)
- Updated computation for growth rate
- Added dropdown for cost buffer</t>
  </si>
  <si>
    <t>- Added VDI-related requirements, specifications, and costing
- Renamed Licenses and One-Time Cost to Software Licenses
- Updated variables, computations, and Summary tab</t>
  </si>
  <si>
    <t>Gian Carlo Adivncula</t>
  </si>
  <si>
    <t>Ryan Kerwin Macrohon / Augustus Anthony Lim</t>
  </si>
  <si>
    <t>Augustus Anthony Lim</t>
  </si>
  <si>
    <t>- Added IER Change Log to keep track of cost changes
- Added Max Concurrent Users field in VDI Requirements tab</t>
  </si>
  <si>
    <t>Joseph Bartolome</t>
  </si>
  <si>
    <t>Modified formula for IER Change Log sheet to reference the previous change instead of the 1st year total cost</t>
  </si>
  <si>
    <t>- Modified utilization from percentage to number of hours
- Added Prod Support to VDI User drop down menu</t>
  </si>
  <si>
    <t>Joy Coronado</t>
  </si>
  <si>
    <t>- Modified utilization to hours
- Automatic compute of number of hours</t>
  </si>
  <si>
    <t>Alan Villanobles II</t>
  </si>
  <si>
    <t>Catherine Joy Coronado</t>
  </si>
  <si>
    <t>- Modified context in the Assumption to automatically get the dollar conversion rate from the Summary worksheet.
- Updated drop-down list in the VDI Requirements worksheet to include "Prod Support" to the 2nd and 3rd tables.
- added "Estimated Duration of Use" on each profile in the "VDI Requirements" and "HW &amp; SW Requirements" worksheets
- added "Prod Support" description to align with the profile added on v7</t>
  </si>
  <si>
    <t>Benbol Del Pilar</t>
  </si>
  <si>
    <t>Rhett Lee Martinez</t>
  </si>
  <si>
    <t>- Modified the cost for VDI
- Add additional pre-prod environment</t>
  </si>
  <si>
    <t>- Additional SCTASK number entry in the Summary Sheet'</t>
  </si>
  <si>
    <t>Joy Coronado / Bryan Beronilla</t>
  </si>
  <si>
    <t>- Additional sheet for EKS Container Sizing Sheet and ENI Max Pods for Instance type specs and ENI details</t>
  </si>
  <si>
    <t>Bryan Beronilla</t>
  </si>
  <si>
    <t>- Modified formula for Y2-Y5 capacity values for UAT, Pre-Prod, PROD and DR environments to reflect rounded up values
- Removed unnecesary hidden sheets</t>
  </si>
  <si>
    <t>Added "PRE-PROD" to the drop-down list of "Environments" in "HW &amp; SW Requirements", "HW &amp; SW Specifications (Infra)", and "Software Licenses" worksheets.</t>
  </si>
  <si>
    <t>Update the value for the EBS pricing form .12  to .096</t>
  </si>
  <si>
    <t xml:space="preserve">- VDI Requirements tab - revised descriptions for users and usage/uptime for better clarity 
- Summary tab - updated exchange rate to 60
- EKS Cluster tabs - added threshold and ceiling function to CPU, memory and capacity totals in cluster sizing table
- EKS Cluster tabs - revised nodes summary table to fix logic on determining number of nodes required
- EKS Cluster tabs - revised nodes summary table to point to correct YoY growth reference cell </t>
  </si>
  <si>
    <t>Bryan Beronilla
Benbol Del Pilar</t>
  </si>
  <si>
    <t>- Assumptions tab - updated list of default assumptions (items 1-6)
- HW &amp; SW Requirements - updated instructions for requestors (shown in RED)
-  Software Licenses tab - updated VDI Monthly License Cost per User to $18 
- Environment tabs - added Cloud Platform column to identify if the component is in AWS, Azure or On-Prem, added IF condition in the storage computation to reflect this selection
- Environment tabs - revised Subscription column header to "Instance Type, Specs"
- Environment tabs - linked Y2-Y5 default OS drive capacity values to Y1 capacity values
- Summary Tab - revised "Additional" line item to reflect as "Cost Buffer"
- Summary tab - added Azure storage cost multiplier. 
- Summary tab - updated AWS/On-Prem storage &amp; snapshot cost multipliers
- Summary tab - added "As of Week of &lt;&lt;Current Monday DATE&gt;&gt;" to reflect prevailing exchange rate during that time
- EKS Cluster tabs - revised to EKS Request tabs, added Ingress Controller namespace &amp; line items, revised Namespace table</t>
  </si>
  <si>
    <t>1] fixed password-protection on the following sheets:
          a] IER Change Log
               - Cells B9 to G18
          b] HW &amp; SW Requirements
               - Cell E3
          c] VDI Requirements
               - whole sheet</t>
  </si>
  <si>
    <t xml:space="preserve">1. Include the license count in software license sheet.
2. Include the enterprise discount for public cloud services
3. Include the VAT for cloud services
4. Remove the storage snapshot cost </t>
  </si>
  <si>
    <t>1. Update the value of enteprise discount in the summary sheet</t>
  </si>
  <si>
    <t>Irving Magno</t>
  </si>
  <si>
    <t>1. Update the VDI license costs from 18 to 13 usd</t>
  </si>
  <si>
    <t>1. Update the following:
     a.  K8s Min/Max column
     b.  K8s Ephemeral Storage
     c.  K8s Kube-System and additional pods for autoscaling
     d.  K8s PDB column
     e.  Horizontal Scaling (separating sheets for k8s yearly increase)
2.  Added Assumptions and notes for EKS/AKS form applicability</t>
  </si>
  <si>
    <t>GENERAL ASSUMPTIONS</t>
  </si>
  <si>
    <t>No.</t>
  </si>
  <si>
    <t>Assumption</t>
  </si>
  <si>
    <t>Costing found in this workbook represents only the infrastructure costing for the given project. This should not be mistaken to represent costing for the entire project.</t>
  </si>
  <si>
    <t>Costing found in this workbook represents the infrastructure costing only for the project components that are declared in this workbook. Any additional components not initially declared may have an impact on costing.</t>
  </si>
  <si>
    <t>The Non-Production instances (DEV, SIT, UAT, Pre-Prod) are going to run for 12 hours a day, 5 days a week (12 x 5).</t>
  </si>
  <si>
    <t>The Production instances are going to run for 24 hours a day, 7 days a week (24 x 7).</t>
  </si>
  <si>
    <t>Snapshot costs are included for all environments (10% change for monthly snapshots).</t>
  </si>
  <si>
    <t>VAT is only applicable to our Public Cloud components</t>
  </si>
  <si>
    <t>Enterprise discount for Azure component is already part of the monthly cost in their calculator. For AWS the enterprise discount is 10.5%</t>
  </si>
  <si>
    <t>Micrsoft Licenses has a minimum of 4 Licenses</t>
  </si>
  <si>
    <t>Use K8S sheets to identify container technology requirements.
Remove Kube-system namespace if the hosting environment will be on AKS and add the system pool worker nodes group instead</t>
  </si>
  <si>
    <t>Suggestions to minimize cost</t>
  </si>
  <si>
    <t>Initial Cost Estimate / Technical Recommendation Summary</t>
  </si>
  <si>
    <t>1st-yr TCO
(manual input)</t>
  </si>
  <si>
    <t>5-yr TCO
(manual input)</t>
  </si>
  <si>
    <t>Cost Estimate / Technical Recommendation - Revision History (fill-out as necessary)</t>
  </si>
  <si>
    <t xml:space="preserve">Change #
</t>
  </si>
  <si>
    <t>High Level Description 
of Change</t>
  </si>
  <si>
    <t>Details/Rationale 
for the change</t>
  </si>
  <si>
    <t xml:space="preserve">Change Driver
</t>
  </si>
  <si>
    <t>Date of Change 
(MM/DD/YYYY)</t>
  </si>
  <si>
    <t>Cost Impact
1st yr TCO 
(manual input)</t>
  </si>
  <si>
    <t>Cost Impact
5-yr TCO 
(manual input)</t>
  </si>
  <si>
    <t>Calculated Compared 
to Initial 
1st yr
(auto-fill)</t>
  </si>
  <si>
    <t>Calculated Compared 
to Initial 
5-yr
(auto-fill)</t>
  </si>
  <si>
    <t>Calculated Compared 
to Previous Change
1st yr
(auto-fill)</t>
  </si>
  <si>
    <t>Calculated Compared 
to Previous Change
5-yr
(auto-fill)</t>
  </si>
  <si>
    <t>N/A</t>
  </si>
  <si>
    <t>iNXT BrokerVerse — High-Level Architecture (BDOI Core Modernization)</t>
  </si>
  <si>
    <t>Recovery Point Objective</t>
  </si>
  <si>
    <t>15 minutes</t>
  </si>
  <si>
    <t>may be in seconds, minutes, hours, days</t>
  </si>
  <si>
    <t>Recovery Time Objective</t>
  </si>
  <si>
    <t>4 hours</t>
  </si>
  <si>
    <t>Place high-level architecture diagram below:</t>
  </si>
  <si>
    <t> </t>
  </si>
  <si>
    <t>Hardware and Software Requirements (to be filled out by requesting unit)</t>
  </si>
  <si>
    <t>Kindly fill in the necessary details below with the requested specs for each environment as discussed and recommended by the vendor or solution developer.</t>
  </si>
  <si>
    <t xml:space="preserve">Expected % YoY Growth </t>
  </si>
  <si>
    <t>Estimated Duration of Use</t>
  </si>
  <si>
    <t>months</t>
  </si>
  <si>
    <t>Environment</t>
  </si>
  <si>
    <t>CPU</t>
  </si>
  <si>
    <t>Memory (GB)</t>
  </si>
  <si>
    <t>Storage (GB)</t>
  </si>
  <si>
    <t>Operating System and Software Requirement</t>
  </si>
  <si>
    <t>Remarks</t>
  </si>
  <si>
    <t>DEV</t>
  </si>
  <si>
    <t>Application Database (PostgreSQL)</t>
  </si>
  <si>
    <t>RHEL 9.x + PostgreSQL 16 (Amazon RDS, Single-AZ)</t>
  </si>
  <si>
    <t>Primary OLTP DB for iNXT BrokerVerse</t>
  </si>
  <si>
    <t>Cache &amp; Event Streaming (Redis + Kafka)</t>
  </si>
  <si>
    <t>Amazon ElastiCache for Redis 7.x + Amazon MSK (Apache Kafka 3.6)</t>
  </si>
  <si>
    <t>Session/cache + async eventing</t>
  </si>
  <si>
    <t>SIT</t>
  </si>
  <si>
    <t>Integration test OLTP DB</t>
  </si>
  <si>
    <t>Amazon ElastiCache for Redis 7.x + Amazon MSK (Kafka 3.6)</t>
  </si>
  <si>
    <t>Cache + eventing</t>
  </si>
  <si>
    <t>UAT</t>
  </si>
  <si>
    <t>UAT OLTP DB, prod-like data volume</t>
  </si>
  <si>
    <t>PRE-PROD</t>
  </si>
  <si>
    <t>RHEL 9.x + PostgreSQL 16 (Amazon RDS, Multi-AZ)</t>
  </si>
  <si>
    <t>Prod-mirror DB for performance &amp; cutover rehearsal</t>
  </si>
  <si>
    <t>ElastiCache for Redis 7.x (cluster) + Amazon MSK (3 brokers)</t>
  </si>
  <si>
    <t>PROD</t>
  </si>
  <si>
    <t>Primary OLTP, HA Multi-AZ, automated backups</t>
  </si>
  <si>
    <t>Cache + durable eventing</t>
  </si>
  <si>
    <t>Bastion / CI-CD Runner</t>
  </si>
  <si>
    <t>RHEL 9.x + GitLab Runner, AWS SSM, kubectl/helm</t>
  </si>
  <si>
    <t>Shared deploy &amp; jump host</t>
  </si>
  <si>
    <t>PROD DR</t>
  </si>
  <si>
    <t>Application Database (PostgreSQL standby)</t>
  </si>
  <si>
    <t>RHEL 9.x + PostgreSQL 16 (cross-region read replica)</t>
  </si>
  <si>
    <t>DR standby, async replication, RPO target ≤15 min</t>
  </si>
  <si>
    <t>ElastiCache for Redis 7.x + Amazon MSK (3 brokers)</t>
  </si>
  <si>
    <t>DR cache + eventing</t>
  </si>
  <si>
    <t>Object &amp; File Storage</t>
  </si>
  <si>
    <t>Amazon S3 (document store) + Amazon EFS (shared K8s PV)</t>
  </si>
  <si>
    <t>Managed, consumption-based; lifecycle to S3-IA/Glacier</t>
  </si>
  <si>
    <t>VDI Requirements (to be filled out by requesting unit)</t>
  </si>
  <si>
    <t>Total Number of VDI Users</t>
  </si>
  <si>
    <t>User Profiles</t>
  </si>
  <si>
    <t>User Profile</t>
  </si>
  <si>
    <t>Developer</t>
  </si>
  <si>
    <t>Basic User : no runtime requirements; only requires productivity tools such</t>
  </si>
  <si>
    <t xml:space="preserve"> as office tools and access to documents, applications/sytems</t>
  </si>
  <si>
    <t>Developer : has runtime requirements; requires developer tools and</t>
  </si>
  <si>
    <t>Uptime Schedule</t>
  </si>
  <si>
    <t>hours</t>
  </si>
  <si>
    <t>Multi-Session Aware : software/application allows multiple concurrent interactive sessions</t>
  </si>
  <si>
    <t>productivity tools and access to environments</t>
  </si>
  <si>
    <t>days</t>
  </si>
  <si>
    <t>Information is required as it impacts specification and cost.</t>
  </si>
  <si>
    <t>Tester : has runtime requirements; requires QA and productivity tools</t>
  </si>
  <si>
    <t>Total Hours</t>
  </si>
  <si>
    <t>and access to environments.</t>
  </si>
  <si>
    <t xml:space="preserve">Software Name
indicate (1) standard software not included in the default list* and (2) other required software/tools </t>
  </si>
  <si>
    <t>Software Version</t>
  </si>
  <si>
    <t>Purpose</t>
  </si>
  <si>
    <t>Multi-Session Aware? (Y/N)</t>
  </si>
  <si>
    <t>Memory Requirement (GB)
if known</t>
  </si>
  <si>
    <t>Storage
Requirement (GB)
if known</t>
  </si>
  <si>
    <t>Prod Support : may need runtime requirements and access to production
                            environment (User Role/Profile only) (needs a separate request and approval for accessing the prod system/environment)</t>
  </si>
  <si>
    <t>Visual Studio Code</t>
  </si>
  <si>
    <t>1.9x</t>
  </si>
  <si>
    <t>Primary IDE</t>
  </si>
  <si>
    <t>development</t>
  </si>
  <si>
    <t>N</t>
  </si>
  <si>
    <t>Angular/Java microservice dev</t>
  </si>
  <si>
    <t>OpenJDK (Temurin)</t>
  </si>
  <si>
    <t>17 LTS</t>
  </si>
  <si>
    <t>Java SDK &amp; runtime</t>
  </si>
  <si>
    <t>BrokerVerse services build on JDK 17</t>
  </si>
  <si>
    <t>Node.js + npm</t>
  </si>
  <si>
    <t>20 LTS</t>
  </si>
  <si>
    <t>Front-end build toolchain</t>
  </si>
  <si>
    <t>Angular SPA build</t>
  </si>
  <si>
    <t>*List of Standard Software Installed by default</t>
  </si>
  <si>
    <t>Git client</t>
  </si>
  <si>
    <t>2.4x</t>
  </si>
  <si>
    <t>Source control</t>
  </si>
  <si>
    <t>Connects to GitLab</t>
  </si>
  <si>
    <t>Software</t>
  </si>
  <si>
    <t>Version</t>
  </si>
  <si>
    <t>DBeaver</t>
  </si>
  <si>
    <t>24.x</t>
  </si>
  <si>
    <t>PostgreSQL DB client</t>
  </si>
  <si>
    <t>Libre Office tools</t>
  </si>
  <si>
    <t>5.4.5</t>
  </si>
  <si>
    <t>Postman</t>
  </si>
  <si>
    <t>11.x</t>
  </si>
  <si>
    <t>API testing</t>
  </si>
  <si>
    <t>OpenOffice</t>
  </si>
  <si>
    <t>4.1.6</t>
  </si>
  <si>
    <t>Docker CLI / kubectl / Helm</t>
  </si>
  <si>
    <t>latest</t>
  </si>
  <si>
    <t>Container &amp; K8s tooling</t>
  </si>
  <si>
    <t>EKS deploy from runner</t>
  </si>
  <si>
    <t>WinSCP</t>
  </si>
  <si>
    <t>7-Zip</t>
  </si>
  <si>
    <t>Putty</t>
  </si>
  <si>
    <t>Notepad++</t>
  </si>
  <si>
    <t>7.8.6</t>
  </si>
  <si>
    <t>Microsoft Edge / Firefox</t>
  </si>
  <si>
    <t>83.0 / 68.8.0esr</t>
  </si>
  <si>
    <t>Adobe Acrobat Reader</t>
  </si>
  <si>
    <t>2017 17.011.30113</t>
  </si>
  <si>
    <t>For the complete list, please refer to:</t>
  </si>
  <si>
    <t>https://www.ito.bdo.com.ph/references/memoranda/bdo-system-image</t>
  </si>
  <si>
    <t>List of Standard Software that can be requested for installation</t>
  </si>
  <si>
    <t>http://fs01.software.bdo.com.ph/workstation/free-software-and-tools/ITD%20Tools/</t>
  </si>
  <si>
    <t>Tester</t>
  </si>
  <si>
    <t>Katalon Studio / Selenium</t>
  </si>
  <si>
    <t>UI test automation</t>
  </si>
  <si>
    <t>testing</t>
  </si>
  <si>
    <t>Regression automation</t>
  </si>
  <si>
    <t>Apache JMeter</t>
  </si>
  <si>
    <t>5.6</t>
  </si>
  <si>
    <t>Performance &amp; load testing</t>
  </si>
  <si>
    <t>NFR/TPS validation</t>
  </si>
  <si>
    <t>Postman / Newman</t>
  </si>
  <si>
    <t>API test execution</t>
  </si>
  <si>
    <t>Test data validation</t>
  </si>
  <si>
    <t>Xray / TestRail (browser)</t>
  </si>
  <si>
    <t>SaaS</t>
  </si>
  <si>
    <t>Test management</t>
  </si>
  <si>
    <t>Web client</t>
  </si>
  <si>
    <t>Prod Support</t>
  </si>
  <si>
    <t>DBeaver (read-only)</t>
  </si>
  <si>
    <t>Prod DB diagnostics</t>
  </si>
  <si>
    <t>part of system design</t>
  </si>
  <si>
    <t>Least-privilege role</t>
  </si>
  <si>
    <t>Dynatrace (browser)</t>
  </si>
  <si>
    <t>APM / observability</t>
  </si>
  <si>
    <t>Lens / kubectl (read-only)</t>
  </si>
  <si>
    <t>K8s diagnostics</t>
  </si>
  <si>
    <t>EKS read access</t>
  </si>
  <si>
    <t>WinSCP / PuTTY</t>
  </si>
  <si>
    <t>std</t>
  </si>
  <si>
    <t>Secure console &amp; file transfer</t>
  </si>
  <si>
    <t>High-Level Architecture ( to be filled out by servicing unit)</t>
  </si>
  <si>
    <t>15 min</t>
  </si>
  <si>
    <t>4 h</t>
  </si>
  <si>
    <t>Place recommended high-level architecture diagram below:</t>
  </si>
  <si>
    <t>DB1</t>
  </si>
  <si>
    <t>DB2</t>
  </si>
  <si>
    <t>Hardware and Software Specifications (to be filled out by servicing unit)</t>
  </si>
  <si>
    <t>VDI Specifications (to be filled out by servicing unit)</t>
  </si>
  <si>
    <t>Estimated Duration of Use (months)</t>
  </si>
  <si>
    <t>Hours</t>
  </si>
  <si>
    <t>Monthly Subscription Cost ($)</t>
  </si>
  <si>
    <t>Monthly Storage Cost ($)</t>
  </si>
  <si>
    <t>Total Monthly Cost (VAT Inc $)</t>
  </si>
  <si>
    <t>Total Annual Cost ($)</t>
  </si>
  <si>
    <t>Managed disks (128GB)
Profile (30GB)</t>
  </si>
  <si>
    <t>TOTAL</t>
  </si>
  <si>
    <t>SOFTWARE / LICENSE COST</t>
  </si>
  <si>
    <t>Software/License Name and Version</t>
  </si>
  <si>
    <t>No. of Cores/CPU/vCPU</t>
  </si>
  <si>
    <t>License Unit Cost</t>
  </si>
  <si>
    <t>No. of License Needed</t>
  </si>
  <si>
    <t>Amount</t>
  </si>
  <si>
    <t>Recurring Cost</t>
  </si>
  <si>
    <t>Year 1</t>
  </si>
  <si>
    <t>Year 2</t>
  </si>
  <si>
    <t>Year 3</t>
  </si>
  <si>
    <t>Year 4</t>
  </si>
  <si>
    <t>Year 5</t>
  </si>
  <si>
    <t>Total</t>
  </si>
  <si>
    <t>TOTAL COST</t>
  </si>
  <si>
    <t>VDI License Cost</t>
  </si>
  <si>
    <t>Total Number of Users</t>
  </si>
  <si>
    <t>Monthy License Cost per User</t>
  </si>
  <si>
    <t>Total Monthly License Cost</t>
  </si>
  <si>
    <t>DEVELOPMENT ENVIRONMENT (to be filled out by servicing unit)</t>
  </si>
  <si>
    <t>YEAR 1</t>
  </si>
  <si>
    <t>Cloud Platform</t>
  </si>
  <si>
    <t>Instance Type, Specs</t>
  </si>
  <si>
    <t>Operating System</t>
  </si>
  <si>
    <t>Disk Space Description (Size in GB)</t>
  </si>
  <si>
    <t>Disk Space (GB)</t>
  </si>
  <si>
    <t>Monthly EBS Volume Cost ($)</t>
  </si>
  <si>
    <t>VAT</t>
  </si>
  <si>
    <t>Enterprise Discount</t>
  </si>
  <si>
    <t>Total Monthly Cost ($)</t>
  </si>
  <si>
    <t>AWS</t>
  </si>
  <si>
    <t>Windows Server</t>
  </si>
  <si>
    <t>YEAR 2</t>
  </si>
  <si>
    <t>YEAR 3</t>
  </si>
  <si>
    <t>EXACC</t>
  </si>
  <si>
    <t>RHEL</t>
  </si>
  <si>
    <t>ON PREM</t>
  </si>
  <si>
    <t>YEAR 4</t>
  </si>
  <si>
    <t>YEAR 5</t>
  </si>
  <si>
    <t>SIT ENVIRONMENT (to be filled out by servicing unit)</t>
  </si>
  <si>
    <t>UAT ENVIRONMENT (to be filled out by servicing unit)</t>
  </si>
  <si>
    <t>Ubuntu</t>
  </si>
  <si>
    <t>Oracle Linux</t>
  </si>
  <si>
    <t>PROD ENVIRONMENT (to be filled out by servicing unit)</t>
  </si>
  <si>
    <t>App Server</t>
  </si>
  <si>
    <t>DR ENVIRONMENT (to be filled out by servicing unit)</t>
  </si>
  <si>
    <t>SUMMARY (auto-fill)</t>
  </si>
  <si>
    <t>Cost Item</t>
  </si>
  <si>
    <t>Philippine Peso</t>
  </si>
  <si>
    <t>1-year TCO</t>
  </si>
  <si>
    <t>2-year TCO</t>
  </si>
  <si>
    <t>3-year TCO</t>
  </si>
  <si>
    <t>4-year TCO</t>
  </si>
  <si>
    <t>5-year TCO</t>
  </si>
  <si>
    <t>Total Amount</t>
  </si>
  <si>
    <t>Pre-Prod</t>
  </si>
  <si>
    <t>Software Licenses</t>
  </si>
  <si>
    <t>VDI (including licenses)</t>
  </si>
  <si>
    <t>TOTAL(VAT Inclusive)</t>
  </si>
  <si>
    <t>GRAND TOTAL(VAT Inclusive)</t>
  </si>
  <si>
    <t>Reference</t>
  </si>
  <si>
    <t>https://calculator.aws/#/</t>
  </si>
  <si>
    <t>https://azure.Microsoft.com/en-us/pricing/calculator</t>
  </si>
  <si>
    <t>SCTASK Number</t>
  </si>
  <si>
    <t xml:space="preserve">Azure Storage Cost Multiplier </t>
  </si>
  <si>
    <t>https://azure.microsoft.com/en-us/pricing/details/managed-disks/?msockid=07c55edcd9076a5a3d524a7dd8c76ba8#:~:text=only%2020%20GB.-,Pricing,true%20availability%20of%20this%20service%20can%20be%20found%20in%20documentation.,-Standard%20SSD</t>
  </si>
  <si>
    <t>AWS/On-Prem Storage Cost Multiplier</t>
  </si>
  <si>
    <t>https://aws.amazon.com/ebs/pricing/</t>
  </si>
  <si>
    <t>USD to PHP exchange rate</t>
  </si>
  <si>
    <t>As of Week of &lt;&lt;Current Monday DATE&gt;&gt;</t>
  </si>
  <si>
    <t>Cost Buffer (%)</t>
  </si>
  <si>
    <t>TCO increase per year (%)</t>
  </si>
  <si>
    <t>VAT(%)</t>
  </si>
  <si>
    <t>AWS  Enterprise Discount(%)</t>
  </si>
  <si>
    <t>Change these values accordingly.</t>
  </si>
  <si>
    <t>*All cost is VAT inc for applicable components</t>
  </si>
  <si>
    <t>*Azure Enterprise discount is already part of the monthly cost</t>
  </si>
  <si>
    <t xml:space="preserve">Kindly Fill Up for Cluster Sizing Request </t>
  </si>
  <si>
    <t>Worker Node Group</t>
  </si>
  <si>
    <t>MINIMUM</t>
  </si>
  <si>
    <t>MAXIMUM</t>
  </si>
  <si>
    <t>Kube-system Namespace</t>
  </si>
  <si>
    <t>PDB Requirements</t>
  </si>
  <si>
    <t>Desired Replica</t>
  </si>
  <si>
    <t>Min Replicas</t>
  </si>
  <si>
    <t>Max Replicas</t>
  </si>
  <si>
    <t>Requests CPU (millicores)</t>
  </si>
  <si>
    <t>Requests Memory (M)</t>
  </si>
  <si>
    <t>Limits CPU (millicores)</t>
  </si>
  <si>
    <t>Limits Memory (M)</t>
  </si>
  <si>
    <t>Ephemeral Storage (MB)</t>
  </si>
  <si>
    <t>PV (GB)</t>
  </si>
  <si>
    <t>Memory</t>
  </si>
  <si>
    <t>Ephemeral Storage per node</t>
  </si>
  <si>
    <t>Total PV (GB) EFS</t>
  </si>
  <si>
    <t>aws-node</t>
  </si>
  <si>
    <t>kube-proxy</t>
  </si>
  <si>
    <t>coredns</t>
  </si>
  <si>
    <t>efs-csi-controller</t>
  </si>
  <si>
    <t>Metric Server</t>
  </si>
  <si>
    <t>Cluster Autoscaler</t>
  </si>
  <si>
    <t>Ingress Namespace</t>
  </si>
  <si>
    <t>ingress-nginx-controller</t>
  </si>
  <si>
    <t>brokerverse-core Namespace</t>
  </si>
  <si>
    <t>bv-policy-admin-svc</t>
  </si>
  <si>
    <t>bv-claims-svc</t>
  </si>
  <si>
    <t>bv-billing-collections-svc</t>
  </si>
  <si>
    <t>bv-distribution-svc</t>
  </si>
  <si>
    <t>bv-web-portal</t>
  </si>
  <si>
    <t>brokerverse-platform Namespace</t>
  </si>
  <si>
    <t>bv-api-gateway</t>
  </si>
  <si>
    <t>bv-iam-svc</t>
  </si>
  <si>
    <t>bv-integration-svc</t>
  </si>
  <si>
    <t>bv-document-svc</t>
  </si>
  <si>
    <t>bv-batch-notification-svc</t>
  </si>
  <si>
    <t>Total Applications</t>
  </si>
  <si>
    <t>with Threshold</t>
  </si>
  <si>
    <t>Worker Nodes</t>
  </si>
  <si>
    <t>CPUs</t>
  </si>
  <si>
    <t>GB of RAM</t>
  </si>
  <si>
    <t>EBS Disk Space (GB)per node</t>
  </si>
  <si>
    <t>Note:  This was multiplied by 3 for  caching, replica updates and retention updates use.</t>
  </si>
  <si>
    <t>Note:  PV should be stored on a separate storage preferrably EFS</t>
  </si>
  <si>
    <t>Worker Nodes - Recommended Sizing</t>
  </si>
  <si>
    <t># of  Worker nodes requested</t>
  </si>
  <si>
    <t>Threshold</t>
  </si>
  <si>
    <t>Worker Node Size</t>
  </si>
  <si>
    <t>Instance Type</t>
  </si>
  <si>
    <t>Total Persistent Volume</t>
  </si>
  <si>
    <t>Needed ENI</t>
  </si>
  <si>
    <t>Total ENI Available</t>
  </si>
  <si>
    <t>m5.4xlarge (16x64)</t>
  </si>
  <si>
    <t>RAM</t>
  </si>
  <si>
    <t>ENI per worker node</t>
  </si>
  <si>
    <t xml:space="preserve"> Cluster Sizing Recommendation (for IA) </t>
  </si>
  <si>
    <t>Calculated # of Nodes</t>
  </si>
  <si>
    <t>TOTAL WORKER NODES BDOI</t>
  </si>
  <si>
    <t>Y1</t>
  </si>
  <si>
    <t>#of Nodes computed</t>
  </si>
  <si>
    <t>Y1 Requirement</t>
  </si>
  <si>
    <t>Minimum # of Nodes Needed</t>
  </si>
  <si>
    <t>Maximum # of Nodes Needed</t>
  </si>
  <si>
    <t>Cost Analysis base on instance type</t>
  </si>
  <si>
    <t>Required instance</t>
  </si>
  <si>
    <t>Amount per instance</t>
  </si>
  <si>
    <t>c5.2xlarge 8x16</t>
  </si>
  <si>
    <t>c5.4xlarge 16x32</t>
  </si>
  <si>
    <t>m5.2xlarge 8x32</t>
  </si>
  <si>
    <t>r5.2xlarge 8x64</t>
  </si>
  <si>
    <t>m5.4xlarge 16x64</t>
  </si>
  <si>
    <t>r5.4xlarge 16x128</t>
  </si>
  <si>
    <t>Dynatrace Namespace</t>
  </si>
  <si>
    <t>Dynakube-Activegate</t>
  </si>
  <si>
    <t>Dynakube-OneAgent</t>
  </si>
  <si>
    <t>Dynakube-Webhook</t>
  </si>
  <si>
    <t>Dynakube-Operator</t>
  </si>
  <si>
    <t>Crowdstrike Falcon</t>
  </si>
  <si>
    <t>Kubernetes General Guidelines</t>
  </si>
  <si>
    <t>1.  The requestor must fill out the pod requirements.</t>
  </si>
  <si>
    <t>2.  The requestor should consider defining a Pod Disruption Budget (PDB).</t>
  </si>
  <si>
    <t>3.  The requestor must provide Y1–Y5 pod requirements based on the NFR/TPS for each year, corresponding to the required number of replicas.</t>
  </si>
  <si>
    <t>4.  Persistent Volumes (PV) should be hosted on separate storage, preferably on EFS.</t>
  </si>
  <si>
    <t>5.  Allocate container runtime storage based on each microservice’s image size and its runtime storage requirements.</t>
  </si>
  <si>
    <t>6.  When determining the appropriate instance type, the “Cost Analysis Based on Instance Type” table below may be used as a reference to compare costs.</t>
  </si>
  <si>
    <t>7.  Remove the kube-system namespace if the hosting environment is on AKS, and add another worker node group for the system pool instead.</t>
  </si>
  <si>
    <t>8.  Change the number of min and max replicas for Dyntrace and Crowdstrike based on the outcome of the total number worker nodes.</t>
  </si>
  <si>
    <t>9.  The requestor should provide autoscaling requirements, including the preferred autoscaling approach (e.g., HPA-Metric Server,Cluster Autoscale, KEDA (K8S Event-Driven Autoscaling and other)</t>
  </si>
  <si>
    <t>Y2</t>
  </si>
  <si>
    <t>Y3</t>
  </si>
  <si>
    <t>Y4</t>
  </si>
  <si>
    <t>Y5</t>
  </si>
  <si>
    <t>Change Driver</t>
  </si>
  <si>
    <t>Column1</t>
  </si>
  <si>
    <t xml:space="preserve">&lt;select&gt;
</t>
  </si>
  <si>
    <t>Change in requirements 
(BU, ITSD or vendor initiated)</t>
  </si>
  <si>
    <t xml:space="preserve">Required Correction
</t>
  </si>
  <si>
    <t xml:space="preserve">Cost/Design optimization
</t>
  </si>
  <si>
    <t>%</t>
  </si>
  <si>
    <t>definition</t>
  </si>
  <si>
    <t>request</t>
  </si>
  <si>
    <t>definitive estimate</t>
  </si>
  <si>
    <t>tech reco</t>
  </si>
  <si>
    <t>budget estimate</t>
  </si>
  <si>
    <t>cost estimate</t>
  </si>
  <si>
    <t>https://github.com/awslabs/amazon-eks-ami/blob/master/files/eni-max-pods.txt</t>
  </si>
  <si>
    <t># of ENI * (# of IPv4 per ENI - 1) + 2</t>
  </si>
  <si>
    <t>Max Pods</t>
  </si>
  <si>
    <t>&lt;select&gt;</t>
  </si>
  <si>
    <t>c5.large (2x4)</t>
  </si>
  <si>
    <t>m5.large (2x8)</t>
  </si>
  <si>
    <t>r5.large (2x16)</t>
  </si>
  <si>
    <t>c5.xlarge (4x8)</t>
  </si>
  <si>
    <t>m5.xlarge (4x16)</t>
  </si>
  <si>
    <t>r5.xlarge (4x32)</t>
  </si>
  <si>
    <t>c5.2xlarge (8x16)</t>
  </si>
  <si>
    <t>m5.2xlarge (8x32)</t>
  </si>
  <si>
    <t>r5.2xlarge (8x64)</t>
  </si>
  <si>
    <t>c5.4xlarge (16x32)</t>
  </si>
  <si>
    <t>r5.4xlarge (16x128)</t>
  </si>
  <si>
    <t>m5.8xlarge (32x128)</t>
  </si>
  <si>
    <t>r5.8xlarge (32x256)</t>
  </si>
  <si>
    <t>c5.9xlarge (36x72)</t>
  </si>
  <si>
    <t>c5.12xlarge (48x96)</t>
  </si>
  <si>
    <t>m5.12xlarge (48x192)</t>
  </si>
  <si>
    <t>r5.12xlarge (48x384)</t>
  </si>
  <si>
    <t>m5.16xlarge (64x256)</t>
  </si>
  <si>
    <t>r5.16xlarge (64x512)</t>
  </si>
  <si>
    <t>c5.18xlarge (72x144)</t>
  </si>
  <si>
    <t>c5.24xlarge (96x192)</t>
  </si>
  <si>
    <t>c5.metal (96x192)</t>
  </si>
  <si>
    <t>m5.24xlarge (96x384)</t>
  </si>
  <si>
    <t>m5.metal (96x384)</t>
  </si>
  <si>
    <t>r5.24xlarge (96x768)</t>
  </si>
  <si>
    <t>r5.metal (96x768)</t>
  </si>
  <si>
    <t>D2s v5 (2x8)</t>
  </si>
  <si>
    <t>D4s v5 (4x16)</t>
  </si>
  <si>
    <t>D8s v5 (8x32)</t>
  </si>
  <si>
    <t>D16s v5 (16x64)</t>
  </si>
  <si>
    <t>D32s v5 (32x128)</t>
  </si>
  <si>
    <t>D64s v5 (64x256)</t>
  </si>
  <si>
    <t>E2s v5 (2x16)</t>
  </si>
  <si>
    <t>E4s v5 (4x32)</t>
  </si>
  <si>
    <t>E8s v5 (8x64)</t>
  </si>
  <si>
    <t>E16s v5 (16x128)</t>
  </si>
  <si>
    <t>E32s v5 (32x256)</t>
  </si>
  <si>
    <t>E64s v5 (64x512)</t>
  </si>
  <si>
    <t>F2s v2 (2x4)</t>
  </si>
  <si>
    <t>F4s v2 (4x8)</t>
  </si>
  <si>
    <t>F8s v2 (8x16)</t>
  </si>
  <si>
    <t>F16s v2 (16x32)</t>
  </si>
  <si>
    <t>F32s v2 (32x64)</t>
  </si>
  <si>
    <t>F48s v2 (48x96)</t>
  </si>
  <si>
    <t>F64s v2 (64x128)</t>
  </si>
  <si>
    <t>F72s v2 (72x144)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</si>
</sst>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_);_(@_)"/>
    <numFmt numFmtId="165" formatCode="0.0"/>
    <numFmt numFmtId="166" formatCode="[$-409]mmmm\ d&quot;, &quot;yyyy;@"/>
    <numFmt numFmtId="167" formatCode="[$₱-3409]#,##0"/>
    <numFmt numFmtId="168" formatCode="[$₱-3409]#,##0.00"/>
    <numFmt numFmtId="169" formatCode="\$#,##0.00"/>
    <numFmt numFmtId="170" formatCode="_(* #,##0.00_);_(* \(#,##0.00\);_(* \-??_);_(@_)"/>
    <numFmt numFmtId="171" formatCode="_([$PHP]\ * #,##0.00_);_([$PHP]\ * \(#,##0.00\);_([$PHP]\ * \-??_);_(@_)"/>
    <numFmt numFmtId="172" formatCode="#,##0.00;[Red]#,##0.00"/>
  </numFmts>
  <fonts count="52">
    <font>
      <sz val="11"/>
      <color rgb="FF000000"/>
      <name val="Calibri"/>
      <family val="2"/>
      <charset val="1"/>
    </font>
    <font>
      <sz val="10"/>
      <name val="Arial"/>
      <family val="2"/>
      <charset val="1"/>
    </font>
    <font>
      <sz val="10"/>
      <name val="Arial"/>
      <charset val="1"/>
    </font>
    <font>
      <sz val="10"/>
      <color rgb="FF000000"/>
      <name val="Arial"/>
      <family val="2"/>
      <charset val="1"/>
    </font>
    <font>
      <b/>
      <sz val="10"/>
      <color rgb="FF000000"/>
      <name val="Arial"/>
      <family val="2"/>
      <charset val="1"/>
    </font>
    <font>
      <b/>
      <sz val="16"/>
      <color rgb="FF000000"/>
      <name val="Arial"/>
      <family val="2"/>
      <charset val="1"/>
    </font>
    <font>
      <b/>
      <sz val="12"/>
      <color rgb="FF000000"/>
      <name val="Arial"/>
      <family val="2"/>
      <charset val="1"/>
    </font>
    <font>
      <sz val="12"/>
      <color rgb="FF000000"/>
      <name val="Arial"/>
      <family val="2"/>
      <charset val="1"/>
    </font>
    <font>
      <sz val="11"/>
      <color rgb="FF000000"/>
      <name val="Arial"/>
      <family val="2"/>
      <charset val="1"/>
    </font>
    <font>
      <b/>
      <sz val="15"/>
      <color rgb="FF000000"/>
      <name val="Arial"/>
      <family val="2"/>
      <charset val="1"/>
    </font>
    <font>
      <b/>
      <sz val="12"/>
      <color rgb="FF000000"/>
      <name val="Calibri"/>
      <family val="2"/>
      <charset val="1"/>
    </font>
    <font>
      <b/>
      <sz val="11"/>
      <color rgb="FF000000"/>
      <name val="Calibri"/>
      <family val="2"/>
      <charset val="1"/>
    </font>
    <font>
      <b/>
      <sz val="10"/>
      <color rgb="FF000000"/>
      <name val="Calibri"/>
      <family val="2"/>
      <charset val="1"/>
    </font>
    <font>
      <sz val="9"/>
      <color rgb="FF000000"/>
      <name val="Calibri"/>
      <family val="2"/>
      <charset val="1"/>
    </font>
    <font>
      <b/>
      <sz val="12"/>
      <color rgb="FFFFFFFF"/>
      <name val="Arial"/>
      <charset val="1"/>
    </font>
    <font>
      <sz val="20"/>
      <color rgb="FF000000"/>
      <name val="Arial"/>
      <family val="2"/>
      <charset val="1"/>
    </font>
    <font>
      <b/>
      <sz val="10"/>
      <color rgb="FF1565C0"/>
      <name val="Arial"/>
      <charset val="1"/>
    </font>
    <font>
      <b/>
      <i/>
      <sz val="8"/>
      <color rgb="FFFF0000"/>
      <name val="Arial"/>
      <family val="2"/>
      <charset val="1"/>
    </font>
    <font>
      <sz val="9"/>
      <color rgb="FF231F20"/>
      <name val="Consolas"/>
      <charset val="1"/>
    </font>
    <font>
      <b/>
      <sz val="20"/>
      <color rgb="FF000000"/>
      <name val="Arial"/>
      <family val="2"/>
      <charset val="1"/>
    </font>
    <font>
      <b/>
      <sz val="10"/>
      <color rgb="FFFF0000"/>
      <name val="Arial"/>
      <family val="2"/>
      <charset val="1"/>
    </font>
    <font>
      <b/>
      <sz val="13"/>
      <color rgb="FF000000"/>
      <name val="Arial"/>
      <family val="2"/>
      <charset val="1"/>
    </font>
    <font>
      <b/>
      <sz val="11"/>
      <color rgb="FF0000FF"/>
      <name val="Arial"/>
      <family val="2"/>
      <charset val="1"/>
    </font>
    <font>
      <b/>
      <sz val="10"/>
      <name val="Arial"/>
      <family val="2"/>
      <charset val="1"/>
    </font>
    <font>
      <b/>
      <sz val="10"/>
      <color rgb="FF0000FF"/>
      <name val="Arial"/>
      <family val="2"/>
      <charset val="1"/>
    </font>
    <font>
      <sz val="10"/>
      <color rgb="FF231F20"/>
      <name val="Arial"/>
      <charset val="1"/>
    </font>
    <font>
      <b/>
      <sz val="9"/>
      <color theme="0"/>
      <name val="Arial"/>
      <family val="2"/>
      <charset val="1"/>
    </font>
    <font>
      <b/>
      <sz val="9"/>
      <name val="Arial"/>
      <family val="2"/>
      <charset val="1"/>
    </font>
    <font>
      <sz val="9"/>
      <color rgb="FF000000"/>
      <name val="Arial"/>
      <family val="2"/>
      <charset val="1"/>
    </font>
    <font>
      <b/>
      <i/>
      <sz val="9"/>
      <color rgb="FF000000"/>
      <name val="Arial"/>
      <family val="2"/>
      <charset val="1"/>
    </font>
    <font>
      <b/>
      <i/>
      <sz val="10"/>
      <color rgb="FFFF0000"/>
      <name val="Arial"/>
      <family val="2"/>
      <charset val="1"/>
    </font>
    <font>
      <b/>
      <i/>
      <sz val="8"/>
      <name val="Arial"/>
      <family val="2"/>
      <charset val="1"/>
    </font>
    <font>
      <i/>
      <sz val="10"/>
      <name val="Arial"/>
      <family val="2"/>
      <charset val="1"/>
    </font>
    <font>
      <b/>
      <sz val="9"/>
      <color theme="1"/>
      <name val="Arial"/>
      <family val="2"/>
      <charset val="1"/>
    </font>
    <font>
      <sz val="9"/>
      <color theme="1"/>
      <name val="Arial"/>
      <family val="2"/>
      <charset val="1"/>
    </font>
    <font>
      <b/>
      <i/>
      <sz val="9"/>
      <color theme="1"/>
      <name val="Arial"/>
      <family val="2"/>
      <charset val="1"/>
    </font>
    <font>
      <i/>
      <u/>
      <sz val="9"/>
      <color rgb="FF0563C1"/>
      <name val="Arial"/>
      <family val="2"/>
      <charset val="1"/>
    </font>
    <font>
      <u/>
      <sz val="11"/>
      <color rgb="FF0563C1"/>
      <name val="Calibri"/>
      <family val="2"/>
      <charset val="1"/>
    </font>
    <font>
      <u/>
      <sz val="9"/>
      <color theme="10"/>
      <name val="Arial"/>
      <family val="2"/>
      <charset val="1"/>
    </font>
    <font>
      <u/>
      <sz val="8.5"/>
      <color theme="10"/>
      <name val="Arial"/>
      <family val="2"/>
      <charset val="1"/>
    </font>
    <font>
      <b/>
      <sz val="8"/>
      <color rgb="FF000000"/>
      <name val="Arial"/>
      <family val="2"/>
      <charset val="1"/>
    </font>
    <font>
      <b/>
      <sz val="11"/>
      <color rgb="FF000000"/>
      <name val="Arial"/>
      <family val="2"/>
      <charset val="1"/>
    </font>
    <font>
      <u/>
      <sz val="10"/>
      <color rgb="FF0563C1"/>
      <name val="Arial"/>
      <family val="2"/>
      <charset val="1"/>
    </font>
    <font>
      <i/>
      <sz val="10"/>
      <color rgb="FF000000"/>
      <name val="Arial"/>
      <family val="2"/>
      <charset val="1"/>
    </font>
    <font>
      <b/>
      <sz val="10"/>
      <color rgb="FFFFFFFF"/>
      <name val="Arial"/>
      <family val="2"/>
      <charset val="1"/>
    </font>
    <font>
      <b/>
      <sz val="10"/>
      <color theme="0"/>
      <name val="Arial"/>
      <family val="2"/>
      <charset val="1"/>
    </font>
    <font>
      <sz val="10"/>
      <color rgb="FF000000"/>
      <name val="Calibri"/>
      <family val="2"/>
      <charset val="1"/>
    </font>
    <font>
      <b/>
      <i/>
      <sz val="10"/>
      <color rgb="FF000000"/>
      <name val="Arial"/>
      <family val="2"/>
      <charset val="1"/>
    </font>
    <font>
      <b/>
      <sz val="14"/>
      <color rgb="FF000000"/>
      <name val="Arial"/>
      <family val="2"/>
      <charset val="1"/>
    </font>
    <font>
      <sz val="14"/>
      <color rgb="FF000000"/>
      <name val="Arial"/>
      <family val="2"/>
      <charset val="1"/>
    </font>
    <font>
      <sz val="11"/>
      <color rgb="FF000000"/>
      <name val="Calibri"/>
      <family val="2"/>
      <charset val="1"/>
    </font>
    <font>
      <sz val="9"/>
      <color rgb="FF000000"/>
      <name val="Consolas"/>
      <charset val="1"/>
    </font>
  </fonts>
  <fills count="28">
    <fill>
      <patternFill patternType="none"/>
    </fill>
    <fill>
      <patternFill patternType="gray125"/>
    </fill>
    <fill>
      <patternFill patternType="solid">
        <fgColor theme="0"/>
        <bgColor rgb="FFEDEDED"/>
      </patternFill>
    </fill>
    <fill>
      <patternFill patternType="solid">
        <fgColor rgb="FFA9D18E"/>
        <bgColor rgb="FFC5E0B4"/>
      </patternFill>
    </fill>
    <fill>
      <patternFill patternType="solid">
        <fgColor rgb="FFBDD7EE"/>
        <bgColor rgb="FFD9D9D9"/>
      </patternFill>
    </fill>
    <fill>
      <patternFill patternType="solid">
        <fgColor theme="8" tint="0.39988402966399123"/>
        <bgColor rgb="FFA6A6A6"/>
      </patternFill>
    </fill>
    <fill>
      <patternFill patternType="solid">
        <fgColor theme="0" tint="-0.249977111117893"/>
        <bgColor rgb="FFC9C9C9"/>
      </patternFill>
    </fill>
    <fill>
      <patternFill patternType="solid">
        <fgColor rgb="FF1565C0"/>
        <bgColor rgb="FF0563C1"/>
      </patternFill>
    </fill>
    <fill>
      <patternFill patternType="solid">
        <fgColor rgb="FFAFABAB"/>
        <bgColor rgb="FFA6A6A6"/>
      </patternFill>
    </fill>
    <fill>
      <patternFill patternType="solid">
        <fgColor theme="4" tint="-0.499984740745262"/>
        <bgColor rgb="FF1565C0"/>
      </patternFill>
    </fill>
    <fill>
      <patternFill patternType="solid">
        <fgColor rgb="FFFFFF00"/>
        <bgColor rgb="FFFFD966"/>
      </patternFill>
    </fill>
    <fill>
      <patternFill patternType="solid">
        <fgColor rgb="FFFFC000"/>
        <bgColor rgb="FFFF9900"/>
      </patternFill>
    </fill>
    <fill>
      <patternFill patternType="solid">
        <fgColor rgb="FF00AE00"/>
        <bgColor rgb="FF00B050"/>
      </patternFill>
    </fill>
    <fill>
      <patternFill patternType="solid">
        <fgColor theme="4" tint="0.79989013336588644"/>
        <bgColor rgb="FFDDEBF7"/>
      </patternFill>
    </fill>
    <fill>
      <patternFill patternType="solid">
        <fgColor theme="6" tint="0.59987182226020086"/>
        <bgColor rgb="FFD9D9D9"/>
      </patternFill>
    </fill>
    <fill>
      <patternFill patternType="solid">
        <fgColor theme="6" tint="0.79989013336588644"/>
        <bgColor rgb="FFE7E6E6"/>
      </patternFill>
    </fill>
    <fill>
      <patternFill patternType="solid">
        <fgColor theme="0" tint="-0.14999847407452621"/>
        <bgColor rgb="FFDBDBDB"/>
      </patternFill>
    </fill>
    <fill>
      <patternFill patternType="solid">
        <fgColor theme="2"/>
        <bgColor rgb="FFEDEDED"/>
      </patternFill>
    </fill>
    <fill>
      <patternFill patternType="solid">
        <fgColor theme="9" tint="0.59987182226020086"/>
        <bgColor rgb="FFD9D9D9"/>
      </patternFill>
    </fill>
    <fill>
      <patternFill patternType="solid">
        <fgColor theme="7" tint="0.39988402966399123"/>
        <bgColor rgb="FFFFE699"/>
      </patternFill>
    </fill>
    <fill>
      <patternFill patternType="solid">
        <fgColor rgb="FF92D050"/>
        <bgColor rgb="FFA9D18E"/>
      </patternFill>
    </fill>
    <fill>
      <patternFill patternType="solid">
        <fgColor rgb="FFFFE699"/>
        <bgColor rgb="FFFFD966"/>
      </patternFill>
    </fill>
    <fill>
      <patternFill patternType="solid">
        <fgColor rgb="FF548235"/>
        <bgColor rgb="FF70AD47"/>
      </patternFill>
    </fill>
    <fill>
      <patternFill patternType="solid">
        <fgColor rgb="FF002060"/>
        <bgColor rgb="FF000080"/>
      </patternFill>
    </fill>
    <fill>
      <patternFill patternType="solid">
        <fgColor rgb="FFDDEBF7"/>
        <bgColor rgb="FFDEEBF7"/>
      </patternFill>
    </fill>
    <fill>
      <patternFill patternType="solid">
        <fgColor theme="1"/>
        <bgColor rgb="FF231F20"/>
      </patternFill>
    </fill>
    <fill>
      <patternFill patternType="solid">
        <fgColor theme="6" tint="0.39988402966399123"/>
        <bgColor rgb="FFBFBFBF"/>
      </patternFill>
    </fill>
    <fill>
      <patternFill patternType="solid">
        <fgColor rgb="FF70AD47"/>
        <bgColor rgb="FF92D050"/>
      </patternFill>
    </fill>
  </fills>
  <borders count="47">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style="medium">
        <color auto="1"/>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bottom style="medium">
        <color auto="1"/>
      </bottom>
      <diagonal/>
    </border>
    <border>
      <left/>
      <right style="medium">
        <color auto="1"/>
      </right>
      <top/>
      <bottom style="medium">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style="medium">
        <color auto="1"/>
      </right>
      <top style="thin">
        <color auto="1"/>
      </top>
      <bottom/>
      <diagonal/>
    </border>
    <border>
      <left/>
      <right/>
      <top/>
      <bottom style="thin">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thin">
        <color auto="1"/>
      </top>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medium">
        <color auto="1"/>
      </left>
      <right style="thin">
        <color auto="1"/>
      </right>
      <top/>
      <bottom style="medium">
        <color auto="1"/>
      </bottom>
      <diagonal/>
    </border>
    <border>
      <left/>
      <right/>
      <top style="thin">
        <color auto="1"/>
      </top>
      <bottom style="thin">
        <color auto="1"/>
      </bottom>
      <diagonal/>
    </border>
  </borders>
  <cellStyleXfs count="9">
    <xf numFmtId="0" fontId="0" fillId="0" borderId="0"/>
    <xf numFmtId="170" fontId="50" fillId="0" borderId="0"/>
    <xf numFmtId="164" fontId="50" fillId="0" borderId="0"/>
    <xf numFmtId="9" fontId="50" fillId="0" borderId="0"/>
    <xf numFmtId="0" fontId="37" fillId="0" borderId="0"/>
    <xf numFmtId="164" fontId="1" fillId="0" borderId="0"/>
    <xf numFmtId="164" fontId="1" fillId="0" borderId="0"/>
    <xf numFmtId="0" fontId="1" fillId="0" borderId="0"/>
    <xf numFmtId="0" fontId="2" fillId="0" borderId="0"/>
  </cellStyleXfs>
  <cellXfs count="327">
    <xf numFmtId="0" fontId="0" fillId="0" borderId="0" xfId="0"/>
    <xf numFmtId="0" fontId="4" fillId="0" borderId="1" xfId="0" applyFont="1" applyBorder="1" applyAlignment="1">
      <alignment horizontal="center" vertical="center" wrapText="1"/>
    </xf>
    <xf numFmtId="0" fontId="4" fillId="2" borderId="1" xfId="0" applyFont="1" applyFill="1" applyBorder="1" applyAlignment="1">
      <alignment horizontal="center"/>
    </xf>
    <xf numFmtId="0" fontId="4" fillId="3" borderId="1" xfId="0" applyFont="1" applyFill="1" applyBorder="1" applyAlignment="1">
      <alignment horizontal="center"/>
    </xf>
    <xf numFmtId="0" fontId="3" fillId="0" borderId="22" xfId="0" applyFont="1" applyBorder="1" applyAlignment="1">
      <alignment horizontal="left"/>
    </xf>
    <xf numFmtId="0" fontId="3" fillId="2" borderId="0" xfId="0" applyFont="1" applyFill="1" applyAlignment="1">
      <alignment vertical="center"/>
    </xf>
    <xf numFmtId="0" fontId="3" fillId="0" borderId="0" xfId="0" applyFont="1" applyAlignment="1">
      <alignment vertical="center"/>
    </xf>
    <xf numFmtId="165" fontId="3" fillId="0" borderId="0" xfId="0" applyNumberFormat="1" applyFont="1" applyAlignment="1">
      <alignment horizontal="center" vertical="center"/>
    </xf>
    <xf numFmtId="0" fontId="0" fillId="0" borderId="0" xfId="0" applyAlignment="1">
      <alignment vertical="center"/>
    </xf>
    <xf numFmtId="0" fontId="4" fillId="0" borderId="1" xfId="0" applyFont="1" applyBorder="1" applyAlignment="1">
      <alignment vertical="center"/>
    </xf>
    <xf numFmtId="0" fontId="4" fillId="0" borderId="1" xfId="0" applyFont="1" applyBorder="1" applyAlignment="1">
      <alignment horizontal="left" vertical="center"/>
    </xf>
    <xf numFmtId="166" fontId="4" fillId="0" borderId="1" xfId="0" applyNumberFormat="1" applyFont="1" applyBorder="1" applyAlignment="1">
      <alignment horizontal="left" vertical="center"/>
    </xf>
    <xf numFmtId="165" fontId="4" fillId="0" borderId="1" xfId="0" applyNumberFormat="1" applyFont="1" applyBorder="1" applyAlignment="1">
      <alignment horizontal="left" vertical="center"/>
    </xf>
    <xf numFmtId="165" fontId="3" fillId="2" borderId="0" xfId="0" applyNumberFormat="1" applyFont="1" applyFill="1" applyAlignment="1">
      <alignment horizontal="center" vertical="center"/>
    </xf>
    <xf numFmtId="0" fontId="6" fillId="2" borderId="0" xfId="0" applyFont="1" applyFill="1" applyAlignment="1">
      <alignment vertical="center"/>
    </xf>
    <xf numFmtId="0" fontId="7" fillId="2" borderId="0" xfId="0" applyFont="1" applyFill="1" applyAlignment="1">
      <alignment vertical="center"/>
    </xf>
    <xf numFmtId="165" fontId="7" fillId="2" borderId="0" xfId="0" applyNumberFormat="1" applyFont="1" applyFill="1" applyAlignment="1">
      <alignment horizontal="center" vertical="center"/>
    </xf>
    <xf numFmtId="165" fontId="4" fillId="0" borderId="1" xfId="0" applyNumberFormat="1" applyFont="1" applyBorder="1" applyAlignment="1">
      <alignment horizontal="center" vertical="center" wrapText="1"/>
    </xf>
    <xf numFmtId="165"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14" fontId="3" fillId="2" borderId="1"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8" fillId="0" borderId="0" xfId="0" applyFont="1"/>
    <xf numFmtId="0" fontId="4" fillId="3" borderId="3" xfId="0" applyFont="1" applyFill="1" applyBorder="1" applyAlignment="1">
      <alignment vertical="center"/>
    </xf>
    <xf numFmtId="0" fontId="4" fillId="3" borderId="4" xfId="0" applyFont="1" applyFill="1" applyBorder="1" applyAlignment="1">
      <alignment vertical="center"/>
    </xf>
    <xf numFmtId="0" fontId="3" fillId="0" borderId="5" xfId="0" applyFont="1" applyBorder="1" applyAlignment="1">
      <alignment vertical="center"/>
    </xf>
    <xf numFmtId="0" fontId="3" fillId="0" borderId="6" xfId="0" applyFont="1" applyBorder="1"/>
    <xf numFmtId="0" fontId="3" fillId="0" borderId="0" xfId="0" applyFont="1" applyAlignment="1">
      <alignment wrapText="1"/>
    </xf>
    <xf numFmtId="0" fontId="3" fillId="0" borderId="7" xfId="0" applyFont="1" applyBorder="1" applyAlignment="1">
      <alignment vertical="center"/>
    </xf>
    <xf numFmtId="0" fontId="3" fillId="0" borderId="1" xfId="0" applyFont="1" applyBorder="1" applyAlignment="1">
      <alignment vertical="center"/>
    </xf>
    <xf numFmtId="0" fontId="3" fillId="0" borderId="1" xfId="0" applyFont="1" applyBorder="1" applyAlignment="1">
      <alignment vertical="center" wrapText="1"/>
    </xf>
    <xf numFmtId="0" fontId="3" fillId="0" borderId="1" xfId="0" applyFont="1" applyBorder="1"/>
    <xf numFmtId="0" fontId="3" fillId="4" borderId="1" xfId="0" applyFont="1" applyFill="1" applyBorder="1" applyAlignment="1">
      <alignment vertical="center"/>
    </xf>
    <xf numFmtId="0" fontId="4" fillId="3" borderId="8" xfId="0" applyFont="1" applyFill="1" applyBorder="1" applyAlignment="1">
      <alignment vertical="center"/>
    </xf>
    <xf numFmtId="0" fontId="3" fillId="0" borderId="9" xfId="0" applyFont="1" applyBorder="1" applyAlignment="1">
      <alignment vertical="center"/>
    </xf>
    <xf numFmtId="0" fontId="3" fillId="0" borderId="10" xfId="0" applyFont="1" applyBorder="1" applyAlignment="1">
      <alignment vertical="top" wrapText="1"/>
    </xf>
    <xf numFmtId="0" fontId="3" fillId="0" borderId="7" xfId="0" applyFont="1" applyBorder="1" applyAlignment="1">
      <alignment vertical="center" wrapText="1"/>
    </xf>
    <xf numFmtId="0" fontId="3" fillId="0" borderId="11" xfId="0" applyFont="1" applyBorder="1" applyAlignment="1">
      <alignment vertical="center"/>
    </xf>
    <xf numFmtId="0" fontId="3" fillId="0" borderId="12" xfId="0" applyFont="1" applyBorder="1" applyAlignment="1">
      <alignment vertical="center"/>
    </xf>
    <xf numFmtId="0" fontId="0" fillId="2" borderId="0" xfId="0" applyFill="1"/>
    <xf numFmtId="0" fontId="11" fillId="2" borderId="14" xfId="0" applyFont="1" applyFill="1" applyBorder="1" applyAlignment="1">
      <alignment horizontal="center" wrapText="1"/>
    </xf>
    <xf numFmtId="167" fontId="11" fillId="2" borderId="1" xfId="0" applyNumberFormat="1" applyFont="1" applyFill="1" applyBorder="1" applyAlignment="1">
      <alignment horizontal="center"/>
    </xf>
    <xf numFmtId="0" fontId="12" fillId="0" borderId="1" xfId="0" applyFont="1" applyBorder="1" applyAlignment="1">
      <alignment horizontal="center" wrapText="1"/>
    </xf>
    <xf numFmtId="0" fontId="13" fillId="0" borderId="1" xfId="0" applyFont="1" applyBorder="1" applyAlignment="1">
      <alignment horizontal="center"/>
    </xf>
    <xf numFmtId="0" fontId="13" fillId="2" borderId="1" xfId="0" applyFont="1" applyFill="1" applyBorder="1"/>
    <xf numFmtId="14" fontId="13" fillId="2" borderId="1" xfId="0" applyNumberFormat="1" applyFont="1" applyFill="1" applyBorder="1"/>
    <xf numFmtId="167" fontId="11" fillId="5" borderId="1" xfId="0" applyNumberFormat="1" applyFont="1" applyFill="1" applyBorder="1" applyAlignment="1">
      <alignment horizontal="center"/>
    </xf>
    <xf numFmtId="168" fontId="11" fillId="6" borderId="1" xfId="0" applyNumberFormat="1" applyFont="1" applyFill="1" applyBorder="1" applyAlignment="1">
      <alignment horizontal="center"/>
    </xf>
    <xf numFmtId="167" fontId="11" fillId="6" borderId="1" xfId="0" applyNumberFormat="1" applyFont="1" applyFill="1" applyBorder="1" applyAlignment="1">
      <alignment horizontal="center"/>
    </xf>
    <xf numFmtId="0" fontId="3" fillId="0" borderId="0" xfId="0" applyFont="1"/>
    <xf numFmtId="0" fontId="15" fillId="0" borderId="0" xfId="0" applyFont="1"/>
    <xf numFmtId="0" fontId="3" fillId="2" borderId="0" xfId="0" applyFont="1" applyFill="1"/>
    <xf numFmtId="0" fontId="4" fillId="2" borderId="0" xfId="0" applyFont="1" applyFill="1"/>
    <xf numFmtId="0" fontId="16" fillId="2" borderId="0" xfId="0" applyFont="1" applyFill="1"/>
    <xf numFmtId="0" fontId="8" fillId="0" borderId="0" xfId="0" applyFont="1" applyAlignment="1">
      <alignment vertical="center"/>
    </xf>
    <xf numFmtId="0" fontId="20" fillId="2" borderId="0" xfId="0" applyFont="1" applyFill="1" applyAlignment="1">
      <alignment vertical="center"/>
    </xf>
    <xf numFmtId="0" fontId="21" fillId="2" borderId="0" xfId="0" applyFont="1" applyFill="1" applyAlignment="1">
      <alignment vertical="center"/>
    </xf>
    <xf numFmtId="1" fontId="3" fillId="2" borderId="15" xfId="0" applyNumberFormat="1" applyFont="1" applyFill="1" applyBorder="1" applyAlignment="1">
      <alignment horizontal="center"/>
    </xf>
    <xf numFmtId="0" fontId="4" fillId="2" borderId="0" xfId="0" applyFont="1" applyFill="1" applyAlignment="1">
      <alignment horizontal="right" vertical="center" wrapText="1"/>
    </xf>
    <xf numFmtId="1" fontId="22" fillId="0" borderId="13" xfId="3" applyNumberFormat="1" applyFont="1" applyBorder="1" applyAlignment="1">
      <alignment horizontal="center" vertical="center"/>
    </xf>
    <xf numFmtId="0" fontId="8" fillId="2" borderId="0" xfId="0" applyFont="1" applyFill="1" applyAlignment="1">
      <alignment vertical="center"/>
    </xf>
    <xf numFmtId="0" fontId="23" fillId="2" borderId="0" xfId="0" applyFont="1" applyFill="1" applyAlignment="1">
      <alignment horizontal="right" vertical="center"/>
    </xf>
    <xf numFmtId="1" fontId="24" fillId="0" borderId="13" xfId="3" applyNumberFormat="1" applyFont="1" applyBorder="1" applyAlignment="1">
      <alignment horizontal="center" vertical="center"/>
    </xf>
    <xf numFmtId="0" fontId="4" fillId="2" borderId="0" xfId="0" applyFont="1" applyFill="1" applyAlignment="1">
      <alignment vertical="center"/>
    </xf>
    <xf numFmtId="0" fontId="4" fillId="3" borderId="1" xfId="0" applyFont="1" applyFill="1" applyBorder="1" applyAlignment="1">
      <alignment horizontal="center" vertical="center"/>
    </xf>
    <xf numFmtId="0" fontId="25" fillId="0" borderId="16" xfId="0" applyFont="1" applyBorder="1" applyAlignment="1">
      <alignment horizontal="center" vertical="center" wrapText="1"/>
    </xf>
    <xf numFmtId="0" fontId="25" fillId="0" borderId="16" xfId="0" applyFont="1" applyBorder="1" applyAlignment="1">
      <alignment vertical="top" wrapText="1"/>
    </xf>
    <xf numFmtId="2" fontId="19" fillId="8" borderId="17" xfId="0" applyNumberFormat="1" applyFont="1" applyFill="1" applyBorder="1" applyAlignment="1">
      <alignment horizontal="center" vertical="center"/>
    </xf>
    <xf numFmtId="0" fontId="23" fillId="2" borderId="18" xfId="0" applyFont="1" applyFill="1" applyBorder="1" applyAlignment="1">
      <alignment horizontal="center" vertical="center" wrapText="1"/>
    </xf>
    <xf numFmtId="1" fontId="4" fillId="2" borderId="19" xfId="0" applyNumberFormat="1" applyFont="1" applyFill="1" applyBorder="1" applyAlignment="1">
      <alignment horizontal="center" vertical="center"/>
    </xf>
    <xf numFmtId="0" fontId="26" fillId="9" borderId="20" xfId="0" applyFont="1" applyFill="1" applyBorder="1" applyAlignment="1">
      <alignment horizontal="left" vertical="center"/>
    </xf>
    <xf numFmtId="0" fontId="26" fillId="9" borderId="21" xfId="0" applyFont="1" applyFill="1" applyBorder="1" applyAlignment="1">
      <alignment horizontal="center" vertical="center"/>
    </xf>
    <xf numFmtId="0" fontId="23" fillId="2" borderId="0" xfId="0" applyFont="1" applyFill="1" applyAlignment="1">
      <alignment horizontal="right" vertical="center" wrapText="1"/>
    </xf>
    <xf numFmtId="0" fontId="27" fillId="2" borderId="0" xfId="0" applyFont="1" applyFill="1" applyAlignment="1">
      <alignment horizontal="left" vertical="center" wrapText="1"/>
    </xf>
    <xf numFmtId="1" fontId="22" fillId="2" borderId="0" xfId="3" applyNumberFormat="1" applyFont="1" applyFill="1" applyAlignment="1">
      <alignment horizontal="center" vertical="center"/>
    </xf>
    <xf numFmtId="0" fontId="28" fillId="2" borderId="22" xfId="0" applyFont="1" applyFill="1" applyBorder="1" applyAlignment="1">
      <alignment vertical="center"/>
    </xf>
    <xf numFmtId="0" fontId="28" fillId="2" borderId="23" xfId="0" applyFont="1" applyFill="1" applyBorder="1" applyAlignment="1">
      <alignment vertical="center"/>
    </xf>
    <xf numFmtId="0" fontId="28" fillId="2" borderId="22" xfId="0" applyFont="1" applyFill="1" applyBorder="1" applyAlignment="1">
      <alignment horizontal="left" vertical="center" indent="7"/>
    </xf>
    <xf numFmtId="0" fontId="29" fillId="2" borderId="22" xfId="0" applyFont="1" applyFill="1" applyBorder="1" applyAlignment="1">
      <alignment horizontal="left" vertical="center"/>
    </xf>
    <xf numFmtId="49" fontId="24" fillId="0" borderId="13" xfId="3" applyNumberFormat="1" applyFont="1" applyBorder="1" applyAlignment="1">
      <alignment horizontal="center" vertical="center"/>
    </xf>
    <xf numFmtId="0" fontId="30" fillId="2" borderId="0" xfId="0" applyFont="1" applyFill="1"/>
    <xf numFmtId="0" fontId="31" fillId="2" borderId="0" xfId="0" applyFont="1" applyFill="1" applyAlignment="1">
      <alignment horizontal="right" vertical="center" wrapText="1"/>
    </xf>
    <xf numFmtId="0" fontId="32" fillId="2" borderId="0" xfId="0" applyFont="1" applyFill="1" applyAlignment="1">
      <alignment horizontal="left" vertical="top"/>
    </xf>
    <xf numFmtId="0" fontId="4" fillId="2" borderId="0" xfId="0" applyFont="1" applyFill="1" applyAlignment="1">
      <alignment horizontal="left" vertical="center" indent="1"/>
    </xf>
    <xf numFmtId="0" fontId="3" fillId="2" borderId="23" xfId="0" applyFont="1" applyFill="1" applyBorder="1" applyAlignment="1">
      <alignment vertical="center"/>
    </xf>
    <xf numFmtId="1" fontId="4" fillId="2" borderId="0" xfId="0" applyNumberFormat="1" applyFont="1" applyFill="1" applyAlignment="1">
      <alignment horizontal="center" vertical="center"/>
    </xf>
    <xf numFmtId="0" fontId="28" fillId="2" borderId="22" xfId="0" applyFont="1" applyFill="1" applyBorder="1" applyAlignment="1">
      <alignment horizontal="left" vertical="top" indent="5"/>
    </xf>
    <xf numFmtId="0" fontId="4" fillId="3" borderId="1"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8" fillId="0" borderId="23" xfId="0" applyFont="1" applyBorder="1" applyAlignment="1">
      <alignment vertical="center"/>
    </xf>
    <xf numFmtId="0" fontId="26" fillId="9" borderId="22" xfId="0" applyFont="1" applyFill="1" applyBorder="1" applyAlignment="1">
      <alignment horizontal="center" vertical="center"/>
    </xf>
    <xf numFmtId="0" fontId="26" fillId="9" borderId="23" xfId="0" applyFont="1" applyFill="1" applyBorder="1" applyAlignment="1">
      <alignment horizontal="center" vertical="center"/>
    </xf>
    <xf numFmtId="0" fontId="34" fillId="2" borderId="25" xfId="0" applyFont="1" applyFill="1" applyBorder="1" applyAlignment="1">
      <alignment horizontal="left" vertical="center" indent="1"/>
    </xf>
    <xf numFmtId="0" fontId="34" fillId="2" borderId="26" xfId="0" applyFont="1" applyFill="1" applyBorder="1" applyAlignment="1">
      <alignment horizontal="center" vertical="center"/>
    </xf>
    <xf numFmtId="0" fontId="34" fillId="2" borderId="27" xfId="0" applyFont="1" applyFill="1" applyBorder="1" applyAlignment="1">
      <alignment horizontal="left" vertical="center" indent="1"/>
    </xf>
    <xf numFmtId="0" fontId="34" fillId="2" borderId="28" xfId="0" applyFont="1" applyFill="1" applyBorder="1" applyAlignment="1">
      <alignment horizontal="center" vertical="center"/>
    </xf>
    <xf numFmtId="0" fontId="3" fillId="0" borderId="1" xfId="0" applyFont="1" applyBorder="1" applyAlignment="1">
      <alignment horizontal="center" vertical="center"/>
    </xf>
    <xf numFmtId="2" fontId="34" fillId="2" borderId="28" xfId="0" applyNumberFormat="1" applyFont="1" applyFill="1" applyBorder="1" applyAlignment="1">
      <alignment horizontal="center" vertical="center"/>
    </xf>
    <xf numFmtId="0" fontId="35" fillId="2" borderId="22" xfId="0" applyFont="1" applyFill="1" applyBorder="1" applyAlignment="1">
      <alignment vertical="center"/>
    </xf>
    <xf numFmtId="0" fontId="34" fillId="2" borderId="23" xfId="0" applyFont="1" applyFill="1" applyBorder="1" applyAlignment="1">
      <alignment vertical="center"/>
    </xf>
    <xf numFmtId="0" fontId="36" fillId="0" borderId="22" xfId="4" applyFont="1" applyBorder="1" applyAlignment="1">
      <alignment vertical="center"/>
    </xf>
    <xf numFmtId="0" fontId="34" fillId="9" borderId="22" xfId="0" applyFont="1" applyFill="1" applyBorder="1" applyAlignment="1">
      <alignment vertical="center"/>
    </xf>
    <xf numFmtId="0" fontId="34" fillId="9" borderId="23" xfId="0" applyFont="1" applyFill="1" applyBorder="1" applyAlignment="1">
      <alignment vertical="center"/>
    </xf>
    <xf numFmtId="0" fontId="33" fillId="2" borderId="22" xfId="0" applyFont="1" applyFill="1" applyBorder="1"/>
    <xf numFmtId="0" fontId="38" fillId="2" borderId="23" xfId="4" applyFont="1" applyFill="1" applyBorder="1" applyAlignment="1">
      <alignment vertical="center" wrapText="1"/>
    </xf>
    <xf numFmtId="0" fontId="39" fillId="2" borderId="22" xfId="4" applyFont="1" applyFill="1" applyBorder="1" applyAlignment="1">
      <alignment horizontal="left" indent="1"/>
    </xf>
    <xf numFmtId="0" fontId="3" fillId="2" borderId="29" xfId="0" applyFont="1" applyFill="1" applyBorder="1" applyAlignment="1">
      <alignment vertical="center"/>
    </xf>
    <xf numFmtId="0" fontId="3" fillId="2" borderId="30" xfId="0" applyFont="1" applyFill="1" applyBorder="1" applyAlignment="1">
      <alignment vertical="center"/>
    </xf>
    <xf numFmtId="0" fontId="23" fillId="2" borderId="0" xfId="0" applyFont="1" applyFill="1" applyAlignment="1" applyProtection="1">
      <alignment horizontal="right" vertical="center"/>
      <protection locked="0"/>
    </xf>
    <xf numFmtId="1" fontId="24" fillId="10" borderId="13" xfId="3" applyNumberFormat="1" applyFont="1" applyFill="1" applyBorder="1" applyAlignment="1" applyProtection="1">
      <alignment horizontal="center" vertical="center"/>
      <protection locked="0"/>
    </xf>
    <xf numFmtId="0" fontId="4" fillId="2" borderId="0" xfId="0" applyFont="1" applyFill="1" applyAlignment="1" applyProtection="1">
      <alignment vertical="center"/>
      <protection locked="0"/>
    </xf>
    <xf numFmtId="0" fontId="3" fillId="0" borderId="0" xfId="0" applyFont="1" applyAlignment="1">
      <alignment vertical="center" wrapText="1"/>
    </xf>
    <xf numFmtId="0" fontId="3" fillId="2" borderId="0" xfId="0" applyFont="1" applyFill="1" applyAlignment="1">
      <alignment vertical="center" wrapText="1"/>
    </xf>
    <xf numFmtId="4" fontId="4" fillId="3" borderId="1" xfId="0" applyNumberFormat="1" applyFont="1" applyFill="1" applyBorder="1" applyAlignment="1">
      <alignment horizontal="center" vertical="center" wrapText="1"/>
    </xf>
    <xf numFmtId="1" fontId="4" fillId="2" borderId="0" xfId="0" applyNumberFormat="1" applyFont="1" applyFill="1" applyAlignment="1">
      <alignment horizontal="center"/>
    </xf>
    <xf numFmtId="0" fontId="3" fillId="4" borderId="32" xfId="0" applyFont="1" applyFill="1" applyBorder="1" applyAlignment="1">
      <alignment horizontal="center" vertical="center"/>
    </xf>
    <xf numFmtId="1" fontId="3" fillId="4" borderId="32" xfId="0" applyNumberFormat="1" applyFont="1" applyFill="1" applyBorder="1" applyAlignment="1">
      <alignment horizontal="center" vertical="center"/>
    </xf>
    <xf numFmtId="1" fontId="3" fillId="0" borderId="32" xfId="0" applyNumberFormat="1" applyFont="1" applyBorder="1" applyAlignment="1">
      <alignment horizontal="center" vertical="center" wrapText="1"/>
    </xf>
    <xf numFmtId="0" fontId="3" fillId="4" borderId="33" xfId="0" applyFont="1" applyFill="1" applyBorder="1" applyAlignment="1">
      <alignment horizontal="center" vertical="center"/>
    </xf>
    <xf numFmtId="0" fontId="8" fillId="4" borderId="32" xfId="0" applyFont="1" applyFill="1" applyBorder="1" applyAlignment="1">
      <alignment horizontal="left" vertical="center" wrapText="1"/>
    </xf>
    <xf numFmtId="0" fontId="8" fillId="4" borderId="34" xfId="0" applyFont="1" applyFill="1" applyBorder="1" applyAlignment="1">
      <alignment horizontal="center" vertical="center" wrapText="1"/>
    </xf>
    <xf numFmtId="0" fontId="3" fillId="4" borderId="34" xfId="0" applyFont="1" applyFill="1" applyBorder="1" applyAlignment="1">
      <alignment horizontal="center" vertical="center" wrapText="1"/>
    </xf>
    <xf numFmtId="0" fontId="3" fillId="0" borderId="35" xfId="0" applyFont="1" applyBorder="1" applyAlignment="1">
      <alignment horizontal="center" vertical="center" wrapText="1"/>
    </xf>
    <xf numFmtId="0" fontId="3" fillId="0" borderId="36" xfId="0" applyFont="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8" fillId="4" borderId="15"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8" fillId="2" borderId="0" xfId="0" applyFont="1" applyFill="1"/>
    <xf numFmtId="1" fontId="3" fillId="0" borderId="1" xfId="0" applyNumberFormat="1" applyFont="1" applyBorder="1" applyAlignment="1">
      <alignment horizontal="center" vertical="center" wrapText="1"/>
    </xf>
    <xf numFmtId="0" fontId="3" fillId="0" borderId="37" xfId="0" applyFont="1" applyBorder="1" applyAlignment="1">
      <alignment vertical="center"/>
    </xf>
    <xf numFmtId="0" fontId="8" fillId="0" borderId="37" xfId="0" applyFont="1" applyBorder="1" applyAlignment="1">
      <alignment vertical="center"/>
    </xf>
    <xf numFmtId="169" fontId="4" fillId="3" borderId="1" xfId="0" applyNumberFormat="1" applyFont="1" applyFill="1" applyBorder="1" applyAlignment="1">
      <alignment horizontal="center"/>
    </xf>
    <xf numFmtId="170" fontId="4" fillId="0" borderId="1" xfId="1" applyFont="1" applyBorder="1" applyAlignment="1">
      <alignment horizontal="center" vertical="center"/>
    </xf>
    <xf numFmtId="170" fontId="3" fillId="0" borderId="1" xfId="1" applyFont="1" applyBorder="1" applyAlignment="1">
      <alignment horizontal="center"/>
    </xf>
    <xf numFmtId="1" fontId="3" fillId="0" borderId="1" xfId="1" applyNumberFormat="1" applyFont="1" applyBorder="1" applyAlignment="1">
      <alignment horizontal="center"/>
    </xf>
    <xf numFmtId="3" fontId="3" fillId="0" borderId="1" xfId="1" applyNumberFormat="1" applyFont="1" applyBorder="1" applyAlignment="1">
      <alignment horizontal="center"/>
    </xf>
    <xf numFmtId="170" fontId="3" fillId="0" borderId="1" xfId="1" applyFont="1" applyBorder="1"/>
    <xf numFmtId="0" fontId="3" fillId="0" borderId="1" xfId="1" applyNumberFormat="1" applyFont="1" applyBorder="1" applyAlignment="1">
      <alignment horizontal="center"/>
    </xf>
    <xf numFmtId="171" fontId="4" fillId="11" borderId="1" xfId="1" applyNumberFormat="1" applyFont="1" applyFill="1" applyBorder="1" applyAlignment="1">
      <alignment horizontal="center" vertical="center"/>
    </xf>
    <xf numFmtId="170" fontId="4" fillId="0" borderId="14" xfId="1" applyFont="1" applyBorder="1" applyAlignment="1">
      <alignment horizontal="center" vertical="center"/>
    </xf>
    <xf numFmtId="0" fontId="3" fillId="0" borderId="0" xfId="0" applyFont="1" applyAlignment="1">
      <alignment horizontal="center"/>
    </xf>
    <xf numFmtId="4" fontId="3" fillId="0" borderId="0" xfId="0" applyNumberFormat="1" applyFont="1" applyAlignment="1">
      <alignment horizontal="center"/>
    </xf>
    <xf numFmtId="0" fontId="4" fillId="2" borderId="0" xfId="0" applyFont="1" applyFill="1" applyAlignment="1">
      <alignment horizontal="center"/>
    </xf>
    <xf numFmtId="0" fontId="40" fillId="3" borderId="1" xfId="0" applyFont="1" applyFill="1" applyBorder="1" applyAlignment="1">
      <alignment horizontal="center" vertical="center" wrapText="1"/>
    </xf>
    <xf numFmtId="0" fontId="3" fillId="0" borderId="1" xfId="0" applyFont="1" applyBorder="1" applyAlignment="1">
      <alignment horizontal="left"/>
    </xf>
    <xf numFmtId="0" fontId="3" fillId="0" borderId="0" xfId="0" applyFont="1" applyAlignment="1">
      <alignment horizontal="center" vertical="center"/>
    </xf>
    <xf numFmtId="0" fontId="3" fillId="4" borderId="1" xfId="0" applyFont="1" applyFill="1" applyBorder="1"/>
    <xf numFmtId="0" fontId="3" fillId="4" borderId="1" xfId="0" applyFont="1" applyFill="1" applyBorder="1" applyAlignment="1">
      <alignment horizontal="left"/>
    </xf>
    <xf numFmtId="0" fontId="3" fillId="16" borderId="1" xfId="0" applyFont="1" applyFill="1" applyBorder="1"/>
    <xf numFmtId="0" fontId="3" fillId="14" borderId="1" xfId="0" applyFont="1" applyFill="1" applyBorder="1" applyAlignment="1">
      <alignment horizontal="left"/>
    </xf>
    <xf numFmtId="0" fontId="3" fillId="15" borderId="1" xfId="0" applyFont="1" applyFill="1" applyBorder="1" applyAlignment="1">
      <alignment horizontal="left"/>
    </xf>
    <xf numFmtId="0" fontId="4" fillId="3" borderId="32" xfId="0" applyFont="1" applyFill="1" applyBorder="1" applyAlignment="1">
      <alignment horizontal="center"/>
    </xf>
    <xf numFmtId="169" fontId="4" fillId="3" borderId="32" xfId="0" applyNumberFormat="1" applyFont="1" applyFill="1" applyBorder="1" applyAlignment="1">
      <alignment horizontal="center"/>
    </xf>
    <xf numFmtId="0" fontId="3" fillId="17" borderId="1" xfId="0" applyFont="1" applyFill="1" applyBorder="1"/>
    <xf numFmtId="1" fontId="4" fillId="3" borderId="32" xfId="0" applyNumberFormat="1" applyFont="1" applyFill="1" applyBorder="1" applyAlignment="1">
      <alignment horizontal="center"/>
    </xf>
    <xf numFmtId="1" fontId="4" fillId="3" borderId="1" xfId="0" applyNumberFormat="1" applyFont="1" applyFill="1" applyBorder="1" applyAlignment="1">
      <alignment horizontal="center"/>
    </xf>
    <xf numFmtId="4" fontId="4" fillId="18" borderId="18" xfId="0" applyNumberFormat="1" applyFont="1" applyFill="1" applyBorder="1" applyAlignment="1">
      <alignment horizontal="center" vertical="center"/>
    </xf>
    <xf numFmtId="4" fontId="4" fillId="18" borderId="41" xfId="0" applyNumberFormat="1" applyFont="1" applyFill="1" applyBorder="1" applyAlignment="1">
      <alignment horizontal="center" vertical="center"/>
    </xf>
    <xf numFmtId="0" fontId="4" fillId="18" borderId="19" xfId="0" applyFont="1" applyFill="1" applyBorder="1" applyAlignment="1">
      <alignment horizontal="center" vertical="center"/>
    </xf>
    <xf numFmtId="0" fontId="3" fillId="0" borderId="27" xfId="0" applyFont="1" applyBorder="1" applyAlignment="1">
      <alignment horizontal="left" vertical="center"/>
    </xf>
    <xf numFmtId="167" fontId="3" fillId="18" borderId="5" xfId="1" applyNumberFormat="1" applyFont="1" applyFill="1" applyBorder="1"/>
    <xf numFmtId="167" fontId="3" fillId="18" borderId="1" xfId="1" applyNumberFormat="1" applyFont="1" applyFill="1" applyBorder="1"/>
    <xf numFmtId="167" fontId="3" fillId="18" borderId="7" xfId="1" applyNumberFormat="1" applyFont="1" applyFill="1" applyBorder="1"/>
    <xf numFmtId="167" fontId="3" fillId="18" borderId="42" xfId="1" applyNumberFormat="1" applyFont="1" applyFill="1" applyBorder="1"/>
    <xf numFmtId="0" fontId="3" fillId="0" borderId="27" xfId="0" applyFont="1" applyBorder="1"/>
    <xf numFmtId="167" fontId="4" fillId="0" borderId="13" xfId="1" applyNumberFormat="1" applyFont="1" applyBorder="1"/>
    <xf numFmtId="0" fontId="3" fillId="0" borderId="29" xfId="0" applyFont="1" applyBorder="1"/>
    <xf numFmtId="167" fontId="4" fillId="19" borderId="13" xfId="1" applyNumberFormat="1" applyFont="1" applyFill="1" applyBorder="1"/>
    <xf numFmtId="168" fontId="4" fillId="2" borderId="0" xfId="1" applyNumberFormat="1" applyFont="1" applyFill="1"/>
    <xf numFmtId="0" fontId="3" fillId="20" borderId="0" xfId="0" applyFont="1" applyFill="1"/>
    <xf numFmtId="0" fontId="41" fillId="0" borderId="0" xfId="0" applyFont="1" applyAlignment="1">
      <alignment horizontal="right"/>
    </xf>
    <xf numFmtId="167" fontId="41" fillId="20" borderId="13" xfId="1" applyNumberFormat="1" applyFont="1" applyFill="1" applyBorder="1"/>
    <xf numFmtId="0" fontId="42" fillId="2" borderId="0" xfId="4" applyFont="1" applyFill="1"/>
    <xf numFmtId="4" fontId="3" fillId="2" borderId="0" xfId="0" applyNumberFormat="1" applyFont="1" applyFill="1"/>
    <xf numFmtId="0" fontId="4" fillId="0" borderId="18" xfId="0" applyFont="1" applyBorder="1" applyAlignment="1">
      <alignment horizontal="right" vertical="center"/>
    </xf>
    <xf numFmtId="0" fontId="4" fillId="21" borderId="43" xfId="0" applyFont="1" applyFill="1" applyBorder="1" applyAlignment="1">
      <alignment horizontal="right"/>
    </xf>
    <xf numFmtId="0" fontId="4" fillId="0" borderId="44" xfId="0" applyFont="1" applyBorder="1" applyAlignment="1">
      <alignment horizontal="right"/>
    </xf>
    <xf numFmtId="0" fontId="4" fillId="21" borderId="44" xfId="0" applyFont="1" applyFill="1" applyBorder="1"/>
    <xf numFmtId="0" fontId="37" fillId="0" borderId="0" xfId="4"/>
    <xf numFmtId="0" fontId="4" fillId="0" borderId="13" xfId="0" applyFont="1" applyBorder="1" applyAlignment="1">
      <alignment horizontal="right"/>
    </xf>
    <xf numFmtId="0" fontId="4" fillId="21" borderId="13" xfId="0" applyFont="1" applyFill="1" applyBorder="1"/>
    <xf numFmtId="0" fontId="28" fillId="2" borderId="0" xfId="0" applyFont="1" applyFill="1"/>
    <xf numFmtId="0" fontId="4" fillId="19" borderId="13" xfId="0" applyFont="1" applyFill="1" applyBorder="1"/>
    <xf numFmtId="0" fontId="4" fillId="0" borderId="2" xfId="0" applyFont="1" applyBorder="1" applyAlignment="1">
      <alignment horizontal="right"/>
    </xf>
    <xf numFmtId="1" fontId="4" fillId="19" borderId="2" xfId="0" applyNumberFormat="1" applyFont="1" applyFill="1" applyBorder="1"/>
    <xf numFmtId="0" fontId="4" fillId="0" borderId="18" xfId="0" applyFont="1" applyBorder="1" applyAlignment="1">
      <alignment horizontal="right"/>
    </xf>
    <xf numFmtId="1" fontId="4" fillId="19" borderId="19" xfId="0" applyNumberFormat="1" applyFont="1" applyFill="1" applyBorder="1"/>
    <xf numFmtId="0" fontId="4" fillId="0" borderId="45" xfId="0" applyFont="1" applyBorder="1" applyAlignment="1">
      <alignment horizontal="right"/>
    </xf>
    <xf numFmtId="0" fontId="4" fillId="19" borderId="8" xfId="0" applyFont="1" applyFill="1" applyBorder="1"/>
    <xf numFmtId="0" fontId="29" fillId="2" borderId="0" xfId="0" applyFont="1" applyFill="1"/>
    <xf numFmtId="0" fontId="29" fillId="0" borderId="0" xfId="0" applyFont="1"/>
    <xf numFmtId="0" fontId="4" fillId="0" borderId="0" xfId="0" applyFont="1"/>
    <xf numFmtId="0" fontId="43" fillId="0" borderId="0" xfId="0" applyFont="1" applyAlignment="1">
      <alignment horizontal="right"/>
    </xf>
    <xf numFmtId="1" fontId="4" fillId="0" borderId="0" xfId="0" applyNumberFormat="1" applyFont="1" applyAlignment="1">
      <alignment horizontal="center"/>
    </xf>
    <xf numFmtId="0" fontId="4" fillId="0" borderId="0" xfId="0" applyFont="1" applyAlignment="1">
      <alignment horizontal="center"/>
    </xf>
    <xf numFmtId="0" fontId="4" fillId="0" borderId="1" xfId="0" applyFont="1" applyBorder="1"/>
    <xf numFmtId="0" fontId="44" fillId="23" borderId="1" xfId="0" applyFont="1" applyFill="1" applyBorder="1" applyAlignment="1">
      <alignment horizontal="center"/>
    </xf>
    <xf numFmtId="0" fontId="45" fillId="23" borderId="1" xfId="0" applyFont="1" applyFill="1" applyBorder="1" applyAlignment="1">
      <alignment horizontal="center"/>
    </xf>
    <xf numFmtId="0" fontId="3" fillId="4" borderId="1" xfId="0" applyFont="1" applyFill="1" applyBorder="1" applyAlignment="1">
      <alignment horizontal="center" wrapText="1"/>
    </xf>
    <xf numFmtId="0" fontId="46" fillId="24" borderId="1" xfId="0" applyFont="1" applyFill="1" applyBorder="1" applyAlignment="1">
      <alignment horizontal="center" vertical="center"/>
    </xf>
    <xf numFmtId="0" fontId="3" fillId="14" borderId="1" xfId="0" applyFont="1" applyFill="1" applyBorder="1" applyAlignment="1">
      <alignment horizontal="center"/>
    </xf>
    <xf numFmtId="0" fontId="3" fillId="16" borderId="1" xfId="0" applyFont="1" applyFill="1" applyBorder="1" applyAlignment="1">
      <alignment horizontal="center"/>
    </xf>
    <xf numFmtId="0" fontId="3" fillId="4" borderId="0" xfId="0" applyFont="1" applyFill="1" applyAlignment="1">
      <alignment horizontal="center" vertical="center" wrapText="1"/>
    </xf>
    <xf numFmtId="0" fontId="3" fillId="2" borderId="1" xfId="0" applyFont="1" applyFill="1" applyBorder="1" applyAlignment="1">
      <alignment horizontal="center" wrapText="1"/>
    </xf>
    <xf numFmtId="1" fontId="3" fillId="2" borderId="1" xfId="0" applyNumberFormat="1" applyFont="1" applyFill="1" applyBorder="1" applyAlignment="1">
      <alignment horizontal="center"/>
    </xf>
    <xf numFmtId="0" fontId="3" fillId="2" borderId="1" xfId="0" applyFont="1" applyFill="1" applyBorder="1" applyAlignment="1">
      <alignment horizontal="center"/>
    </xf>
    <xf numFmtId="0" fontId="3" fillId="0" borderId="1" xfId="0" applyFont="1" applyBorder="1" applyAlignment="1">
      <alignment horizontal="center"/>
    </xf>
    <xf numFmtId="1" fontId="44" fillId="23" borderId="1" xfId="0" applyNumberFormat="1" applyFont="1" applyFill="1" applyBorder="1" applyAlignment="1">
      <alignment horizontal="center"/>
    </xf>
    <xf numFmtId="0" fontId="4" fillId="0" borderId="0" xfId="0" applyFont="1" applyAlignment="1">
      <alignment horizontal="right"/>
    </xf>
    <xf numFmtId="0" fontId="3" fillId="23" borderId="0" xfId="0" applyFont="1" applyFill="1"/>
    <xf numFmtId="9" fontId="3" fillId="17" borderId="1" xfId="0" applyNumberFormat="1" applyFont="1" applyFill="1" applyBorder="1" applyAlignment="1">
      <alignment horizontal="center"/>
    </xf>
    <xf numFmtId="0" fontId="47" fillId="0" borderId="1" xfId="0" applyFont="1" applyBorder="1" applyAlignment="1">
      <alignment horizontal="center"/>
    </xf>
    <xf numFmtId="0" fontId="3" fillId="17" borderId="1" xfId="0" applyFont="1" applyFill="1" applyBorder="1" applyAlignment="1">
      <alignment horizontal="center"/>
    </xf>
    <xf numFmtId="1" fontId="3" fillId="0" borderId="1" xfId="0" applyNumberFormat="1" applyFont="1" applyBorder="1" applyAlignment="1">
      <alignment horizontal="center"/>
    </xf>
    <xf numFmtId="1" fontId="3" fillId="17" borderId="1" xfId="0" applyNumberFormat="1" applyFont="1" applyFill="1" applyBorder="1" applyAlignment="1">
      <alignment horizontal="center"/>
    </xf>
    <xf numFmtId="0" fontId="3" fillId="2" borderId="0" xfId="0" applyFont="1" applyFill="1" applyAlignment="1">
      <alignment horizontal="center"/>
    </xf>
    <xf numFmtId="0" fontId="45" fillId="25" borderId="0" xfId="0" applyFont="1" applyFill="1" applyAlignment="1">
      <alignment horizontal="left"/>
    </xf>
    <xf numFmtId="0" fontId="3" fillId="25" borderId="0" xfId="0" applyFont="1" applyFill="1"/>
    <xf numFmtId="0" fontId="4" fillId="0" borderId="1" xfId="0" applyFont="1" applyBorder="1" applyAlignment="1">
      <alignment horizontal="center"/>
    </xf>
    <xf numFmtId="0" fontId="3" fillId="0" borderId="1" xfId="0" applyFont="1" applyBorder="1" applyAlignment="1">
      <alignment horizontal="center" wrapText="1"/>
    </xf>
    <xf numFmtId="0" fontId="4" fillId="2" borderId="1" xfId="0" applyFont="1" applyFill="1" applyBorder="1" applyAlignment="1">
      <alignment horizontal="center" vertical="center"/>
    </xf>
    <xf numFmtId="0" fontId="4" fillId="0" borderId="1" xfId="0" applyFont="1" applyBorder="1" applyAlignment="1">
      <alignment horizontal="center" wrapText="1"/>
    </xf>
    <xf numFmtId="1" fontId="3" fillId="2" borderId="1" xfId="0" applyNumberFormat="1" applyFont="1" applyFill="1" applyBorder="1" applyAlignment="1">
      <alignment horizontal="center" vertical="center"/>
    </xf>
    <xf numFmtId="0" fontId="48" fillId="0" borderId="32" xfId="0" applyFont="1" applyBorder="1" applyAlignment="1">
      <alignment horizontal="center" wrapText="1"/>
    </xf>
    <xf numFmtId="0" fontId="48" fillId="0" borderId="1" xfId="0" applyFont="1" applyBorder="1" applyAlignment="1">
      <alignment horizontal="center" wrapText="1"/>
    </xf>
    <xf numFmtId="0" fontId="49" fillId="0" borderId="0" xfId="0" applyFont="1"/>
    <xf numFmtId="0" fontId="3" fillId="0" borderId="0" xfId="0" applyFont="1" applyAlignment="1">
      <alignment horizontal="right" wrapText="1"/>
    </xf>
    <xf numFmtId="0" fontId="43" fillId="13" borderId="0" xfId="0" applyFont="1" applyFill="1" applyAlignment="1">
      <alignment horizontal="center"/>
    </xf>
    <xf numFmtId="0" fontId="3" fillId="13" borderId="0" xfId="0" applyFont="1" applyFill="1" applyAlignment="1">
      <alignment horizontal="center" vertical="center"/>
    </xf>
    <xf numFmtId="0" fontId="3" fillId="13" borderId="0" xfId="0" applyFont="1" applyFill="1" applyAlignment="1">
      <alignment horizontal="center"/>
    </xf>
    <xf numFmtId="0" fontId="3" fillId="13" borderId="1" xfId="0" applyFont="1" applyFill="1" applyBorder="1" applyAlignment="1">
      <alignment horizontal="center"/>
    </xf>
    <xf numFmtId="0" fontId="3" fillId="13" borderId="1" xfId="0" applyFont="1" applyFill="1" applyBorder="1" applyAlignment="1">
      <alignment horizontal="center" vertical="center"/>
    </xf>
    <xf numFmtId="0" fontId="4" fillId="13" borderId="1" xfId="0" applyFont="1" applyFill="1" applyBorder="1" applyAlignment="1">
      <alignment horizontal="center"/>
    </xf>
    <xf numFmtId="0" fontId="4" fillId="13" borderId="1" xfId="0" applyFont="1" applyFill="1" applyBorder="1" applyAlignment="1">
      <alignment horizontal="center" vertical="center"/>
    </xf>
    <xf numFmtId="1" fontId="3" fillId="14" borderId="1" xfId="0" applyNumberFormat="1" applyFont="1" applyFill="1" applyBorder="1" applyAlignment="1">
      <alignment horizontal="center"/>
    </xf>
    <xf numFmtId="0" fontId="3" fillId="20" borderId="1" xfId="0" applyFont="1" applyFill="1" applyBorder="1" applyAlignment="1">
      <alignment horizontal="center" wrapText="1"/>
    </xf>
    <xf numFmtId="1" fontId="3" fillId="20" borderId="1" xfId="0" applyNumberFormat="1" applyFont="1" applyFill="1" applyBorder="1" applyAlignment="1">
      <alignment horizontal="center"/>
    </xf>
    <xf numFmtId="0" fontId="3" fillId="0" borderId="23" xfId="0" applyFont="1" applyBorder="1"/>
    <xf numFmtId="0" fontId="3" fillId="0" borderId="0" xfId="0" applyFont="1" applyAlignment="1">
      <alignment horizontal="left"/>
    </xf>
    <xf numFmtId="0" fontId="3" fillId="0" borderId="40" xfId="0" applyFont="1" applyBorder="1"/>
    <xf numFmtId="0" fontId="3" fillId="0" borderId="30" xfId="0" applyFont="1" applyBorder="1"/>
    <xf numFmtId="0" fontId="46" fillId="17" borderId="1" xfId="0" applyFont="1" applyFill="1" applyBorder="1" applyAlignment="1">
      <alignment horizontal="center" vertical="center"/>
    </xf>
    <xf numFmtId="0" fontId="46" fillId="2" borderId="1" xfId="0" applyFont="1" applyFill="1" applyBorder="1" applyAlignment="1">
      <alignment horizontal="center" vertical="center"/>
    </xf>
    <xf numFmtId="0" fontId="3" fillId="2" borderId="0" xfId="0" applyFont="1" applyFill="1" applyAlignment="1">
      <alignment horizontal="center" vertical="center" wrapText="1"/>
    </xf>
    <xf numFmtId="0" fontId="47" fillId="8" borderId="1" xfId="0" applyFont="1" applyFill="1" applyBorder="1" applyAlignment="1">
      <alignment horizontal="left"/>
    </xf>
    <xf numFmtId="0" fontId="4" fillId="8" borderId="1" xfId="0" applyFont="1" applyFill="1" applyBorder="1" applyAlignment="1">
      <alignment horizontal="center" vertical="center"/>
    </xf>
    <xf numFmtId="0" fontId="4" fillId="8" borderId="1" xfId="0" applyFont="1" applyFill="1" applyBorder="1" applyAlignment="1">
      <alignment horizontal="center"/>
    </xf>
    <xf numFmtId="0" fontId="4" fillId="0" borderId="32" xfId="0" applyFont="1" applyBorder="1" applyAlignment="1">
      <alignment horizontal="center" wrapText="1"/>
    </xf>
    <xf numFmtId="0" fontId="0" fillId="0" borderId="1" xfId="0" applyBorder="1"/>
    <xf numFmtId="0" fontId="0" fillId="0" borderId="37" xfId="0" applyBorder="1"/>
    <xf numFmtId="0" fontId="13" fillId="0" borderId="46" xfId="0" applyFont="1" applyBorder="1" applyAlignment="1">
      <alignment horizontal="center" wrapText="1"/>
    </xf>
    <xf numFmtId="0" fontId="13" fillId="0" borderId="35" xfId="0" applyFont="1" applyBorder="1" applyAlignment="1">
      <alignment horizontal="center" wrapText="1"/>
    </xf>
    <xf numFmtId="0" fontId="46" fillId="0" borderId="0" xfId="0" applyFont="1"/>
    <xf numFmtId="0" fontId="46" fillId="0" borderId="0" xfId="0" applyFont="1" applyAlignment="1">
      <alignment horizontal="center"/>
    </xf>
    <xf numFmtId="0" fontId="42" fillId="0" borderId="0" xfId="4" applyFont="1"/>
    <xf numFmtId="0" fontId="19" fillId="3" borderId="13" xfId="0" applyFont="1" applyFill="1" applyBorder="1" applyAlignment="1">
      <alignment horizontal="center"/>
    </xf>
    <xf numFmtId="0" fontId="17" fillId="2" borderId="1" xfId="0" applyFont="1" applyFill="1" applyBorder="1" applyAlignment="1">
      <alignment horizontal="center"/>
    </xf>
    <xf numFmtId="0" fontId="3" fillId="0" borderId="2" xfId="0" applyFont="1" applyBorder="1" applyAlignment="1">
      <alignment horizont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2" borderId="1" xfId="0" applyFont="1" applyFill="1" applyBorder="1" applyAlignment="1">
      <alignment horizontal="left" vertical="center" wrapText="1"/>
    </xf>
    <xf numFmtId="49" fontId="3" fillId="2" borderId="1" xfId="0" applyNumberFormat="1" applyFont="1" applyFill="1" applyBorder="1" applyAlignment="1">
      <alignment horizontal="left" vertical="center" wrapText="1"/>
    </xf>
    <xf numFmtId="49" fontId="3" fillId="2" borderId="1" xfId="0" applyNumberFormat="1" applyFont="1" applyFill="1" applyBorder="1" applyAlignment="1">
      <alignment horizontal="left" vertical="top" wrapText="1"/>
    </xf>
    <xf numFmtId="0" fontId="9" fillId="3" borderId="2" xfId="0" applyFont="1" applyFill="1" applyBorder="1" applyAlignment="1">
      <alignment horizontal="center" vertical="center"/>
    </xf>
    <xf numFmtId="0" fontId="10" fillId="3" borderId="13" xfId="0" applyFont="1" applyFill="1" applyBorder="1" applyAlignment="1">
      <alignment horizontal="center"/>
    </xf>
    <xf numFmtId="0" fontId="10" fillId="3" borderId="1" xfId="0" applyFont="1" applyFill="1" applyBorder="1" applyAlignment="1">
      <alignment horizontal="center"/>
    </xf>
    <xf numFmtId="0" fontId="14" fillId="7" borderId="13" xfId="0" applyFont="1" applyFill="1" applyBorder="1" applyAlignment="1">
      <alignment horizontal="left" vertical="center"/>
    </xf>
    <xf numFmtId="0" fontId="17" fillId="2" borderId="13" xfId="0" applyFont="1" applyFill="1" applyBorder="1" applyAlignment="1">
      <alignment horizontal="center"/>
    </xf>
    <xf numFmtId="0" fontId="51" fillId="0" borderId="2" xfId="0" applyFont="1" applyBorder="1" applyAlignment="1">
      <alignment horizontal="left" vertical="top" wrapText="1"/>
    </xf>
    <xf numFmtId="0" fontId="18" fillId="0" borderId="2" xfId="0" applyFont="1" applyBorder="1" applyAlignment="1">
      <alignment horizontal="left" vertical="top" wrapText="1"/>
    </xf>
    <xf numFmtId="2" fontId="19" fillId="8" borderId="13" xfId="0" applyNumberFormat="1" applyFont="1" applyFill="1" applyBorder="1" applyAlignment="1">
      <alignment horizontal="center" vertical="center"/>
    </xf>
    <xf numFmtId="0" fontId="29" fillId="2" borderId="24" xfId="0" applyFont="1" applyFill="1" applyBorder="1" applyAlignment="1">
      <alignment horizontal="left" vertical="center" wrapText="1"/>
    </xf>
    <xf numFmtId="0" fontId="33" fillId="2" borderId="24" xfId="0" applyFont="1" applyFill="1" applyBorder="1" applyAlignment="1">
      <alignment horizontal="left"/>
    </xf>
    <xf numFmtId="0" fontId="4" fillId="3" borderId="1" xfId="0" applyFont="1" applyFill="1" applyBorder="1" applyAlignment="1">
      <alignment horizontal="center"/>
    </xf>
    <xf numFmtId="0" fontId="3" fillId="2" borderId="31" xfId="0" applyFont="1" applyFill="1" applyBorder="1" applyAlignment="1">
      <alignment horizontal="center"/>
    </xf>
    <xf numFmtId="0" fontId="4" fillId="3" borderId="1" xfId="0" applyFont="1" applyFill="1" applyBorder="1" applyAlignment="1">
      <alignment horizontal="right"/>
    </xf>
    <xf numFmtId="170" fontId="4" fillId="0" borderId="38" xfId="1" applyFont="1" applyBorder="1" applyAlignment="1">
      <alignment horizontal="center" vertical="center"/>
    </xf>
    <xf numFmtId="170" fontId="4" fillId="0" borderId="38" xfId="1" applyFont="1" applyBorder="1" applyAlignment="1">
      <alignment horizontal="center" vertical="center" wrapText="1"/>
    </xf>
    <xf numFmtId="170" fontId="4" fillId="0" borderId="1" xfId="1" applyFont="1" applyBorder="1" applyAlignment="1">
      <alignment horizontal="center" vertical="center" wrapText="1"/>
    </xf>
    <xf numFmtId="170" fontId="4" fillId="0" borderId="1" xfId="1" applyFont="1" applyBorder="1" applyAlignment="1">
      <alignment horizontal="center" vertical="center"/>
    </xf>
    <xf numFmtId="170" fontId="4" fillId="0" borderId="1" xfId="1" applyFont="1" applyBorder="1" applyAlignment="1">
      <alignment horizontal="right"/>
    </xf>
    <xf numFmtId="0" fontId="9" fillId="3" borderId="13" xfId="0" applyFont="1" applyFill="1" applyBorder="1" applyAlignment="1">
      <alignment horizontal="center"/>
    </xf>
    <xf numFmtId="0" fontId="4" fillId="0" borderId="14" xfId="0" applyFont="1" applyBorder="1" applyAlignment="1">
      <alignment horizontal="center" vertical="center" wrapText="1"/>
    </xf>
    <xf numFmtId="0" fontId="4" fillId="0" borderId="38" xfId="0" applyFont="1" applyBorder="1" applyAlignment="1">
      <alignment horizontal="center" vertical="center" wrapText="1"/>
    </xf>
    <xf numFmtId="170" fontId="4" fillId="0" borderId="14" xfId="1" applyFont="1" applyBorder="1" applyAlignment="1">
      <alignment horizontal="center" vertical="center" wrapText="1"/>
    </xf>
    <xf numFmtId="164" fontId="4" fillId="11" borderId="1" xfId="2" applyFont="1" applyFill="1" applyBorder="1" applyAlignment="1">
      <alignment horizontal="center" vertical="center"/>
    </xf>
    <xf numFmtId="164" fontId="4" fillId="12" borderId="1" xfId="2" applyFont="1" applyFill="1" applyBorder="1" applyAlignment="1">
      <alignment horizontal="center" vertical="center"/>
    </xf>
    <xf numFmtId="1" fontId="3" fillId="0" borderId="1" xfId="0" applyNumberFormat="1" applyFont="1" applyBorder="1" applyAlignment="1">
      <alignment horizontal="center" vertical="center"/>
    </xf>
    <xf numFmtId="164" fontId="20" fillId="0" borderId="1" xfId="2" applyFont="1" applyBorder="1" applyAlignment="1">
      <alignment horizontal="center" vertical="center"/>
    </xf>
    <xf numFmtId="0" fontId="3" fillId="0" borderId="14" xfId="0" applyFont="1" applyBorder="1" applyAlignment="1">
      <alignment horizontal="center"/>
    </xf>
    <xf numFmtId="0" fontId="4" fillId="3"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3" fillId="0" borderId="1" xfId="0" applyFont="1" applyBorder="1" applyAlignment="1">
      <alignment horizontal="center" vertical="center"/>
    </xf>
    <xf numFmtId="172" fontId="3" fillId="13" borderId="1" xfId="0" applyNumberFormat="1" applyFont="1" applyFill="1" applyBorder="1" applyAlignment="1">
      <alignment horizontal="center" vertical="center" wrapText="1"/>
    </xf>
    <xf numFmtId="172" fontId="3" fillId="4" borderId="1" xfId="0" applyNumberFormat="1" applyFont="1" applyFill="1" applyBorder="1" applyAlignment="1">
      <alignment horizontal="center" vertical="center" wrapText="1"/>
    </xf>
    <xf numFmtId="10" fontId="3" fillId="2" borderId="1" xfId="0" applyNumberFormat="1" applyFont="1" applyFill="1" applyBorder="1" applyAlignment="1">
      <alignment horizontal="center" vertical="center" wrapText="1"/>
    </xf>
    <xf numFmtId="172" fontId="3" fillId="0" borderId="1" xfId="0" applyNumberFormat="1" applyFont="1" applyBorder="1" applyAlignment="1">
      <alignment horizontal="center" vertical="center"/>
    </xf>
    <xf numFmtId="0" fontId="3" fillId="0" borderId="39" xfId="0" applyFont="1" applyBorder="1" applyAlignment="1">
      <alignment horizontal="center"/>
    </xf>
    <xf numFmtId="0" fontId="3" fillId="14" borderId="1" xfId="0" applyFont="1" applyFill="1" applyBorder="1" applyAlignment="1">
      <alignment horizontal="center" vertical="center"/>
    </xf>
    <xf numFmtId="0" fontId="3" fillId="14" borderId="1" xfId="0" applyFont="1" applyFill="1" applyBorder="1" applyAlignment="1">
      <alignment horizontal="center" vertical="center" wrapText="1"/>
    </xf>
    <xf numFmtId="1" fontId="3" fillId="15" borderId="14" xfId="0" applyNumberFormat="1" applyFont="1" applyFill="1" applyBorder="1" applyAlignment="1">
      <alignment horizontal="center" vertical="center" wrapText="1"/>
    </xf>
    <xf numFmtId="1" fontId="3" fillId="15" borderId="1" xfId="0" applyNumberFormat="1" applyFont="1" applyFill="1" applyBorder="1" applyAlignment="1">
      <alignment horizontal="center" vertical="center" wrapText="1"/>
    </xf>
    <xf numFmtId="0" fontId="3" fillId="16" borderId="1" xfId="0" applyFont="1" applyFill="1" applyBorder="1" applyAlignment="1">
      <alignment horizontal="center" vertical="center"/>
    </xf>
    <xf numFmtId="172" fontId="3" fillId="15" borderId="1" xfId="0" applyNumberFormat="1" applyFont="1" applyFill="1" applyBorder="1" applyAlignment="1">
      <alignment horizontal="center" vertical="center" wrapText="1"/>
    </xf>
    <xf numFmtId="4" fontId="3" fillId="14" borderId="14" xfId="0" applyNumberFormat="1" applyFont="1" applyFill="1" applyBorder="1" applyAlignment="1">
      <alignment horizontal="center" vertical="center"/>
    </xf>
    <xf numFmtId="10" fontId="3" fillId="2" borderId="1" xfId="0" applyNumberFormat="1" applyFont="1" applyFill="1" applyBorder="1" applyAlignment="1">
      <alignment horizontal="center" vertical="center"/>
    </xf>
    <xf numFmtId="1" fontId="3" fillId="13" borderId="1" xfId="0" applyNumberFormat="1" applyFont="1" applyFill="1" applyBorder="1" applyAlignment="1">
      <alignment horizontal="center" vertical="center" wrapText="1"/>
    </xf>
    <xf numFmtId="0" fontId="3" fillId="14" borderId="14" xfId="0" applyFont="1" applyFill="1" applyBorder="1" applyAlignment="1">
      <alignment horizontal="center" vertical="center" wrapText="1"/>
    </xf>
    <xf numFmtId="172" fontId="3" fillId="0" borderId="14" xfId="0" applyNumberFormat="1" applyFont="1" applyBorder="1" applyAlignment="1">
      <alignment horizontal="center" vertical="center"/>
    </xf>
    <xf numFmtId="0" fontId="19" fillId="0" borderId="40" xfId="0" applyFont="1" applyBorder="1" applyAlignment="1">
      <alignment horizontal="center"/>
    </xf>
    <xf numFmtId="0" fontId="4" fillId="0" borderId="17" xfId="0" applyFont="1" applyBorder="1" applyAlignment="1">
      <alignment horizontal="center" vertical="center"/>
    </xf>
    <xf numFmtId="0" fontId="4" fillId="18" borderId="13" xfId="0" applyFont="1" applyFill="1" applyBorder="1" applyAlignment="1">
      <alignment horizontal="center" vertical="center"/>
    </xf>
    <xf numFmtId="0" fontId="4" fillId="0" borderId="0" xfId="0" applyFont="1" applyAlignment="1">
      <alignment horizontal="right" vertical="center"/>
    </xf>
    <xf numFmtId="0" fontId="4" fillId="2" borderId="1" xfId="0" applyFont="1" applyFill="1" applyBorder="1" applyAlignment="1">
      <alignment horizontal="center"/>
    </xf>
    <xf numFmtId="1" fontId="48" fillId="27" borderId="1" xfId="0" applyNumberFormat="1" applyFont="1" applyFill="1" applyBorder="1" applyAlignment="1">
      <alignment horizontal="center"/>
    </xf>
    <xf numFmtId="1" fontId="48" fillId="27" borderId="1" xfId="0" applyNumberFormat="1" applyFont="1" applyFill="1" applyBorder="1" applyAlignment="1">
      <alignment horizontal="center" vertical="center"/>
    </xf>
    <xf numFmtId="0" fontId="4" fillId="10" borderId="1" xfId="0" applyFont="1" applyFill="1" applyBorder="1" applyAlignment="1">
      <alignment horizontal="center"/>
    </xf>
    <xf numFmtId="0" fontId="4" fillId="22" borderId="1" xfId="0" applyFont="1" applyFill="1" applyBorder="1" applyAlignment="1">
      <alignment horizontal="center"/>
    </xf>
    <xf numFmtId="0" fontId="44" fillId="23" borderId="0" xfId="0" applyFont="1" applyFill="1" applyAlignment="1">
      <alignment horizontal="left"/>
    </xf>
    <xf numFmtId="0" fontId="4" fillId="26" borderId="1" xfId="0" applyFont="1" applyFill="1" applyBorder="1" applyAlignment="1">
      <alignment horizontal="center"/>
    </xf>
    <xf numFmtId="0" fontId="26" fillId="9" borderId="2" xfId="0" applyFont="1" applyFill="1" applyBorder="1" applyAlignment="1">
      <alignment horizontal="center" vertical="center"/>
    </xf>
    <xf numFmtId="0" fontId="3" fillId="0" borderId="22" xfId="0" applyFont="1" applyBorder="1" applyAlignment="1">
      <alignment horizontal="left"/>
    </xf>
    <xf numFmtId="1" fontId="48" fillId="27" borderId="15" xfId="0" applyNumberFormat="1" applyFont="1" applyFill="1" applyBorder="1" applyAlignment="1">
      <alignment horizontal="center"/>
    </xf>
  </cellXfs>
  <cellStyles count="9">
    <cellStyle name="Comma" xfId="1" builtinId="3"/>
    <cellStyle name="Currency" xfId="2" builtinId="4"/>
    <cellStyle name="Currency 2" xfId="5" xr:uid="{00000000-0005-0000-0000-000006000000}"/>
    <cellStyle name="Currency 3" xfId="6" xr:uid="{00000000-0005-0000-0000-000007000000}"/>
    <cellStyle name="Hyperlink" xfId="4" builtinId="8"/>
    <cellStyle name="Normal" xfId="0" builtinId="0"/>
    <cellStyle name="Normal 2" xfId="7" xr:uid="{00000000-0005-0000-0000-000008000000}"/>
    <cellStyle name="Normal 3" xfId="8" xr:uid="{00000000-0005-0000-0000-000009000000}"/>
    <cellStyle name="Percent" xfId="3" builtinId="5"/>
  </cellStyles>
  <dxfs count="17">
    <dxf>
      <fill>
        <patternFill>
          <bgColor rgb="FFC000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FF0000"/>
        </patternFill>
      </fill>
    </dxf>
    <dxf>
      <fill>
        <patternFill>
          <bgColor theme="0" tint="-0.3499862666707357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AE00"/>
      <rgbColor rgb="FF000080"/>
      <rgbColor rgb="FF548235"/>
      <rgbColor rgb="FF800080"/>
      <rgbColor rgb="FF0070C0"/>
      <rgbColor rgb="FFBFBFBF"/>
      <rgbColor rgb="FF70AD47"/>
      <rgbColor rgb="FF8FAADC"/>
      <rgbColor rgb="FF993366"/>
      <rgbColor rgb="FFEDEDED"/>
      <rgbColor rgb="FFDDEBF7"/>
      <rgbColor rgb="FF660066"/>
      <rgbColor rgb="FFDBDBDB"/>
      <rgbColor rgb="FF0563C1"/>
      <rgbColor rgb="FFBDD7EE"/>
      <rgbColor rgb="FF000080"/>
      <rgbColor rgb="FFFF00FF"/>
      <rgbColor rgb="FFE7E6E6"/>
      <rgbColor rgb="FF00FFFF"/>
      <rgbColor rgb="FF800080"/>
      <rgbColor rgb="FF800000"/>
      <rgbColor rgb="FF1565C0"/>
      <rgbColor rgb="FF0000FF"/>
      <rgbColor rgb="FF00CCFF"/>
      <rgbColor rgb="FFDEEBF7"/>
      <rgbColor rgb="FFC5E0B4"/>
      <rgbColor rgb="FFFFE699"/>
      <rgbColor rgb="FFC9C9C9"/>
      <rgbColor rgb="FFD9D9D9"/>
      <rgbColor rgb="FFAFABAB"/>
      <rgbColor rgb="FFFFD966"/>
      <rgbColor rgb="FF4472C4"/>
      <rgbColor rgb="FFA9D18E"/>
      <rgbColor rgb="FF92D050"/>
      <rgbColor rgb="FFFFC000"/>
      <rgbColor rgb="FFFF9900"/>
      <rgbColor rgb="FFFF6600"/>
      <rgbColor rgb="FF2E75B6"/>
      <rgbColor rgb="FFA6A6A6"/>
      <rgbColor rgb="FF002060"/>
      <rgbColor rgb="FF00B050"/>
      <rgbColor rgb="FF003300"/>
      <rgbColor rgb="FF333300"/>
      <rgbColor rgb="FF993300"/>
      <rgbColor rgb="FF993366"/>
      <rgbColor rgb="FF1F4E79"/>
      <rgbColor rgb="FF231F2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tmp"/></Relationships>
</file>

<file path=xl/drawings/_rels/drawing3.xml.rels><?xml version="1.0" encoding="UTF-8" standalone="yes"?>
<Relationships xmlns="http://schemas.openxmlformats.org/package/2006/relationships"><Relationship Id="rId1" Type="http://schemas.openxmlformats.org/officeDocument/2006/relationships/image" Target="../media/image3.tmp"/></Relationships>
</file>

<file path=xl/drawings/drawing1.xml><?xml version="1.0" encoding="utf-8"?>
<xdr:wsDr xmlns:xdr="http://schemas.openxmlformats.org/drawingml/2006/spreadsheetDrawing" xmlns:a="http://schemas.openxmlformats.org/drawingml/2006/main">
  <xdr:twoCellAnchor editAs="oneCell">
    <xdr:from>
      <xdr:col>8</xdr:col>
      <xdr:colOff>55080</xdr:colOff>
      <xdr:row>0</xdr:row>
      <xdr:rowOff>44280</xdr:rowOff>
    </xdr:from>
    <xdr:to>
      <xdr:col>8</xdr:col>
      <xdr:colOff>55080</xdr:colOff>
      <xdr:row>2</xdr:row>
      <xdr:rowOff>135000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11159280" y="44280"/>
          <a:ext cx="0" cy="452520"/>
        </a:xfrm>
        <a:prstGeom prst="rect">
          <a:avLst/>
        </a:prstGeom>
        <a:ln w="0">
          <a:noFill/>
        </a:ln>
      </xdr:spPr>
    </xdr:pic>
    <xdr:clientData/>
  </xdr:twoCellAnchor>
  <xdr:twoCellAnchor editAs="oneCell">
    <xdr:from>
      <xdr:col>8</xdr:col>
      <xdr:colOff>55080</xdr:colOff>
      <xdr:row>0</xdr:row>
      <xdr:rowOff>44280</xdr:rowOff>
    </xdr:from>
    <xdr:to>
      <xdr:col>8</xdr:col>
      <xdr:colOff>55080</xdr:colOff>
      <xdr:row>2</xdr:row>
      <xdr:rowOff>135000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stretch/>
      </xdr:blipFill>
      <xdr:spPr>
        <a:xfrm>
          <a:off x="11159280" y="44280"/>
          <a:ext cx="0" cy="4525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11</xdr:col>
      <xdr:colOff>0</xdr:colOff>
      <xdr:row>42</xdr:row>
      <xdr:rowOff>0</xdr:rowOff>
    </xdr:to>
    <xdr:pic>
      <xdr:nvPicPr>
        <xdr:cNvPr id="2" name="Picture 1" descr="A screenshot of a computer&#10;&#10;AI-generated content may be incorrect.">
          <a:extLst>
            <a:ext uri="{FF2B5EF4-FFF2-40B4-BE49-F238E27FC236}">
              <a16:creationId xmlns:a16="http://schemas.microsoft.com/office/drawing/2014/main" id="{872E9E52-0F41-F640-D861-70487C77CCEB}"/>
            </a:ext>
          </a:extLst>
        </xdr:cNvPr>
        <xdr:cNvPicPr>
          <a:picLocks noChangeAspect="1"/>
        </xdr:cNvPicPr>
      </xdr:nvPicPr>
      <xdr:blipFill>
        <a:blip xmlns:r="http://schemas.openxmlformats.org/officeDocument/2006/relationships" r:embed="rId1"/>
        <a:stretch>
          <a:fillRect/>
        </a:stretch>
      </xdr:blipFill>
      <xdr:spPr>
        <a:xfrm>
          <a:off x="0" y="1114425"/>
          <a:ext cx="17776131" cy="112315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5</xdr:col>
      <xdr:colOff>142875</xdr:colOff>
      <xdr:row>26</xdr:row>
      <xdr:rowOff>85725</xdr:rowOff>
    </xdr:to>
    <xdr:pic>
      <xdr:nvPicPr>
        <xdr:cNvPr id="2" name="Picture 1">
          <a:extLst>
            <a:ext uri="{FF2B5EF4-FFF2-40B4-BE49-F238E27FC236}">
              <a16:creationId xmlns:a16="http://schemas.microsoft.com/office/drawing/2014/main" id="{85F2BC37-4531-337C-51AD-544B4E1E16A1}"/>
            </a:ext>
          </a:extLst>
        </xdr:cNvPr>
        <xdr:cNvPicPr>
          <a:picLocks noChangeAspect="1"/>
        </xdr:cNvPicPr>
      </xdr:nvPicPr>
      <xdr:blipFill>
        <a:blip xmlns:r="http://schemas.openxmlformats.org/officeDocument/2006/relationships" r:embed="rId1"/>
        <a:stretch>
          <a:fillRect/>
        </a:stretch>
      </xdr:blipFill>
      <xdr:spPr>
        <a:xfrm>
          <a:off x="0" y="1114425"/>
          <a:ext cx="5048250" cy="38862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A6" totalsRowShown="0">
  <autoFilter ref="A2:A6" xr:uid="{00000000-0009-0000-0100-000001000000}"/>
  <tableColumns count="1">
    <tableColumn id="1" xr3:uid="{00000000-0010-0000-0000-000001000000}" name="Column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hyperlink" Target="http://fs01.software.bdo.com.ph/workstation/free-software-and-tools/ITD%20Tools/" TargetMode="External"/><Relationship Id="rId1" Type="http://schemas.openxmlformats.org/officeDocument/2006/relationships/hyperlink" Target="https://www.ito.bdo.com.ph/references/memoranda/bdo-system-image"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8" Type="http://schemas.openxmlformats.org/officeDocument/2006/relationships/hyperlink" Target="../../G:/log" TargetMode="External"/><Relationship Id="rId13" Type="http://schemas.openxmlformats.org/officeDocument/2006/relationships/hyperlink" Target="../../H:/backup" TargetMode="External"/><Relationship Id="rId18" Type="http://schemas.openxmlformats.org/officeDocument/2006/relationships/hyperlink" Target="../../G:/log" TargetMode="External"/><Relationship Id="rId3" Type="http://schemas.openxmlformats.org/officeDocument/2006/relationships/hyperlink" Target="../../H:/backup" TargetMode="External"/><Relationship Id="rId7" Type="http://schemas.openxmlformats.org/officeDocument/2006/relationships/hyperlink" Target="../../H:/backup" TargetMode="External"/><Relationship Id="rId12" Type="http://schemas.openxmlformats.org/officeDocument/2006/relationships/hyperlink" Target="../../G:/log" TargetMode="External"/><Relationship Id="rId17" Type="http://schemas.openxmlformats.org/officeDocument/2006/relationships/hyperlink" Target="../../H:/backup" TargetMode="External"/><Relationship Id="rId2" Type="http://schemas.openxmlformats.org/officeDocument/2006/relationships/hyperlink" Target="../../G:/log" TargetMode="External"/><Relationship Id="rId16" Type="http://schemas.openxmlformats.org/officeDocument/2006/relationships/hyperlink" Target="../../G:/log" TargetMode="External"/><Relationship Id="rId20" Type="http://schemas.openxmlformats.org/officeDocument/2006/relationships/hyperlink" Target="../../G:/log" TargetMode="External"/><Relationship Id="rId1" Type="http://schemas.openxmlformats.org/officeDocument/2006/relationships/hyperlink" Target="../../H:/backup" TargetMode="External"/><Relationship Id="rId6" Type="http://schemas.openxmlformats.org/officeDocument/2006/relationships/hyperlink" Target="../../G:/log" TargetMode="External"/><Relationship Id="rId11" Type="http://schemas.openxmlformats.org/officeDocument/2006/relationships/hyperlink" Target="../../H:/backup" TargetMode="External"/><Relationship Id="rId5" Type="http://schemas.openxmlformats.org/officeDocument/2006/relationships/hyperlink" Target="../../H:/backup" TargetMode="External"/><Relationship Id="rId15" Type="http://schemas.openxmlformats.org/officeDocument/2006/relationships/hyperlink" Target="../../H:/backup" TargetMode="External"/><Relationship Id="rId10" Type="http://schemas.openxmlformats.org/officeDocument/2006/relationships/hyperlink" Target="../../G:/log" TargetMode="External"/><Relationship Id="rId19" Type="http://schemas.openxmlformats.org/officeDocument/2006/relationships/hyperlink" Target="../../H:/backup" TargetMode="External"/><Relationship Id="rId4" Type="http://schemas.openxmlformats.org/officeDocument/2006/relationships/hyperlink" Target="../../G:/log" TargetMode="External"/><Relationship Id="rId9" Type="http://schemas.openxmlformats.org/officeDocument/2006/relationships/hyperlink" Target="../../H:/backup" TargetMode="External"/><Relationship Id="rId14" Type="http://schemas.openxmlformats.org/officeDocument/2006/relationships/hyperlink" Target="../../G:/log"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G:/log" TargetMode="External"/><Relationship Id="rId13" Type="http://schemas.openxmlformats.org/officeDocument/2006/relationships/hyperlink" Target="../../H:/backup" TargetMode="External"/><Relationship Id="rId18" Type="http://schemas.openxmlformats.org/officeDocument/2006/relationships/hyperlink" Target="../../G:/log" TargetMode="External"/><Relationship Id="rId3" Type="http://schemas.openxmlformats.org/officeDocument/2006/relationships/hyperlink" Target="../../H:/backup" TargetMode="External"/><Relationship Id="rId7" Type="http://schemas.openxmlformats.org/officeDocument/2006/relationships/hyperlink" Target="../../H:/backup" TargetMode="External"/><Relationship Id="rId12" Type="http://schemas.openxmlformats.org/officeDocument/2006/relationships/hyperlink" Target="../../G:/log" TargetMode="External"/><Relationship Id="rId17" Type="http://schemas.openxmlformats.org/officeDocument/2006/relationships/hyperlink" Target="../../H:/backup" TargetMode="External"/><Relationship Id="rId2" Type="http://schemas.openxmlformats.org/officeDocument/2006/relationships/hyperlink" Target="../../G:/log" TargetMode="External"/><Relationship Id="rId16" Type="http://schemas.openxmlformats.org/officeDocument/2006/relationships/hyperlink" Target="../../G:/log" TargetMode="External"/><Relationship Id="rId20" Type="http://schemas.openxmlformats.org/officeDocument/2006/relationships/hyperlink" Target="../../G:/log" TargetMode="External"/><Relationship Id="rId1" Type="http://schemas.openxmlformats.org/officeDocument/2006/relationships/hyperlink" Target="../../H:/backup" TargetMode="External"/><Relationship Id="rId6" Type="http://schemas.openxmlformats.org/officeDocument/2006/relationships/hyperlink" Target="../../G:/log" TargetMode="External"/><Relationship Id="rId11" Type="http://schemas.openxmlformats.org/officeDocument/2006/relationships/hyperlink" Target="../../H:/backup" TargetMode="External"/><Relationship Id="rId5" Type="http://schemas.openxmlformats.org/officeDocument/2006/relationships/hyperlink" Target="../../H:/backup" TargetMode="External"/><Relationship Id="rId15" Type="http://schemas.openxmlformats.org/officeDocument/2006/relationships/hyperlink" Target="../../H:/backup" TargetMode="External"/><Relationship Id="rId10" Type="http://schemas.openxmlformats.org/officeDocument/2006/relationships/hyperlink" Target="../../G:/log" TargetMode="External"/><Relationship Id="rId19" Type="http://schemas.openxmlformats.org/officeDocument/2006/relationships/hyperlink" Target="../../H:/backup" TargetMode="External"/><Relationship Id="rId4" Type="http://schemas.openxmlformats.org/officeDocument/2006/relationships/hyperlink" Target="../../G:/log" TargetMode="External"/><Relationship Id="rId9" Type="http://schemas.openxmlformats.org/officeDocument/2006/relationships/hyperlink" Target="../../H:/backup" TargetMode="External"/><Relationship Id="rId14" Type="http://schemas.openxmlformats.org/officeDocument/2006/relationships/hyperlink" Target="../../G:/log"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backup" TargetMode="External"/><Relationship Id="rId18" Type="http://schemas.openxmlformats.org/officeDocument/2006/relationships/hyperlink" Target="../../G:/log" TargetMode="External"/><Relationship Id="rId26" Type="http://schemas.openxmlformats.org/officeDocument/2006/relationships/hyperlink" Target="../../G:/log" TargetMode="External"/><Relationship Id="rId39" Type="http://schemas.openxmlformats.org/officeDocument/2006/relationships/hyperlink" Target="../../H:/backup" TargetMode="External"/><Relationship Id="rId21" Type="http://schemas.openxmlformats.org/officeDocument/2006/relationships/hyperlink" Target="../../H:/backup" TargetMode="External"/><Relationship Id="rId34" Type="http://schemas.openxmlformats.org/officeDocument/2006/relationships/hyperlink" Target="../../G:/log" TargetMode="External"/><Relationship Id="rId42" Type="http://schemas.openxmlformats.org/officeDocument/2006/relationships/hyperlink" Target="../../G:/log" TargetMode="External"/><Relationship Id="rId47" Type="http://schemas.openxmlformats.org/officeDocument/2006/relationships/hyperlink" Target="../../H:/backup" TargetMode="External"/><Relationship Id="rId50" Type="http://schemas.openxmlformats.org/officeDocument/2006/relationships/hyperlink" Target="../../G:/log" TargetMode="External"/><Relationship Id="rId55" Type="http://schemas.openxmlformats.org/officeDocument/2006/relationships/hyperlink" Target="../../H:/backup" TargetMode="External"/><Relationship Id="rId7" Type="http://schemas.openxmlformats.org/officeDocument/2006/relationships/hyperlink" Target="../../H:/backup" TargetMode="External"/><Relationship Id="rId2" Type="http://schemas.openxmlformats.org/officeDocument/2006/relationships/hyperlink" Target="../../G:/log" TargetMode="External"/><Relationship Id="rId16" Type="http://schemas.openxmlformats.org/officeDocument/2006/relationships/hyperlink" Target="../../G:/log" TargetMode="External"/><Relationship Id="rId29" Type="http://schemas.openxmlformats.org/officeDocument/2006/relationships/hyperlink" Target="../../H:/backup" TargetMode="External"/><Relationship Id="rId11" Type="http://schemas.openxmlformats.org/officeDocument/2006/relationships/hyperlink" Target="../../H:/backup" TargetMode="External"/><Relationship Id="rId24" Type="http://schemas.openxmlformats.org/officeDocument/2006/relationships/hyperlink" Target="../../G:/log" TargetMode="External"/><Relationship Id="rId32" Type="http://schemas.openxmlformats.org/officeDocument/2006/relationships/hyperlink" Target="../../G:/log" TargetMode="External"/><Relationship Id="rId37" Type="http://schemas.openxmlformats.org/officeDocument/2006/relationships/hyperlink" Target="../../H:/backup" TargetMode="External"/><Relationship Id="rId40" Type="http://schemas.openxmlformats.org/officeDocument/2006/relationships/hyperlink" Target="../../G:/log" TargetMode="External"/><Relationship Id="rId45" Type="http://schemas.openxmlformats.org/officeDocument/2006/relationships/hyperlink" Target="../../H:/backup" TargetMode="External"/><Relationship Id="rId53" Type="http://schemas.openxmlformats.org/officeDocument/2006/relationships/hyperlink" Target="../../H:/backup" TargetMode="External"/><Relationship Id="rId58" Type="http://schemas.openxmlformats.org/officeDocument/2006/relationships/hyperlink" Target="../../G:/log" TargetMode="External"/><Relationship Id="rId5" Type="http://schemas.openxmlformats.org/officeDocument/2006/relationships/hyperlink" Target="../../H:/backup" TargetMode="External"/><Relationship Id="rId19" Type="http://schemas.openxmlformats.org/officeDocument/2006/relationships/hyperlink" Target="../../H:/backup" TargetMode="External"/><Relationship Id="rId4" Type="http://schemas.openxmlformats.org/officeDocument/2006/relationships/hyperlink" Target="../../G:/log" TargetMode="External"/><Relationship Id="rId9" Type="http://schemas.openxmlformats.org/officeDocument/2006/relationships/hyperlink" Target="../../H:/backup" TargetMode="External"/><Relationship Id="rId14" Type="http://schemas.openxmlformats.org/officeDocument/2006/relationships/hyperlink" Target="../../G:/log" TargetMode="External"/><Relationship Id="rId22" Type="http://schemas.openxmlformats.org/officeDocument/2006/relationships/hyperlink" Target="../../G:/log" TargetMode="External"/><Relationship Id="rId27" Type="http://schemas.openxmlformats.org/officeDocument/2006/relationships/hyperlink" Target="../../H:/backup" TargetMode="External"/><Relationship Id="rId30" Type="http://schemas.openxmlformats.org/officeDocument/2006/relationships/hyperlink" Target="../../G:/log" TargetMode="External"/><Relationship Id="rId35" Type="http://schemas.openxmlformats.org/officeDocument/2006/relationships/hyperlink" Target="../../H:/backup" TargetMode="External"/><Relationship Id="rId43" Type="http://schemas.openxmlformats.org/officeDocument/2006/relationships/hyperlink" Target="../../H:/backup" TargetMode="External"/><Relationship Id="rId48" Type="http://schemas.openxmlformats.org/officeDocument/2006/relationships/hyperlink" Target="../../G:/log" TargetMode="External"/><Relationship Id="rId56" Type="http://schemas.openxmlformats.org/officeDocument/2006/relationships/hyperlink" Target="../../G:/log" TargetMode="External"/><Relationship Id="rId8" Type="http://schemas.openxmlformats.org/officeDocument/2006/relationships/hyperlink" Target="../../G:/log" TargetMode="External"/><Relationship Id="rId51" Type="http://schemas.openxmlformats.org/officeDocument/2006/relationships/hyperlink" Target="../../H:/backup" TargetMode="External"/><Relationship Id="rId3" Type="http://schemas.openxmlformats.org/officeDocument/2006/relationships/hyperlink" Target="../../H:/backup" TargetMode="External"/><Relationship Id="rId12" Type="http://schemas.openxmlformats.org/officeDocument/2006/relationships/hyperlink" Target="../../G:/log" TargetMode="External"/><Relationship Id="rId17" Type="http://schemas.openxmlformats.org/officeDocument/2006/relationships/hyperlink" Target="../../H:/backup" TargetMode="External"/><Relationship Id="rId25" Type="http://schemas.openxmlformats.org/officeDocument/2006/relationships/hyperlink" Target="../../H:/backup" TargetMode="External"/><Relationship Id="rId33" Type="http://schemas.openxmlformats.org/officeDocument/2006/relationships/hyperlink" Target="../../H:/backup" TargetMode="External"/><Relationship Id="rId38" Type="http://schemas.openxmlformats.org/officeDocument/2006/relationships/hyperlink" Target="../../G:/log" TargetMode="External"/><Relationship Id="rId46" Type="http://schemas.openxmlformats.org/officeDocument/2006/relationships/hyperlink" Target="../../G:/log" TargetMode="External"/><Relationship Id="rId59" Type="http://schemas.openxmlformats.org/officeDocument/2006/relationships/hyperlink" Target="../../H:/backup" TargetMode="External"/><Relationship Id="rId20" Type="http://schemas.openxmlformats.org/officeDocument/2006/relationships/hyperlink" Target="../../G:/log" TargetMode="External"/><Relationship Id="rId41" Type="http://schemas.openxmlformats.org/officeDocument/2006/relationships/hyperlink" Target="../../H:/backup" TargetMode="External"/><Relationship Id="rId54" Type="http://schemas.openxmlformats.org/officeDocument/2006/relationships/hyperlink" Target="../../G:/log" TargetMode="External"/><Relationship Id="rId1" Type="http://schemas.openxmlformats.org/officeDocument/2006/relationships/hyperlink" Target="../../H:/backup" TargetMode="External"/><Relationship Id="rId6" Type="http://schemas.openxmlformats.org/officeDocument/2006/relationships/hyperlink" Target="../../G:/log" TargetMode="External"/><Relationship Id="rId15" Type="http://schemas.openxmlformats.org/officeDocument/2006/relationships/hyperlink" Target="../../H:/backup" TargetMode="External"/><Relationship Id="rId23" Type="http://schemas.openxmlformats.org/officeDocument/2006/relationships/hyperlink" Target="../../H:/backup" TargetMode="External"/><Relationship Id="rId28" Type="http://schemas.openxmlformats.org/officeDocument/2006/relationships/hyperlink" Target="../../G:/log" TargetMode="External"/><Relationship Id="rId36" Type="http://schemas.openxmlformats.org/officeDocument/2006/relationships/hyperlink" Target="../../G:/log" TargetMode="External"/><Relationship Id="rId49" Type="http://schemas.openxmlformats.org/officeDocument/2006/relationships/hyperlink" Target="../../H:/backup" TargetMode="External"/><Relationship Id="rId57" Type="http://schemas.openxmlformats.org/officeDocument/2006/relationships/hyperlink" Target="../../H:/backup" TargetMode="External"/><Relationship Id="rId10" Type="http://schemas.openxmlformats.org/officeDocument/2006/relationships/hyperlink" Target="../../G:/log" TargetMode="External"/><Relationship Id="rId31" Type="http://schemas.openxmlformats.org/officeDocument/2006/relationships/hyperlink" Target="../../H:/backup" TargetMode="External"/><Relationship Id="rId44" Type="http://schemas.openxmlformats.org/officeDocument/2006/relationships/hyperlink" Target="../../G:/log" TargetMode="External"/><Relationship Id="rId52" Type="http://schemas.openxmlformats.org/officeDocument/2006/relationships/hyperlink" Target="../../G:/log" TargetMode="External"/><Relationship Id="rId60" Type="http://schemas.openxmlformats.org/officeDocument/2006/relationships/hyperlink" Target="../../G:/log"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backup" TargetMode="External"/><Relationship Id="rId18" Type="http://schemas.openxmlformats.org/officeDocument/2006/relationships/hyperlink" Target="../../G:/log" TargetMode="External"/><Relationship Id="rId26" Type="http://schemas.openxmlformats.org/officeDocument/2006/relationships/hyperlink" Target="../../G:/log" TargetMode="External"/><Relationship Id="rId39" Type="http://schemas.openxmlformats.org/officeDocument/2006/relationships/hyperlink" Target="../../H:/backup" TargetMode="External"/><Relationship Id="rId21" Type="http://schemas.openxmlformats.org/officeDocument/2006/relationships/hyperlink" Target="../../H:/backup" TargetMode="External"/><Relationship Id="rId34" Type="http://schemas.openxmlformats.org/officeDocument/2006/relationships/hyperlink" Target="../../G:/log" TargetMode="External"/><Relationship Id="rId42" Type="http://schemas.openxmlformats.org/officeDocument/2006/relationships/hyperlink" Target="../../G:/log" TargetMode="External"/><Relationship Id="rId47" Type="http://schemas.openxmlformats.org/officeDocument/2006/relationships/hyperlink" Target="../../H:/backup" TargetMode="External"/><Relationship Id="rId50" Type="http://schemas.openxmlformats.org/officeDocument/2006/relationships/hyperlink" Target="../../G:/log" TargetMode="External"/><Relationship Id="rId55" Type="http://schemas.openxmlformats.org/officeDocument/2006/relationships/hyperlink" Target="../../H:/backup" TargetMode="External"/><Relationship Id="rId7" Type="http://schemas.openxmlformats.org/officeDocument/2006/relationships/hyperlink" Target="../../H:/backup" TargetMode="External"/><Relationship Id="rId2" Type="http://schemas.openxmlformats.org/officeDocument/2006/relationships/hyperlink" Target="../../G:/log" TargetMode="External"/><Relationship Id="rId16" Type="http://schemas.openxmlformats.org/officeDocument/2006/relationships/hyperlink" Target="../../G:/log" TargetMode="External"/><Relationship Id="rId29" Type="http://schemas.openxmlformats.org/officeDocument/2006/relationships/hyperlink" Target="../../H:/backup" TargetMode="External"/><Relationship Id="rId11" Type="http://schemas.openxmlformats.org/officeDocument/2006/relationships/hyperlink" Target="../../H:/backup" TargetMode="External"/><Relationship Id="rId24" Type="http://schemas.openxmlformats.org/officeDocument/2006/relationships/hyperlink" Target="../../G:/log" TargetMode="External"/><Relationship Id="rId32" Type="http://schemas.openxmlformats.org/officeDocument/2006/relationships/hyperlink" Target="../../G:/log" TargetMode="External"/><Relationship Id="rId37" Type="http://schemas.openxmlformats.org/officeDocument/2006/relationships/hyperlink" Target="../../H:/backup" TargetMode="External"/><Relationship Id="rId40" Type="http://schemas.openxmlformats.org/officeDocument/2006/relationships/hyperlink" Target="../../G:/log" TargetMode="External"/><Relationship Id="rId45" Type="http://schemas.openxmlformats.org/officeDocument/2006/relationships/hyperlink" Target="../../H:/backup" TargetMode="External"/><Relationship Id="rId53" Type="http://schemas.openxmlformats.org/officeDocument/2006/relationships/hyperlink" Target="../../H:/backup" TargetMode="External"/><Relationship Id="rId58" Type="http://schemas.openxmlformats.org/officeDocument/2006/relationships/hyperlink" Target="../../G:/log" TargetMode="External"/><Relationship Id="rId5" Type="http://schemas.openxmlformats.org/officeDocument/2006/relationships/hyperlink" Target="../../H:/backup" TargetMode="External"/><Relationship Id="rId19" Type="http://schemas.openxmlformats.org/officeDocument/2006/relationships/hyperlink" Target="../../H:/backup" TargetMode="External"/><Relationship Id="rId4" Type="http://schemas.openxmlformats.org/officeDocument/2006/relationships/hyperlink" Target="../../G:/log" TargetMode="External"/><Relationship Id="rId9" Type="http://schemas.openxmlformats.org/officeDocument/2006/relationships/hyperlink" Target="../../H:/backup" TargetMode="External"/><Relationship Id="rId14" Type="http://schemas.openxmlformats.org/officeDocument/2006/relationships/hyperlink" Target="../../G:/log" TargetMode="External"/><Relationship Id="rId22" Type="http://schemas.openxmlformats.org/officeDocument/2006/relationships/hyperlink" Target="../../G:/log" TargetMode="External"/><Relationship Id="rId27" Type="http://schemas.openxmlformats.org/officeDocument/2006/relationships/hyperlink" Target="../../H:/backup" TargetMode="External"/><Relationship Id="rId30" Type="http://schemas.openxmlformats.org/officeDocument/2006/relationships/hyperlink" Target="../../G:/log" TargetMode="External"/><Relationship Id="rId35" Type="http://schemas.openxmlformats.org/officeDocument/2006/relationships/hyperlink" Target="../../H:/backup" TargetMode="External"/><Relationship Id="rId43" Type="http://schemas.openxmlformats.org/officeDocument/2006/relationships/hyperlink" Target="../../H:/backup" TargetMode="External"/><Relationship Id="rId48" Type="http://schemas.openxmlformats.org/officeDocument/2006/relationships/hyperlink" Target="../../G:/log" TargetMode="External"/><Relationship Id="rId56" Type="http://schemas.openxmlformats.org/officeDocument/2006/relationships/hyperlink" Target="../../G:/log" TargetMode="External"/><Relationship Id="rId8" Type="http://schemas.openxmlformats.org/officeDocument/2006/relationships/hyperlink" Target="../../G:/log" TargetMode="External"/><Relationship Id="rId51" Type="http://schemas.openxmlformats.org/officeDocument/2006/relationships/hyperlink" Target="../../H:/backup" TargetMode="External"/><Relationship Id="rId3" Type="http://schemas.openxmlformats.org/officeDocument/2006/relationships/hyperlink" Target="../../H:/backup" TargetMode="External"/><Relationship Id="rId12" Type="http://schemas.openxmlformats.org/officeDocument/2006/relationships/hyperlink" Target="../../G:/log" TargetMode="External"/><Relationship Id="rId17" Type="http://schemas.openxmlformats.org/officeDocument/2006/relationships/hyperlink" Target="../../H:/backup" TargetMode="External"/><Relationship Id="rId25" Type="http://schemas.openxmlformats.org/officeDocument/2006/relationships/hyperlink" Target="../../H:/backup" TargetMode="External"/><Relationship Id="rId33" Type="http://schemas.openxmlformats.org/officeDocument/2006/relationships/hyperlink" Target="../../H:/backup" TargetMode="External"/><Relationship Id="rId38" Type="http://schemas.openxmlformats.org/officeDocument/2006/relationships/hyperlink" Target="../../G:/log" TargetMode="External"/><Relationship Id="rId46" Type="http://schemas.openxmlformats.org/officeDocument/2006/relationships/hyperlink" Target="../../G:/log" TargetMode="External"/><Relationship Id="rId59" Type="http://schemas.openxmlformats.org/officeDocument/2006/relationships/hyperlink" Target="../../H:/backup" TargetMode="External"/><Relationship Id="rId20" Type="http://schemas.openxmlformats.org/officeDocument/2006/relationships/hyperlink" Target="../../G:/log" TargetMode="External"/><Relationship Id="rId41" Type="http://schemas.openxmlformats.org/officeDocument/2006/relationships/hyperlink" Target="../../H:/backup" TargetMode="External"/><Relationship Id="rId54" Type="http://schemas.openxmlformats.org/officeDocument/2006/relationships/hyperlink" Target="../../G:/log" TargetMode="External"/><Relationship Id="rId1" Type="http://schemas.openxmlformats.org/officeDocument/2006/relationships/hyperlink" Target="../../H:/backup" TargetMode="External"/><Relationship Id="rId6" Type="http://schemas.openxmlformats.org/officeDocument/2006/relationships/hyperlink" Target="../../G:/log" TargetMode="External"/><Relationship Id="rId15" Type="http://schemas.openxmlformats.org/officeDocument/2006/relationships/hyperlink" Target="../../H:/backup" TargetMode="External"/><Relationship Id="rId23" Type="http://schemas.openxmlformats.org/officeDocument/2006/relationships/hyperlink" Target="../../H:/backup" TargetMode="External"/><Relationship Id="rId28" Type="http://schemas.openxmlformats.org/officeDocument/2006/relationships/hyperlink" Target="../../G:/log" TargetMode="External"/><Relationship Id="rId36" Type="http://schemas.openxmlformats.org/officeDocument/2006/relationships/hyperlink" Target="../../G:/log" TargetMode="External"/><Relationship Id="rId49" Type="http://schemas.openxmlformats.org/officeDocument/2006/relationships/hyperlink" Target="../../H:/backup" TargetMode="External"/><Relationship Id="rId57" Type="http://schemas.openxmlformats.org/officeDocument/2006/relationships/hyperlink" Target="../../H:/backup" TargetMode="External"/><Relationship Id="rId10" Type="http://schemas.openxmlformats.org/officeDocument/2006/relationships/hyperlink" Target="../../G:/log" TargetMode="External"/><Relationship Id="rId31" Type="http://schemas.openxmlformats.org/officeDocument/2006/relationships/hyperlink" Target="../../H:/backup" TargetMode="External"/><Relationship Id="rId44" Type="http://schemas.openxmlformats.org/officeDocument/2006/relationships/hyperlink" Target="../../G:/log" TargetMode="External"/><Relationship Id="rId52" Type="http://schemas.openxmlformats.org/officeDocument/2006/relationships/hyperlink" Target="../../G:/log" TargetMode="External"/><Relationship Id="rId60" Type="http://schemas.openxmlformats.org/officeDocument/2006/relationships/hyperlink" Target="../../G:/log"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backup" TargetMode="External"/><Relationship Id="rId18" Type="http://schemas.openxmlformats.org/officeDocument/2006/relationships/hyperlink" Target="../../G:/log" TargetMode="External"/><Relationship Id="rId26" Type="http://schemas.openxmlformats.org/officeDocument/2006/relationships/hyperlink" Target="../../G:/log" TargetMode="External"/><Relationship Id="rId39" Type="http://schemas.openxmlformats.org/officeDocument/2006/relationships/hyperlink" Target="../../H:/backup" TargetMode="External"/><Relationship Id="rId21" Type="http://schemas.openxmlformats.org/officeDocument/2006/relationships/hyperlink" Target="../../H:/backup" TargetMode="External"/><Relationship Id="rId34" Type="http://schemas.openxmlformats.org/officeDocument/2006/relationships/hyperlink" Target="../../G:/log" TargetMode="External"/><Relationship Id="rId42" Type="http://schemas.openxmlformats.org/officeDocument/2006/relationships/hyperlink" Target="../../G:/log" TargetMode="External"/><Relationship Id="rId47" Type="http://schemas.openxmlformats.org/officeDocument/2006/relationships/hyperlink" Target="../../H:/backup" TargetMode="External"/><Relationship Id="rId50" Type="http://schemas.openxmlformats.org/officeDocument/2006/relationships/hyperlink" Target="../../G:/log" TargetMode="External"/><Relationship Id="rId55" Type="http://schemas.openxmlformats.org/officeDocument/2006/relationships/hyperlink" Target="../../H:/backup" TargetMode="External"/><Relationship Id="rId7" Type="http://schemas.openxmlformats.org/officeDocument/2006/relationships/hyperlink" Target="../../H:/backup" TargetMode="External"/><Relationship Id="rId2" Type="http://schemas.openxmlformats.org/officeDocument/2006/relationships/hyperlink" Target="../../G:/log" TargetMode="External"/><Relationship Id="rId16" Type="http://schemas.openxmlformats.org/officeDocument/2006/relationships/hyperlink" Target="../../G:/log" TargetMode="External"/><Relationship Id="rId29" Type="http://schemas.openxmlformats.org/officeDocument/2006/relationships/hyperlink" Target="../../H:/backup" TargetMode="External"/><Relationship Id="rId11" Type="http://schemas.openxmlformats.org/officeDocument/2006/relationships/hyperlink" Target="../../H:/backup" TargetMode="External"/><Relationship Id="rId24" Type="http://schemas.openxmlformats.org/officeDocument/2006/relationships/hyperlink" Target="../../G:/log" TargetMode="External"/><Relationship Id="rId32" Type="http://schemas.openxmlformats.org/officeDocument/2006/relationships/hyperlink" Target="../../G:/log" TargetMode="External"/><Relationship Id="rId37" Type="http://schemas.openxmlformats.org/officeDocument/2006/relationships/hyperlink" Target="../../H:/backup" TargetMode="External"/><Relationship Id="rId40" Type="http://schemas.openxmlformats.org/officeDocument/2006/relationships/hyperlink" Target="../../G:/log" TargetMode="External"/><Relationship Id="rId45" Type="http://schemas.openxmlformats.org/officeDocument/2006/relationships/hyperlink" Target="../../H:/backup" TargetMode="External"/><Relationship Id="rId53" Type="http://schemas.openxmlformats.org/officeDocument/2006/relationships/hyperlink" Target="../../H:/backup" TargetMode="External"/><Relationship Id="rId58" Type="http://schemas.openxmlformats.org/officeDocument/2006/relationships/hyperlink" Target="../../G:/log" TargetMode="External"/><Relationship Id="rId5" Type="http://schemas.openxmlformats.org/officeDocument/2006/relationships/hyperlink" Target="../../H:/backup" TargetMode="External"/><Relationship Id="rId19" Type="http://schemas.openxmlformats.org/officeDocument/2006/relationships/hyperlink" Target="../../H:/backup" TargetMode="External"/><Relationship Id="rId4" Type="http://schemas.openxmlformats.org/officeDocument/2006/relationships/hyperlink" Target="../../G:/log" TargetMode="External"/><Relationship Id="rId9" Type="http://schemas.openxmlformats.org/officeDocument/2006/relationships/hyperlink" Target="../../H:/backup" TargetMode="External"/><Relationship Id="rId14" Type="http://schemas.openxmlformats.org/officeDocument/2006/relationships/hyperlink" Target="../../G:/log" TargetMode="External"/><Relationship Id="rId22" Type="http://schemas.openxmlformats.org/officeDocument/2006/relationships/hyperlink" Target="../../G:/log" TargetMode="External"/><Relationship Id="rId27" Type="http://schemas.openxmlformats.org/officeDocument/2006/relationships/hyperlink" Target="../../H:/backup" TargetMode="External"/><Relationship Id="rId30" Type="http://schemas.openxmlformats.org/officeDocument/2006/relationships/hyperlink" Target="../../G:/log" TargetMode="External"/><Relationship Id="rId35" Type="http://schemas.openxmlformats.org/officeDocument/2006/relationships/hyperlink" Target="../../H:/backup" TargetMode="External"/><Relationship Id="rId43" Type="http://schemas.openxmlformats.org/officeDocument/2006/relationships/hyperlink" Target="../../H:/backup" TargetMode="External"/><Relationship Id="rId48" Type="http://schemas.openxmlformats.org/officeDocument/2006/relationships/hyperlink" Target="../../G:/log" TargetMode="External"/><Relationship Id="rId56" Type="http://schemas.openxmlformats.org/officeDocument/2006/relationships/hyperlink" Target="../../G:/log" TargetMode="External"/><Relationship Id="rId8" Type="http://schemas.openxmlformats.org/officeDocument/2006/relationships/hyperlink" Target="../../G:/log" TargetMode="External"/><Relationship Id="rId51" Type="http://schemas.openxmlformats.org/officeDocument/2006/relationships/hyperlink" Target="../../H:/backup" TargetMode="External"/><Relationship Id="rId3" Type="http://schemas.openxmlformats.org/officeDocument/2006/relationships/hyperlink" Target="../../H:/backup" TargetMode="External"/><Relationship Id="rId12" Type="http://schemas.openxmlformats.org/officeDocument/2006/relationships/hyperlink" Target="../../G:/log" TargetMode="External"/><Relationship Id="rId17" Type="http://schemas.openxmlformats.org/officeDocument/2006/relationships/hyperlink" Target="../../H:/backup" TargetMode="External"/><Relationship Id="rId25" Type="http://schemas.openxmlformats.org/officeDocument/2006/relationships/hyperlink" Target="../../H:/backup" TargetMode="External"/><Relationship Id="rId33" Type="http://schemas.openxmlformats.org/officeDocument/2006/relationships/hyperlink" Target="../../H:/backup" TargetMode="External"/><Relationship Id="rId38" Type="http://schemas.openxmlformats.org/officeDocument/2006/relationships/hyperlink" Target="../../G:/log" TargetMode="External"/><Relationship Id="rId46" Type="http://schemas.openxmlformats.org/officeDocument/2006/relationships/hyperlink" Target="../../G:/log" TargetMode="External"/><Relationship Id="rId59" Type="http://schemas.openxmlformats.org/officeDocument/2006/relationships/hyperlink" Target="../../H:/backup" TargetMode="External"/><Relationship Id="rId20" Type="http://schemas.openxmlformats.org/officeDocument/2006/relationships/hyperlink" Target="../../G:/log" TargetMode="External"/><Relationship Id="rId41" Type="http://schemas.openxmlformats.org/officeDocument/2006/relationships/hyperlink" Target="../../H:/backup" TargetMode="External"/><Relationship Id="rId54" Type="http://schemas.openxmlformats.org/officeDocument/2006/relationships/hyperlink" Target="../../G:/log" TargetMode="External"/><Relationship Id="rId1" Type="http://schemas.openxmlformats.org/officeDocument/2006/relationships/hyperlink" Target="../../H:/backup" TargetMode="External"/><Relationship Id="rId6" Type="http://schemas.openxmlformats.org/officeDocument/2006/relationships/hyperlink" Target="../../G:/log" TargetMode="External"/><Relationship Id="rId15" Type="http://schemas.openxmlformats.org/officeDocument/2006/relationships/hyperlink" Target="../../H:/backup" TargetMode="External"/><Relationship Id="rId23" Type="http://schemas.openxmlformats.org/officeDocument/2006/relationships/hyperlink" Target="../../H:/backup" TargetMode="External"/><Relationship Id="rId28" Type="http://schemas.openxmlformats.org/officeDocument/2006/relationships/hyperlink" Target="../../G:/log" TargetMode="External"/><Relationship Id="rId36" Type="http://schemas.openxmlformats.org/officeDocument/2006/relationships/hyperlink" Target="../../G:/log" TargetMode="External"/><Relationship Id="rId49" Type="http://schemas.openxmlformats.org/officeDocument/2006/relationships/hyperlink" Target="../../H:/backup" TargetMode="External"/><Relationship Id="rId57" Type="http://schemas.openxmlformats.org/officeDocument/2006/relationships/hyperlink" Target="../../H:/backup" TargetMode="External"/><Relationship Id="rId10" Type="http://schemas.openxmlformats.org/officeDocument/2006/relationships/hyperlink" Target="../../G:/log" TargetMode="External"/><Relationship Id="rId31" Type="http://schemas.openxmlformats.org/officeDocument/2006/relationships/hyperlink" Target="../../H:/backup" TargetMode="External"/><Relationship Id="rId44" Type="http://schemas.openxmlformats.org/officeDocument/2006/relationships/hyperlink" Target="../../G:/log" TargetMode="External"/><Relationship Id="rId52" Type="http://schemas.openxmlformats.org/officeDocument/2006/relationships/hyperlink" Target="../../G:/log" TargetMode="External"/><Relationship Id="rId60" Type="http://schemas.openxmlformats.org/officeDocument/2006/relationships/hyperlink" Target="../../G:/log" TargetMode="External"/></Relationships>
</file>

<file path=xl/worksheets/_rels/sheet16.xml.rels><?xml version="1.0" encoding="UTF-8" standalone="yes"?>
<Relationships xmlns="http://schemas.openxmlformats.org/package/2006/relationships"><Relationship Id="rId13" Type="http://schemas.openxmlformats.org/officeDocument/2006/relationships/hyperlink" Target="../../H:/backup" TargetMode="External"/><Relationship Id="rId18" Type="http://schemas.openxmlformats.org/officeDocument/2006/relationships/hyperlink" Target="../../G:/log" TargetMode="External"/><Relationship Id="rId26" Type="http://schemas.openxmlformats.org/officeDocument/2006/relationships/hyperlink" Target="../../G:/log" TargetMode="External"/><Relationship Id="rId39" Type="http://schemas.openxmlformats.org/officeDocument/2006/relationships/hyperlink" Target="../../H:/backup" TargetMode="External"/><Relationship Id="rId21" Type="http://schemas.openxmlformats.org/officeDocument/2006/relationships/hyperlink" Target="../../H:/backup" TargetMode="External"/><Relationship Id="rId34" Type="http://schemas.openxmlformats.org/officeDocument/2006/relationships/hyperlink" Target="../../G:/log" TargetMode="External"/><Relationship Id="rId42" Type="http://schemas.openxmlformats.org/officeDocument/2006/relationships/hyperlink" Target="../../G:/log" TargetMode="External"/><Relationship Id="rId47" Type="http://schemas.openxmlformats.org/officeDocument/2006/relationships/hyperlink" Target="../../H:/backup" TargetMode="External"/><Relationship Id="rId50" Type="http://schemas.openxmlformats.org/officeDocument/2006/relationships/hyperlink" Target="../../G:/log" TargetMode="External"/><Relationship Id="rId55" Type="http://schemas.openxmlformats.org/officeDocument/2006/relationships/hyperlink" Target="../../H:/backup" TargetMode="External"/><Relationship Id="rId7" Type="http://schemas.openxmlformats.org/officeDocument/2006/relationships/hyperlink" Target="../../H:/backup" TargetMode="External"/><Relationship Id="rId2" Type="http://schemas.openxmlformats.org/officeDocument/2006/relationships/hyperlink" Target="../../G:/log" TargetMode="External"/><Relationship Id="rId16" Type="http://schemas.openxmlformats.org/officeDocument/2006/relationships/hyperlink" Target="../../G:/log" TargetMode="External"/><Relationship Id="rId29" Type="http://schemas.openxmlformats.org/officeDocument/2006/relationships/hyperlink" Target="../../H:/backup" TargetMode="External"/><Relationship Id="rId11" Type="http://schemas.openxmlformats.org/officeDocument/2006/relationships/hyperlink" Target="../../H:/backup" TargetMode="External"/><Relationship Id="rId24" Type="http://schemas.openxmlformats.org/officeDocument/2006/relationships/hyperlink" Target="../../G:/log" TargetMode="External"/><Relationship Id="rId32" Type="http://schemas.openxmlformats.org/officeDocument/2006/relationships/hyperlink" Target="../../G:/log" TargetMode="External"/><Relationship Id="rId37" Type="http://schemas.openxmlformats.org/officeDocument/2006/relationships/hyperlink" Target="../../H:/backup" TargetMode="External"/><Relationship Id="rId40" Type="http://schemas.openxmlformats.org/officeDocument/2006/relationships/hyperlink" Target="../../G:/log" TargetMode="External"/><Relationship Id="rId45" Type="http://schemas.openxmlformats.org/officeDocument/2006/relationships/hyperlink" Target="../../H:/backup" TargetMode="External"/><Relationship Id="rId53" Type="http://schemas.openxmlformats.org/officeDocument/2006/relationships/hyperlink" Target="../../H:/backup" TargetMode="External"/><Relationship Id="rId58" Type="http://schemas.openxmlformats.org/officeDocument/2006/relationships/hyperlink" Target="../../G:/log" TargetMode="External"/><Relationship Id="rId5" Type="http://schemas.openxmlformats.org/officeDocument/2006/relationships/hyperlink" Target="../../H:/backup" TargetMode="External"/><Relationship Id="rId19" Type="http://schemas.openxmlformats.org/officeDocument/2006/relationships/hyperlink" Target="../../H:/backup" TargetMode="External"/><Relationship Id="rId4" Type="http://schemas.openxmlformats.org/officeDocument/2006/relationships/hyperlink" Target="../../G:/log" TargetMode="External"/><Relationship Id="rId9" Type="http://schemas.openxmlformats.org/officeDocument/2006/relationships/hyperlink" Target="../../H:/backup" TargetMode="External"/><Relationship Id="rId14" Type="http://schemas.openxmlformats.org/officeDocument/2006/relationships/hyperlink" Target="../../G:/log" TargetMode="External"/><Relationship Id="rId22" Type="http://schemas.openxmlformats.org/officeDocument/2006/relationships/hyperlink" Target="../../G:/log" TargetMode="External"/><Relationship Id="rId27" Type="http://schemas.openxmlformats.org/officeDocument/2006/relationships/hyperlink" Target="../../H:/backup" TargetMode="External"/><Relationship Id="rId30" Type="http://schemas.openxmlformats.org/officeDocument/2006/relationships/hyperlink" Target="../../G:/log" TargetMode="External"/><Relationship Id="rId35" Type="http://schemas.openxmlformats.org/officeDocument/2006/relationships/hyperlink" Target="../../H:/backup" TargetMode="External"/><Relationship Id="rId43" Type="http://schemas.openxmlformats.org/officeDocument/2006/relationships/hyperlink" Target="../../H:/backup" TargetMode="External"/><Relationship Id="rId48" Type="http://schemas.openxmlformats.org/officeDocument/2006/relationships/hyperlink" Target="../../G:/log" TargetMode="External"/><Relationship Id="rId56" Type="http://schemas.openxmlformats.org/officeDocument/2006/relationships/hyperlink" Target="../../G:/log" TargetMode="External"/><Relationship Id="rId8" Type="http://schemas.openxmlformats.org/officeDocument/2006/relationships/hyperlink" Target="../../G:/log" TargetMode="External"/><Relationship Id="rId51" Type="http://schemas.openxmlformats.org/officeDocument/2006/relationships/hyperlink" Target="../../H:/backup" TargetMode="External"/><Relationship Id="rId3" Type="http://schemas.openxmlformats.org/officeDocument/2006/relationships/hyperlink" Target="../../H:/backup" TargetMode="External"/><Relationship Id="rId12" Type="http://schemas.openxmlformats.org/officeDocument/2006/relationships/hyperlink" Target="../../G:/log" TargetMode="External"/><Relationship Id="rId17" Type="http://schemas.openxmlformats.org/officeDocument/2006/relationships/hyperlink" Target="../../H:/backup" TargetMode="External"/><Relationship Id="rId25" Type="http://schemas.openxmlformats.org/officeDocument/2006/relationships/hyperlink" Target="../../H:/backup" TargetMode="External"/><Relationship Id="rId33" Type="http://schemas.openxmlformats.org/officeDocument/2006/relationships/hyperlink" Target="../../H:/backup" TargetMode="External"/><Relationship Id="rId38" Type="http://schemas.openxmlformats.org/officeDocument/2006/relationships/hyperlink" Target="../../G:/log" TargetMode="External"/><Relationship Id="rId46" Type="http://schemas.openxmlformats.org/officeDocument/2006/relationships/hyperlink" Target="../../G:/log" TargetMode="External"/><Relationship Id="rId59" Type="http://schemas.openxmlformats.org/officeDocument/2006/relationships/hyperlink" Target="../../H:/backup" TargetMode="External"/><Relationship Id="rId20" Type="http://schemas.openxmlformats.org/officeDocument/2006/relationships/hyperlink" Target="../../G:/log" TargetMode="External"/><Relationship Id="rId41" Type="http://schemas.openxmlformats.org/officeDocument/2006/relationships/hyperlink" Target="../../H:/backup" TargetMode="External"/><Relationship Id="rId54" Type="http://schemas.openxmlformats.org/officeDocument/2006/relationships/hyperlink" Target="../../G:/log" TargetMode="External"/><Relationship Id="rId1" Type="http://schemas.openxmlformats.org/officeDocument/2006/relationships/hyperlink" Target="../../H:/backup" TargetMode="External"/><Relationship Id="rId6" Type="http://schemas.openxmlformats.org/officeDocument/2006/relationships/hyperlink" Target="../../G:/log" TargetMode="External"/><Relationship Id="rId15" Type="http://schemas.openxmlformats.org/officeDocument/2006/relationships/hyperlink" Target="../../H:/backup" TargetMode="External"/><Relationship Id="rId23" Type="http://schemas.openxmlformats.org/officeDocument/2006/relationships/hyperlink" Target="../../H:/backup" TargetMode="External"/><Relationship Id="rId28" Type="http://schemas.openxmlformats.org/officeDocument/2006/relationships/hyperlink" Target="../../G:/log" TargetMode="External"/><Relationship Id="rId36" Type="http://schemas.openxmlformats.org/officeDocument/2006/relationships/hyperlink" Target="../../G:/log" TargetMode="External"/><Relationship Id="rId49" Type="http://schemas.openxmlformats.org/officeDocument/2006/relationships/hyperlink" Target="../../H:/backup" TargetMode="External"/><Relationship Id="rId57" Type="http://schemas.openxmlformats.org/officeDocument/2006/relationships/hyperlink" Target="../../H:/backup" TargetMode="External"/><Relationship Id="rId10" Type="http://schemas.openxmlformats.org/officeDocument/2006/relationships/hyperlink" Target="../../G:/log" TargetMode="External"/><Relationship Id="rId31" Type="http://schemas.openxmlformats.org/officeDocument/2006/relationships/hyperlink" Target="../../H:/backup" TargetMode="External"/><Relationship Id="rId44" Type="http://schemas.openxmlformats.org/officeDocument/2006/relationships/hyperlink" Target="../../G:/log" TargetMode="External"/><Relationship Id="rId52" Type="http://schemas.openxmlformats.org/officeDocument/2006/relationships/hyperlink" Target="../../G:/log" TargetMode="External"/><Relationship Id="rId60" Type="http://schemas.openxmlformats.org/officeDocument/2006/relationships/hyperlink" Target="../../G:/log"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azure.microsoft.com/en-us/pricing/details/managed-disks/?msockid=07c55edcd9076a5a3d524a7dd8c76ba8" TargetMode="External"/><Relationship Id="rId2" Type="http://schemas.openxmlformats.org/officeDocument/2006/relationships/hyperlink" Target="https://azure.microsoft.com/en-us/pricing/calculator" TargetMode="External"/><Relationship Id="rId1" Type="http://schemas.openxmlformats.org/officeDocument/2006/relationships/hyperlink" Target="https://calculator.aws/" TargetMode="External"/><Relationship Id="rId4" Type="http://schemas.openxmlformats.org/officeDocument/2006/relationships/hyperlink" Target="https://aws.amazon.com/ebs/pricing/" TargetMode="External"/></Relationships>
</file>

<file path=xl/worksheets/_rels/sheet2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8.xml.rels><?xml version="1.0" encoding="UTF-8" standalone="yes"?>
<Relationships xmlns="http://schemas.openxmlformats.org/package/2006/relationships"><Relationship Id="rId1" Type="http://schemas.openxmlformats.org/officeDocument/2006/relationships/hyperlink" Target="https://github.com/awslabs/amazon-eks-ami/blob/master/files/eni-max-pods.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D32"/>
  <sheetViews>
    <sheetView topLeftCell="A31" zoomScale="90" zoomScaleNormal="90" workbookViewId="0">
      <selection activeCell="G32" sqref="G32"/>
    </sheetView>
  </sheetViews>
  <sheetFormatPr defaultColWidth="0" defaultRowHeight="14.25" zeroHeight="1"/>
  <cols>
    <col min="1" max="1" width="11.5703125" style="5" customWidth="1"/>
    <col min="2" max="5" width="17.5703125" style="6" customWidth="1"/>
    <col min="6" max="6" width="17.5703125" style="7" customWidth="1"/>
    <col min="7" max="7" width="17.5703125" style="6" customWidth="1"/>
    <col min="8" max="8" width="40.5703125" style="6" customWidth="1"/>
    <col min="9" max="9" width="17.140625" style="5" customWidth="1"/>
    <col min="10" max="1018" width="8.5703125" style="6" hidden="1" customWidth="1"/>
    <col min="1019" max="16384" width="8.5703125" style="8" hidden="1"/>
  </cols>
  <sheetData>
    <row r="1" spans="2:8" ht="14.25" customHeight="1">
      <c r="B1" s="260" t="s">
        <v>0</v>
      </c>
      <c r="C1" s="260"/>
      <c r="D1" s="261" t="s">
        <v>1</v>
      </c>
      <c r="E1" s="261"/>
      <c r="F1" s="261"/>
      <c r="G1" s="9" t="s">
        <v>2</v>
      </c>
      <c r="H1" s="10" t="s">
        <v>3</v>
      </c>
    </row>
    <row r="2" spans="2:8" ht="14.25" customHeight="1">
      <c r="B2" s="260"/>
      <c r="C2" s="260"/>
      <c r="D2" s="261"/>
      <c r="E2" s="261"/>
      <c r="F2" s="261"/>
      <c r="G2" s="9" t="s">
        <v>4</v>
      </c>
      <c r="H2" s="11">
        <v>44643</v>
      </c>
    </row>
    <row r="3" spans="2:8" ht="14.25" customHeight="1">
      <c r="B3" s="260"/>
      <c r="C3" s="260"/>
      <c r="D3" s="261"/>
      <c r="E3" s="261"/>
      <c r="F3" s="261"/>
      <c r="G3" s="9" t="s">
        <v>5</v>
      </c>
      <c r="H3" s="12">
        <v>5</v>
      </c>
    </row>
    <row r="4" spans="2:8" ht="14.25" customHeight="1">
      <c r="B4" s="5"/>
      <c r="C4" s="5"/>
      <c r="D4" s="5"/>
      <c r="E4" s="5"/>
      <c r="F4" s="13"/>
      <c r="G4" s="5"/>
      <c r="H4" s="5"/>
    </row>
    <row r="5" spans="2:8" ht="14.25" customHeight="1">
      <c r="B5" s="5"/>
      <c r="C5" s="5"/>
      <c r="D5" s="5"/>
      <c r="E5" s="5"/>
      <c r="F5" s="13"/>
      <c r="G5" s="5"/>
      <c r="H5" s="5"/>
    </row>
    <row r="6" spans="2:8" ht="14.25" customHeight="1">
      <c r="B6" s="5"/>
      <c r="C6" s="5"/>
      <c r="D6" s="5"/>
      <c r="E6" s="5"/>
      <c r="F6" s="13"/>
      <c r="G6" s="5"/>
      <c r="H6" s="5"/>
    </row>
    <row r="7" spans="2:8" ht="15" customHeight="1">
      <c r="B7" s="14" t="s">
        <v>6</v>
      </c>
      <c r="C7" s="15"/>
      <c r="D7" s="15"/>
      <c r="E7" s="15"/>
      <c r="F7" s="16"/>
      <c r="G7" s="15"/>
      <c r="H7" s="15"/>
    </row>
    <row r="8" spans="2:8" ht="14.25" customHeight="1">
      <c r="B8" s="1" t="s">
        <v>7</v>
      </c>
      <c r="C8" s="1" t="s">
        <v>8</v>
      </c>
      <c r="D8" s="1" t="s">
        <v>9</v>
      </c>
      <c r="E8" s="1" t="s">
        <v>10</v>
      </c>
      <c r="F8" s="17" t="s">
        <v>11</v>
      </c>
      <c r="G8" s="260" t="s">
        <v>12</v>
      </c>
      <c r="H8" s="260"/>
    </row>
    <row r="9" spans="2:8" ht="24.75" customHeight="1">
      <c r="B9" s="18">
        <v>1</v>
      </c>
      <c r="C9" s="19">
        <v>43648</v>
      </c>
      <c r="D9" s="20" t="s">
        <v>13</v>
      </c>
      <c r="E9" s="20" t="s">
        <v>14</v>
      </c>
      <c r="F9" s="18" t="s">
        <v>15</v>
      </c>
      <c r="G9" s="262" t="s">
        <v>16</v>
      </c>
      <c r="H9" s="262"/>
    </row>
    <row r="10" spans="2:8" ht="180" customHeight="1">
      <c r="B10" s="18">
        <v>2</v>
      </c>
      <c r="C10" s="19">
        <v>43901</v>
      </c>
      <c r="D10" s="20" t="s">
        <v>17</v>
      </c>
      <c r="E10" s="20" t="s">
        <v>14</v>
      </c>
      <c r="F10" s="18" t="s">
        <v>15</v>
      </c>
      <c r="G10" s="262" t="s">
        <v>18</v>
      </c>
      <c r="H10" s="262"/>
    </row>
    <row r="11" spans="2:8" ht="24.75" customHeight="1">
      <c r="B11" s="18">
        <v>2.1</v>
      </c>
      <c r="C11" s="19">
        <v>43921</v>
      </c>
      <c r="D11" s="20" t="s">
        <v>19</v>
      </c>
      <c r="E11" s="20" t="s">
        <v>14</v>
      </c>
      <c r="F11" s="18" t="s">
        <v>15</v>
      </c>
      <c r="G11" s="262" t="s">
        <v>20</v>
      </c>
      <c r="H11" s="262"/>
    </row>
    <row r="12" spans="2:8" ht="139.5" customHeight="1">
      <c r="B12" s="18">
        <v>2.2000000000000002</v>
      </c>
      <c r="C12" s="19">
        <v>43937</v>
      </c>
      <c r="D12" s="20" t="s">
        <v>14</v>
      </c>
      <c r="E12" s="20" t="s">
        <v>19</v>
      </c>
      <c r="F12" s="18" t="s">
        <v>15</v>
      </c>
      <c r="G12" s="262" t="s">
        <v>21</v>
      </c>
      <c r="H12" s="262"/>
    </row>
    <row r="13" spans="2:8" ht="63.75" customHeight="1">
      <c r="B13" s="18">
        <v>3</v>
      </c>
      <c r="C13" s="21">
        <v>44046</v>
      </c>
      <c r="D13" s="22" t="s">
        <v>22</v>
      </c>
      <c r="E13" s="20" t="s">
        <v>19</v>
      </c>
      <c r="F13" s="18" t="s">
        <v>15</v>
      </c>
      <c r="G13" s="263" t="s">
        <v>23</v>
      </c>
      <c r="H13" s="263"/>
    </row>
    <row r="14" spans="2:8" ht="51.75" customHeight="1">
      <c r="B14" s="18">
        <v>4</v>
      </c>
      <c r="C14" s="21">
        <v>44228</v>
      </c>
      <c r="D14" s="22" t="s">
        <v>14</v>
      </c>
      <c r="E14" s="18" t="s">
        <v>15</v>
      </c>
      <c r="F14" s="18" t="s">
        <v>15</v>
      </c>
      <c r="G14" s="263" t="s">
        <v>24</v>
      </c>
      <c r="H14" s="263"/>
    </row>
    <row r="15" spans="2:8" ht="36" customHeight="1">
      <c r="B15" s="18">
        <v>5</v>
      </c>
      <c r="C15" s="21">
        <v>44643</v>
      </c>
      <c r="D15" s="22" t="s">
        <v>25</v>
      </c>
      <c r="E15" s="18" t="s">
        <v>26</v>
      </c>
      <c r="F15" s="18" t="s">
        <v>27</v>
      </c>
      <c r="G15" s="263" t="s">
        <v>28</v>
      </c>
      <c r="H15" s="263"/>
    </row>
    <row r="16" spans="2:8" ht="40.5" customHeight="1">
      <c r="B16" s="18">
        <v>6</v>
      </c>
      <c r="C16" s="21">
        <v>44860</v>
      </c>
      <c r="D16" s="22" t="s">
        <v>29</v>
      </c>
      <c r="E16" s="18" t="s">
        <v>26</v>
      </c>
      <c r="F16" s="18" t="s">
        <v>27</v>
      </c>
      <c r="G16" s="263" t="s">
        <v>30</v>
      </c>
      <c r="H16" s="263"/>
    </row>
    <row r="17" spans="2:8" ht="49.5" customHeight="1">
      <c r="B17" s="18">
        <v>7</v>
      </c>
      <c r="C17" s="21">
        <v>44902</v>
      </c>
      <c r="D17" s="22" t="s">
        <v>29</v>
      </c>
      <c r="E17" s="18" t="s">
        <v>26</v>
      </c>
      <c r="F17" s="18" t="s">
        <v>27</v>
      </c>
      <c r="G17" s="264" t="s">
        <v>31</v>
      </c>
      <c r="H17" s="264"/>
    </row>
    <row r="18" spans="2:8" ht="24.75" customHeight="1">
      <c r="B18" s="18">
        <v>8</v>
      </c>
      <c r="C18" s="21">
        <v>44993</v>
      </c>
      <c r="D18" s="22" t="s">
        <v>32</v>
      </c>
      <c r="E18" s="18" t="s">
        <v>27</v>
      </c>
      <c r="F18" s="18" t="s">
        <v>27</v>
      </c>
      <c r="G18" s="264" t="s">
        <v>33</v>
      </c>
      <c r="H18" s="264"/>
    </row>
    <row r="19" spans="2:8" ht="107.25" customHeight="1">
      <c r="B19" s="18">
        <v>9</v>
      </c>
      <c r="C19" s="21">
        <v>45051</v>
      </c>
      <c r="D19" s="22" t="s">
        <v>34</v>
      </c>
      <c r="E19" s="18" t="s">
        <v>35</v>
      </c>
      <c r="F19" s="18" t="s">
        <v>27</v>
      </c>
      <c r="G19" s="264" t="s">
        <v>36</v>
      </c>
      <c r="H19" s="264"/>
    </row>
    <row r="20" spans="2:8" ht="40.5" customHeight="1">
      <c r="B20" s="18">
        <v>10</v>
      </c>
      <c r="C20" s="21">
        <v>45294</v>
      </c>
      <c r="D20" s="22" t="s">
        <v>37</v>
      </c>
      <c r="E20" s="18" t="s">
        <v>38</v>
      </c>
      <c r="F20" s="18" t="s">
        <v>27</v>
      </c>
      <c r="G20" s="264" t="s">
        <v>39</v>
      </c>
      <c r="H20" s="264"/>
    </row>
    <row r="21" spans="2:8" ht="27" customHeight="1">
      <c r="B21" s="18">
        <v>11</v>
      </c>
      <c r="C21" s="21">
        <v>45315</v>
      </c>
      <c r="D21" s="22" t="s">
        <v>37</v>
      </c>
      <c r="E21" s="18" t="s">
        <v>38</v>
      </c>
      <c r="F21" s="18" t="s">
        <v>27</v>
      </c>
      <c r="G21" s="264" t="s">
        <v>40</v>
      </c>
      <c r="H21" s="264"/>
    </row>
    <row r="22" spans="2:8" ht="24.75" customHeight="1">
      <c r="B22" s="18">
        <v>12</v>
      </c>
      <c r="C22" s="21">
        <v>45316</v>
      </c>
      <c r="D22" s="22" t="s">
        <v>41</v>
      </c>
      <c r="E22" s="18" t="s">
        <v>38</v>
      </c>
      <c r="F22" s="18" t="s">
        <v>27</v>
      </c>
      <c r="G22" s="264" t="s">
        <v>42</v>
      </c>
      <c r="H22" s="264"/>
    </row>
    <row r="23" spans="2:8" ht="45" customHeight="1">
      <c r="B23" s="18">
        <v>13</v>
      </c>
      <c r="C23" s="21">
        <v>45317</v>
      </c>
      <c r="D23" s="22" t="s">
        <v>43</v>
      </c>
      <c r="E23" s="18" t="s">
        <v>38</v>
      </c>
      <c r="F23" s="18" t="s">
        <v>27</v>
      </c>
      <c r="G23" s="264" t="s">
        <v>44</v>
      </c>
      <c r="H23" s="264"/>
    </row>
    <row r="24" spans="2:8" ht="49.5" customHeight="1">
      <c r="B24" s="18">
        <v>14</v>
      </c>
      <c r="C24" s="21">
        <v>45349</v>
      </c>
      <c r="D24" s="22" t="s">
        <v>34</v>
      </c>
      <c r="E24" s="18" t="s">
        <v>38</v>
      </c>
      <c r="F24" s="18" t="s">
        <v>27</v>
      </c>
      <c r="G24" s="264" t="s">
        <v>45</v>
      </c>
      <c r="H24" s="264"/>
    </row>
    <row r="25" spans="2:8" ht="28.5" customHeight="1">
      <c r="B25" s="18">
        <v>15</v>
      </c>
      <c r="C25" s="21">
        <v>45385</v>
      </c>
      <c r="D25" s="22" t="s">
        <v>37</v>
      </c>
      <c r="E25" s="18" t="s">
        <v>38</v>
      </c>
      <c r="F25" s="18" t="s">
        <v>27</v>
      </c>
      <c r="G25" s="264" t="s">
        <v>46</v>
      </c>
      <c r="H25" s="264"/>
    </row>
    <row r="26" spans="2:8" ht="128.25" customHeight="1">
      <c r="B26" s="18">
        <v>16</v>
      </c>
      <c r="C26" s="21">
        <v>45511</v>
      </c>
      <c r="D26" s="22" t="s">
        <v>43</v>
      </c>
      <c r="E26" s="18" t="s">
        <v>38</v>
      </c>
      <c r="F26" s="18" t="s">
        <v>27</v>
      </c>
      <c r="G26" s="264" t="s">
        <v>47</v>
      </c>
      <c r="H26" s="264"/>
    </row>
    <row r="27" spans="2:8" ht="265.5" customHeight="1">
      <c r="B27" s="18">
        <v>17</v>
      </c>
      <c r="C27" s="21">
        <v>45617</v>
      </c>
      <c r="D27" s="22" t="s">
        <v>48</v>
      </c>
      <c r="E27" s="18" t="s">
        <v>38</v>
      </c>
      <c r="F27" s="18" t="s">
        <v>27</v>
      </c>
      <c r="G27" s="264" t="s">
        <v>49</v>
      </c>
      <c r="H27" s="264"/>
    </row>
    <row r="28" spans="2:8" ht="93" customHeight="1">
      <c r="B28" s="18">
        <v>17.100000000000001</v>
      </c>
      <c r="C28" s="21">
        <v>45834</v>
      </c>
      <c r="D28" s="22" t="s">
        <v>34</v>
      </c>
      <c r="E28" s="18" t="s">
        <v>38</v>
      </c>
      <c r="F28" s="18" t="s">
        <v>27</v>
      </c>
      <c r="G28" s="265" t="s">
        <v>50</v>
      </c>
      <c r="H28" s="265"/>
    </row>
    <row r="29" spans="2:8" ht="93" customHeight="1">
      <c r="B29" s="18">
        <v>18</v>
      </c>
      <c r="C29" s="21">
        <v>45848</v>
      </c>
      <c r="D29" s="22" t="s">
        <v>37</v>
      </c>
      <c r="E29" s="18" t="s">
        <v>38</v>
      </c>
      <c r="F29" s="18" t="s">
        <v>27</v>
      </c>
      <c r="G29" s="265" t="s">
        <v>51</v>
      </c>
      <c r="H29" s="265"/>
    </row>
    <row r="30" spans="2:8" ht="93" customHeight="1">
      <c r="B30" s="18">
        <v>18.100000000000001</v>
      </c>
      <c r="C30" s="21">
        <v>45931</v>
      </c>
      <c r="D30" s="22" t="s">
        <v>37</v>
      </c>
      <c r="E30" s="18" t="s">
        <v>38</v>
      </c>
      <c r="F30" s="18" t="s">
        <v>27</v>
      </c>
      <c r="G30" s="265" t="s">
        <v>52</v>
      </c>
      <c r="H30" s="265"/>
    </row>
    <row r="31" spans="2:8" ht="93" customHeight="1">
      <c r="B31" s="18">
        <v>18.2</v>
      </c>
      <c r="C31" s="21">
        <v>46083</v>
      </c>
      <c r="D31" s="22" t="s">
        <v>53</v>
      </c>
      <c r="E31" s="18" t="s">
        <v>38</v>
      </c>
      <c r="F31" s="18" t="s">
        <v>27</v>
      </c>
      <c r="G31" s="265" t="s">
        <v>54</v>
      </c>
      <c r="H31" s="265"/>
    </row>
    <row r="32" spans="2:8" ht="93" customHeight="1">
      <c r="B32" s="18">
        <v>19</v>
      </c>
      <c r="C32" s="21">
        <v>46176</v>
      </c>
      <c r="D32" s="22" t="s">
        <v>35</v>
      </c>
      <c r="E32" s="18" t="s">
        <v>38</v>
      </c>
      <c r="F32" s="18" t="s">
        <v>27</v>
      </c>
      <c r="G32" s="265" t="s">
        <v>55</v>
      </c>
      <c r="H32" s="265"/>
    </row>
  </sheetData>
  <mergeCells count="27">
    <mergeCell ref="G31:H31"/>
    <mergeCell ref="G32:H32"/>
    <mergeCell ref="G26:H26"/>
    <mergeCell ref="G27:H27"/>
    <mergeCell ref="G28:H28"/>
    <mergeCell ref="G29:H29"/>
    <mergeCell ref="G30:H30"/>
    <mergeCell ref="G21:H21"/>
    <mergeCell ref="G22:H22"/>
    <mergeCell ref="G23:H23"/>
    <mergeCell ref="G24:H24"/>
    <mergeCell ref="G25:H25"/>
    <mergeCell ref="G16:H16"/>
    <mergeCell ref="G17:H17"/>
    <mergeCell ref="G18:H18"/>
    <mergeCell ref="G19:H19"/>
    <mergeCell ref="G20:H20"/>
    <mergeCell ref="G11:H11"/>
    <mergeCell ref="G12:H12"/>
    <mergeCell ref="G13:H13"/>
    <mergeCell ref="G14:H14"/>
    <mergeCell ref="G15:H15"/>
    <mergeCell ref="B1:C3"/>
    <mergeCell ref="D1:F3"/>
    <mergeCell ref="G8:H8"/>
    <mergeCell ref="G9:H9"/>
    <mergeCell ref="G10:H10"/>
  </mergeCell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B32"/>
  <sheetViews>
    <sheetView topLeftCell="A9" zoomScale="110" zoomScaleNormal="110" workbookViewId="0">
      <selection activeCell="B20" sqref="B20"/>
    </sheetView>
  </sheetViews>
  <sheetFormatPr defaultColWidth="0" defaultRowHeight="13.5"/>
  <cols>
    <col min="1" max="1" width="3.5703125" style="23" customWidth="1"/>
    <col min="2" max="2" width="134" style="23" customWidth="1"/>
    <col min="3" max="16384" width="8.5703125" style="23" hidden="1"/>
  </cols>
  <sheetData>
    <row r="1" spans="1:2" ht="18.75" customHeight="1">
      <c r="A1" s="266" t="s">
        <v>56</v>
      </c>
      <c r="B1" s="266"/>
    </row>
    <row r="2" spans="1:2">
      <c r="A2" s="24" t="s">
        <v>57</v>
      </c>
      <c r="B2" s="25" t="s">
        <v>58</v>
      </c>
    </row>
    <row r="3" spans="1:2">
      <c r="A3" s="26">
        <v>1</v>
      </c>
      <c r="B3" s="27" t="s">
        <v>59</v>
      </c>
    </row>
    <row r="4" spans="1:2" ht="25.5" customHeight="1">
      <c r="A4" s="26">
        <v>2</v>
      </c>
      <c r="B4" s="28" t="s">
        <v>60</v>
      </c>
    </row>
    <row r="5" spans="1:2">
      <c r="A5" s="26">
        <v>3</v>
      </c>
      <c r="B5" s="29" t="s">
        <v>61</v>
      </c>
    </row>
    <row r="6" spans="1:2">
      <c r="A6" s="26">
        <v>4</v>
      </c>
      <c r="B6" s="29" t="s">
        <v>62</v>
      </c>
    </row>
    <row r="7" spans="1:2">
      <c r="A7" s="26">
        <v>5</v>
      </c>
      <c r="B7" s="29" t="s">
        <v>63</v>
      </c>
    </row>
    <row r="8" spans="1:2">
      <c r="A8" s="26">
        <v>6</v>
      </c>
      <c r="B8" s="30" t="s">
        <v>64</v>
      </c>
    </row>
    <row r="9" spans="1:2">
      <c r="A9" s="26">
        <v>7</v>
      </c>
      <c r="B9" s="30" t="s">
        <v>65</v>
      </c>
    </row>
    <row r="10" spans="1:2">
      <c r="A10" s="26">
        <v>8</v>
      </c>
      <c r="B10" s="30" t="s">
        <v>66</v>
      </c>
    </row>
    <row r="11" spans="1:2" ht="24.75" customHeight="1">
      <c r="A11" s="26">
        <v>9</v>
      </c>
      <c r="B11" s="31" t="s">
        <v>67</v>
      </c>
    </row>
    <row r="12" spans="1:2">
      <c r="A12" s="26">
        <v>10</v>
      </c>
      <c r="B12" s="32" t="str">
        <f>CONCATENATE("USD to PHP exchange rate is 1 USD : ", SUMMARY!C22, " Philippine Pesos. This is based on the prevailing exchange rate on the week of this workbook's review and approval.")</f>
        <v>USD to PHP exchange rate is 1 USD : 60 Philippine Pesos. This is based on the prevailing exchange rate on the week of this workbook's review and approval.</v>
      </c>
    </row>
    <row r="13" spans="1:2">
      <c r="A13" s="26">
        <v>11</v>
      </c>
      <c r="B13" s="33"/>
    </row>
    <row r="14" spans="1:2">
      <c r="A14" s="26">
        <v>12</v>
      </c>
      <c r="B14" s="33"/>
    </row>
    <row r="15" spans="1:2">
      <c r="A15" s="26">
        <v>13</v>
      </c>
      <c r="B15" s="33"/>
    </row>
    <row r="16" spans="1:2">
      <c r="A16" s="26">
        <v>14</v>
      </c>
      <c r="B16" s="33"/>
    </row>
    <row r="17" spans="1:2">
      <c r="A17" s="26">
        <v>15</v>
      </c>
      <c r="B17" s="33"/>
    </row>
    <row r="18" spans="1:2">
      <c r="A18" s="26">
        <v>16</v>
      </c>
      <c r="B18" s="33"/>
    </row>
    <row r="19" spans="1:2">
      <c r="A19" s="26">
        <v>17</v>
      </c>
      <c r="B19" s="33"/>
    </row>
    <row r="20" spans="1:2">
      <c r="A20" s="26">
        <v>18</v>
      </c>
      <c r="B20" s="33"/>
    </row>
    <row r="21" spans="1:2">
      <c r="A21" s="26">
        <v>19</v>
      </c>
      <c r="B21" s="33"/>
    </row>
    <row r="22" spans="1:2">
      <c r="A22" s="26">
        <v>20</v>
      </c>
      <c r="B22" s="33"/>
    </row>
    <row r="23" spans="1:2" ht="14.25" customHeight="1">
      <c r="A23" s="26">
        <v>21</v>
      </c>
      <c r="B23" s="33"/>
    </row>
    <row r="24" spans="1:2" ht="14.25" customHeight="1">
      <c r="A24" s="24" t="s">
        <v>57</v>
      </c>
      <c r="B24" s="34" t="s">
        <v>68</v>
      </c>
    </row>
    <row r="25" spans="1:2">
      <c r="A25" s="35">
        <v>1</v>
      </c>
      <c r="B25" s="36"/>
    </row>
    <row r="26" spans="1:2">
      <c r="A26" s="26">
        <v>2</v>
      </c>
      <c r="B26" s="29"/>
    </row>
    <row r="27" spans="1:2">
      <c r="A27" s="26">
        <v>3</v>
      </c>
      <c r="B27" s="37"/>
    </row>
    <row r="28" spans="1:2">
      <c r="A28" s="26">
        <v>4</v>
      </c>
      <c r="B28" s="29"/>
    </row>
    <row r="29" spans="1:2">
      <c r="A29" s="26">
        <v>5</v>
      </c>
      <c r="B29" s="37"/>
    </row>
    <row r="30" spans="1:2">
      <c r="A30" s="26">
        <v>6</v>
      </c>
      <c r="B30" s="29"/>
    </row>
    <row r="31" spans="1:2">
      <c r="A31" s="26">
        <v>7</v>
      </c>
      <c r="B31" s="29"/>
    </row>
    <row r="32" spans="1:2">
      <c r="A32" s="38">
        <v>8</v>
      </c>
      <c r="B32" s="39"/>
    </row>
  </sheetData>
  <mergeCells count="1">
    <mergeCell ref="A1:B1"/>
  </mergeCell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2:K18"/>
  <sheetViews>
    <sheetView topLeftCell="A13" zoomScaleNormal="100" workbookViewId="0">
      <selection activeCell="F9" sqref="F9"/>
    </sheetView>
  </sheetViews>
  <sheetFormatPr defaultColWidth="9.140625" defaultRowHeight="14.25"/>
  <cols>
    <col min="1" max="1" width="6.5703125" customWidth="1"/>
    <col min="2" max="2" width="47.5703125" customWidth="1"/>
    <col min="3" max="3" width="49.5703125" customWidth="1"/>
    <col min="4" max="4" width="11.42578125" customWidth="1"/>
    <col min="5" max="5" width="12.5703125" customWidth="1"/>
    <col min="6" max="6" width="16.42578125" customWidth="1"/>
    <col min="7" max="7" width="16.5703125" customWidth="1"/>
    <col min="8" max="11" width="17.42578125" customWidth="1"/>
    <col min="12" max="12" width="2.42578125" customWidth="1"/>
  </cols>
  <sheetData>
    <row r="2" spans="1:11" ht="15.75" customHeight="1">
      <c r="A2" s="40"/>
      <c r="B2" s="40"/>
      <c r="C2" s="40"/>
      <c r="D2" s="40"/>
      <c r="E2" s="267" t="s">
        <v>69</v>
      </c>
      <c r="F2" s="267"/>
      <c r="G2" s="267"/>
      <c r="H2" s="267"/>
      <c r="I2" s="40"/>
      <c r="J2" s="40"/>
      <c r="K2" s="40"/>
    </row>
    <row r="3" spans="1:11" ht="28.5" customHeight="1">
      <c r="A3" s="40"/>
      <c r="B3" s="40"/>
      <c r="C3" s="40"/>
      <c r="D3" s="40"/>
      <c r="E3" s="40"/>
      <c r="F3" s="41" t="s">
        <v>70</v>
      </c>
      <c r="G3" s="41" t="s">
        <v>71</v>
      </c>
      <c r="H3" s="40"/>
      <c r="I3" s="40"/>
      <c r="J3" s="40"/>
      <c r="K3" s="40"/>
    </row>
    <row r="4" spans="1:11">
      <c r="A4" s="40"/>
      <c r="B4" s="40"/>
      <c r="C4" s="40"/>
      <c r="D4" s="40"/>
      <c r="E4" s="40"/>
      <c r="F4" s="42">
        <v>0</v>
      </c>
      <c r="G4" s="42">
        <v>0</v>
      </c>
      <c r="H4" s="40"/>
      <c r="I4" s="40"/>
      <c r="J4" s="40"/>
      <c r="K4" s="40"/>
    </row>
    <row r="5" spans="1:11">
      <c r="A5" s="40"/>
      <c r="B5" s="40"/>
      <c r="C5" s="40"/>
      <c r="D5" s="40"/>
      <c r="E5" s="40"/>
      <c r="F5" s="40"/>
      <c r="G5" s="40"/>
      <c r="H5" s="40"/>
      <c r="I5" s="40"/>
      <c r="J5" s="40"/>
      <c r="K5" s="40"/>
    </row>
    <row r="6" spans="1:11">
      <c r="A6" s="40"/>
      <c r="B6" s="40"/>
      <c r="C6" s="40"/>
      <c r="D6" s="40"/>
      <c r="E6" s="40"/>
      <c r="F6" s="40"/>
      <c r="G6" s="40"/>
      <c r="H6" s="40"/>
      <c r="I6" s="40"/>
      <c r="J6" s="40"/>
      <c r="K6" s="40"/>
    </row>
    <row r="7" spans="1:11" ht="15" customHeight="1">
      <c r="A7" s="268" t="s">
        <v>72</v>
      </c>
      <c r="B7" s="268"/>
      <c r="C7" s="268"/>
      <c r="D7" s="268"/>
      <c r="E7" s="268"/>
      <c r="F7" s="268"/>
      <c r="G7" s="268"/>
      <c r="H7" s="268"/>
      <c r="I7" s="268"/>
      <c r="J7" s="268"/>
      <c r="K7" s="268"/>
    </row>
    <row r="8" spans="1:11" ht="52.5" customHeight="1">
      <c r="A8" s="43" t="s">
        <v>73</v>
      </c>
      <c r="B8" s="43" t="s">
        <v>74</v>
      </c>
      <c r="C8" s="43" t="s">
        <v>75</v>
      </c>
      <c r="D8" s="43" t="s">
        <v>76</v>
      </c>
      <c r="E8" s="43" t="s">
        <v>77</v>
      </c>
      <c r="F8" s="43" t="s">
        <v>78</v>
      </c>
      <c r="G8" s="43" t="s">
        <v>79</v>
      </c>
      <c r="H8" s="43" t="s">
        <v>80</v>
      </c>
      <c r="I8" s="43" t="s">
        <v>81</v>
      </c>
      <c r="J8" s="43" t="s">
        <v>82</v>
      </c>
      <c r="K8" s="43" t="s">
        <v>83</v>
      </c>
    </row>
    <row r="9" spans="1:11" ht="28.5" customHeight="1">
      <c r="A9" s="44">
        <v>1</v>
      </c>
      <c r="B9" s="45"/>
      <c r="C9" s="45"/>
      <c r="D9" s="45"/>
      <c r="E9" s="46"/>
      <c r="F9" s="42">
        <v>0</v>
      </c>
      <c r="G9" s="42">
        <v>0</v>
      </c>
      <c r="H9" s="47" t="str">
        <f>IF(F9=0,"₱0",F9-$F$4)</f>
        <v>₱0</v>
      </c>
      <c r="I9" s="47" t="str">
        <f>IF(G9=0,"₱0",G9-$G$4)</f>
        <v>₱0</v>
      </c>
      <c r="J9" s="48" t="s">
        <v>84</v>
      </c>
      <c r="K9" s="48" t="s">
        <v>84</v>
      </c>
    </row>
    <row r="10" spans="1:11" ht="28.5" customHeight="1">
      <c r="A10" s="44">
        <v>2</v>
      </c>
      <c r="B10" s="45"/>
      <c r="C10" s="45"/>
      <c r="D10" s="45"/>
      <c r="E10" s="46"/>
      <c r="F10" s="42">
        <v>0</v>
      </c>
      <c r="G10" s="42">
        <v>0</v>
      </c>
      <c r="H10" s="47" t="str">
        <f>IF(F10=0,"₱0",F10-$F$4)</f>
        <v>₱0</v>
      </c>
      <c r="I10" s="47" t="str">
        <f>IF(G10=0,"₱0",G10-$G$4)</f>
        <v>₱0</v>
      </c>
      <c r="J10" s="49" t="str">
        <f>IF(F10=0,"₱0",F10-$F9)</f>
        <v>₱0</v>
      </c>
      <c r="K10" s="49" t="str">
        <f>IF(G10=0,"₱0",G10-$G9)</f>
        <v>₱0</v>
      </c>
    </row>
    <row r="11" spans="1:11" ht="28.5" customHeight="1">
      <c r="A11" s="44">
        <v>3</v>
      </c>
      <c r="B11" s="45"/>
      <c r="C11" s="45"/>
      <c r="D11" s="45"/>
      <c r="E11" s="46"/>
      <c r="F11" s="42">
        <v>0</v>
      </c>
      <c r="G11" s="42">
        <v>0</v>
      </c>
      <c r="H11" s="47" t="str">
        <f>IF(F11=0,"₱0",F11-$F$4)</f>
        <v>₱0</v>
      </c>
      <c r="I11" s="47" t="str">
        <f>IF(G11=0,"₱0",G11-$G$4)</f>
        <v>₱0</v>
      </c>
      <c r="J11" s="49" t="str">
        <f>IF(F11=0,"₱0",F11-$F10)</f>
        <v>₱0</v>
      </c>
      <c r="K11" s="49" t="str">
        <f>IF(G11=0,"₱0",G11-$G10)</f>
        <v>₱0</v>
      </c>
    </row>
    <row r="12" spans="1:11" ht="28.5" customHeight="1">
      <c r="A12" s="44">
        <v>4</v>
      </c>
      <c r="B12" s="45"/>
      <c r="C12" s="45"/>
      <c r="D12" s="45"/>
      <c r="E12" s="46"/>
      <c r="F12" s="42">
        <v>0</v>
      </c>
      <c r="G12" s="42">
        <v>0</v>
      </c>
      <c r="H12" s="47" t="str">
        <f>IF(F12=0,"₱0",F12-$F$4)</f>
        <v>₱0</v>
      </c>
      <c r="I12" s="47" t="str">
        <f>IF(G12=0,"₱0",G12-$G$4)</f>
        <v>₱0</v>
      </c>
      <c r="J12" s="49" t="str">
        <f>IF(F12=0,"₱0",F12-$F11)</f>
        <v>₱0</v>
      </c>
      <c r="K12" s="49" t="str">
        <f>IF(G12=0,"₱0",G12-$G11)</f>
        <v>₱0</v>
      </c>
    </row>
    <row r="13" spans="1:11" ht="28.5" customHeight="1">
      <c r="A13" s="44">
        <v>5</v>
      </c>
      <c r="B13" s="45"/>
      <c r="C13" s="45"/>
      <c r="D13" s="45"/>
      <c r="E13" s="46"/>
      <c r="F13" s="42">
        <v>0</v>
      </c>
      <c r="G13" s="42">
        <v>0</v>
      </c>
      <c r="H13" s="47" t="str">
        <f>IF(F13=0,"₱0",F13-$F$4)</f>
        <v>₱0</v>
      </c>
      <c r="I13" s="47" t="str">
        <f>IF(G13=0,"₱0",G13-$G$4)</f>
        <v>₱0</v>
      </c>
      <c r="J13" s="49" t="str">
        <f>IF(F13=0,"₱0",F13-$F12)</f>
        <v>₱0</v>
      </c>
      <c r="K13" s="49" t="str">
        <f>IF(G13=0,"₱0",G13-$G12)</f>
        <v>₱0</v>
      </c>
    </row>
    <row r="14" spans="1:11" ht="28.5" customHeight="1">
      <c r="A14" s="44">
        <v>6</v>
      </c>
      <c r="B14" s="45"/>
      <c r="C14" s="45"/>
      <c r="D14" s="45"/>
      <c r="E14" s="46"/>
      <c r="F14" s="42">
        <v>0</v>
      </c>
      <c r="G14" s="42">
        <v>0</v>
      </c>
      <c r="H14" s="47" t="str">
        <f>IF(F14=0,"₱0",F14-$F$4)</f>
        <v>₱0</v>
      </c>
      <c r="I14" s="47" t="str">
        <f>IF(G14=0,"₱0",G14-$G$4)</f>
        <v>₱0</v>
      </c>
      <c r="J14" s="49" t="str">
        <f>IF(F14=0,"₱0",F14-$F13)</f>
        <v>₱0</v>
      </c>
      <c r="K14" s="49" t="str">
        <f>IF(G14=0,"₱0",G14-$G13)</f>
        <v>₱0</v>
      </c>
    </row>
    <row r="15" spans="1:11" ht="28.5" customHeight="1">
      <c r="A15" s="44">
        <v>7</v>
      </c>
      <c r="B15" s="45"/>
      <c r="C15" s="45"/>
      <c r="D15" s="45"/>
      <c r="E15" s="46"/>
      <c r="F15" s="42">
        <v>0</v>
      </c>
      <c r="G15" s="42">
        <v>0</v>
      </c>
      <c r="H15" s="47" t="str">
        <f>IF(F15=0,"₱0",F15-$F$4)</f>
        <v>₱0</v>
      </c>
      <c r="I15" s="47" t="str">
        <f>IF(G15=0,"₱0",G15-$G$4)</f>
        <v>₱0</v>
      </c>
      <c r="J15" s="49" t="str">
        <f>IF(F15=0,"₱0",F15-$F14)</f>
        <v>₱0</v>
      </c>
      <c r="K15" s="49" t="str">
        <f>IF(G15=0,"₱0",G15-$G14)</f>
        <v>₱0</v>
      </c>
    </row>
    <row r="16" spans="1:11" ht="28.5" customHeight="1">
      <c r="A16" s="44">
        <v>8</v>
      </c>
      <c r="B16" s="45"/>
      <c r="C16" s="45"/>
      <c r="D16" s="45"/>
      <c r="E16" s="46"/>
      <c r="F16" s="42">
        <v>0</v>
      </c>
      <c r="G16" s="42">
        <v>0</v>
      </c>
      <c r="H16" s="47" t="str">
        <f>IF(F16=0,"₱0",F16-$F$4)</f>
        <v>₱0</v>
      </c>
      <c r="I16" s="47" t="str">
        <f>IF(G16=0,"₱0",G16-$G$4)</f>
        <v>₱0</v>
      </c>
      <c r="J16" s="49" t="str">
        <f>IF(F16=0,"₱0",F16-$F15)</f>
        <v>₱0</v>
      </c>
      <c r="K16" s="49" t="str">
        <f>IF(G16=0,"₱0",G16-$G15)</f>
        <v>₱0</v>
      </c>
    </row>
    <row r="17" spans="1:11" ht="28.5" customHeight="1">
      <c r="A17" s="44">
        <v>9</v>
      </c>
      <c r="B17" s="45"/>
      <c r="C17" s="45"/>
      <c r="D17" s="45"/>
      <c r="E17" s="46"/>
      <c r="F17" s="42">
        <v>0</v>
      </c>
      <c r="G17" s="42">
        <v>0</v>
      </c>
      <c r="H17" s="47" t="str">
        <f>IF(F17=0,"₱0",F17-$F$4)</f>
        <v>₱0</v>
      </c>
      <c r="I17" s="47" t="str">
        <f>IF(G17=0,"₱0",G17-$G$4)</f>
        <v>₱0</v>
      </c>
      <c r="J17" s="49" t="str">
        <f>IF(F17=0,"₱0",F17-$F16)</f>
        <v>₱0</v>
      </c>
      <c r="K17" s="49" t="str">
        <f>IF(G17=0,"₱0",G17-$G16)</f>
        <v>₱0</v>
      </c>
    </row>
    <row r="18" spans="1:11" ht="28.5" customHeight="1">
      <c r="A18" s="44">
        <v>10</v>
      </c>
      <c r="B18" s="45"/>
      <c r="C18" s="45"/>
      <c r="D18" s="45"/>
      <c r="E18" s="46"/>
      <c r="F18" s="42">
        <v>0</v>
      </c>
      <c r="G18" s="42">
        <v>0</v>
      </c>
      <c r="H18" s="47" t="str">
        <f>IF(F18=0,"₱0",F18-$F$4)</f>
        <v>₱0</v>
      </c>
      <c r="I18" s="47" t="str">
        <f>IF(G18=0,"₱0",G18-$G$4)</f>
        <v>₱0</v>
      </c>
      <c r="J18" s="49" t="str">
        <f>IF(F18=0,"₱0",F18-$F17)</f>
        <v>₱0</v>
      </c>
      <c r="K18" s="49" t="str">
        <f>IF(G18=0,"₱0",G18-$G17)</f>
        <v>₱0</v>
      </c>
    </row>
  </sheetData>
  <mergeCells count="2">
    <mergeCell ref="E2:H2"/>
    <mergeCell ref="A7:K7"/>
  </mergeCell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2:AMK42"/>
  <sheetViews>
    <sheetView tabSelected="1" topLeftCell="A17" zoomScaleNormal="100" workbookViewId="0">
      <selection activeCell="A6" sqref="A6"/>
    </sheetView>
  </sheetViews>
  <sheetFormatPr defaultColWidth="0" defaultRowHeight="14.25" zeroHeight="1"/>
  <cols>
    <col min="1" max="2" width="13.5703125" style="50" customWidth="1"/>
    <col min="3" max="4" width="16.42578125" style="50" customWidth="1"/>
    <col min="5" max="8" width="13.5703125" style="50" customWidth="1"/>
    <col min="9" max="10" width="16.42578125" style="50" customWidth="1"/>
    <col min="11" max="11" width="13.5703125" style="50" customWidth="1"/>
    <col min="12" max="1025" width="8.5703125" style="50" hidden="1" customWidth="1"/>
    <col min="1026" max="16384" width="8.5703125" hidden="1"/>
  </cols>
  <sheetData>
    <row r="2" spans="1:11" s="51" customFormat="1" ht="25.5" customHeight="1">
      <c r="A2" s="269" t="s">
        <v>85</v>
      </c>
      <c r="B2" s="269"/>
      <c r="C2" s="269"/>
      <c r="D2" s="269"/>
      <c r="E2" s="269"/>
      <c r="F2" s="269"/>
      <c r="G2" s="269"/>
      <c r="H2" s="269"/>
      <c r="I2" s="269"/>
      <c r="J2" s="269"/>
      <c r="K2" s="269"/>
    </row>
    <row r="3" spans="1:11" s="51" customFormat="1" ht="18" customHeight="1">
      <c r="A3" s="52"/>
      <c r="B3" s="52"/>
      <c r="C3" s="52"/>
      <c r="D3" s="52"/>
      <c r="E3" s="52"/>
      <c r="F3" s="52"/>
      <c r="G3" s="52"/>
      <c r="H3" s="52"/>
      <c r="I3" s="52"/>
      <c r="J3" s="52"/>
      <c r="K3" s="52"/>
    </row>
    <row r="4" spans="1:11" s="51" customFormat="1" ht="15.75" customHeight="1">
      <c r="A4" s="53" t="s">
        <v>86</v>
      </c>
      <c r="B4" s="54" t="s">
        <v>87</v>
      </c>
      <c r="C4" s="270" t="s">
        <v>88</v>
      </c>
      <c r="D4" s="270"/>
      <c r="F4" s="52"/>
      <c r="G4" s="53" t="s">
        <v>89</v>
      </c>
      <c r="H4" s="54" t="s">
        <v>90</v>
      </c>
      <c r="I4" s="270" t="s">
        <v>88</v>
      </c>
      <c r="J4" s="270"/>
      <c r="K4" s="52"/>
    </row>
    <row r="5" spans="1:11" ht="28.5" customHeight="1">
      <c r="A5" s="53" t="s">
        <v>91</v>
      </c>
      <c r="B5" s="52"/>
      <c r="C5" s="52"/>
      <c r="D5" s="52"/>
      <c r="E5" s="52"/>
      <c r="F5" s="52"/>
      <c r="G5" s="52"/>
      <c r="H5" s="52"/>
      <c r="I5" s="52"/>
      <c r="J5" s="52"/>
      <c r="K5" s="52"/>
    </row>
    <row r="6" spans="1:11" ht="14.25" customHeight="1">
      <c r="A6" s="271" t="s">
        <v>92</v>
      </c>
      <c r="B6" s="272"/>
      <c r="C6" s="272"/>
      <c r="D6" s="272"/>
      <c r="E6" s="272"/>
      <c r="F6" s="272"/>
      <c r="G6" s="272"/>
      <c r="H6" s="272"/>
      <c r="I6" s="272"/>
      <c r="J6" s="272"/>
      <c r="K6" s="272"/>
    </row>
    <row r="7" spans="1:11" ht="14.25" customHeight="1">
      <c r="A7" s="272"/>
      <c r="B7" s="272"/>
      <c r="C7" s="272"/>
      <c r="D7" s="272"/>
      <c r="E7" s="272"/>
      <c r="F7" s="272"/>
      <c r="G7" s="272"/>
      <c r="H7" s="272"/>
      <c r="I7" s="272"/>
      <c r="J7" s="272"/>
      <c r="K7" s="272"/>
    </row>
    <row r="8" spans="1:11" ht="14.25" customHeight="1">
      <c r="A8" s="272"/>
      <c r="B8" s="272"/>
      <c r="C8" s="272"/>
      <c r="D8" s="272"/>
      <c r="E8" s="272"/>
      <c r="F8" s="272"/>
      <c r="G8" s="272"/>
      <c r="H8" s="272"/>
      <c r="I8" s="272"/>
      <c r="J8" s="272"/>
      <c r="K8" s="272"/>
    </row>
    <row r="9" spans="1:11" ht="14.25" customHeight="1">
      <c r="A9" s="272"/>
      <c r="B9" s="272"/>
      <c r="C9" s="272"/>
      <c r="D9" s="272"/>
      <c r="E9" s="272"/>
      <c r="F9" s="272"/>
      <c r="G9" s="272"/>
      <c r="H9" s="272"/>
      <c r="I9" s="272"/>
      <c r="J9" s="272"/>
      <c r="K9" s="272"/>
    </row>
    <row r="10" spans="1:11" ht="14.25" customHeight="1">
      <c r="A10" s="272"/>
      <c r="B10" s="272"/>
      <c r="C10" s="272"/>
      <c r="D10" s="272"/>
      <c r="E10" s="272"/>
      <c r="F10" s="272"/>
      <c r="G10" s="272"/>
      <c r="H10" s="272"/>
      <c r="I10" s="272"/>
      <c r="J10" s="272"/>
      <c r="K10" s="272"/>
    </row>
    <row r="11" spans="1:11" ht="14.25" customHeight="1">
      <c r="A11" s="272"/>
      <c r="B11" s="272"/>
      <c r="C11" s="272"/>
      <c r="D11" s="272"/>
      <c r="E11" s="272"/>
      <c r="F11" s="272"/>
      <c r="G11" s="272"/>
      <c r="H11" s="272"/>
      <c r="I11" s="272"/>
      <c r="J11" s="272"/>
      <c r="K11" s="272"/>
    </row>
    <row r="12" spans="1:11" ht="14.25" customHeight="1">
      <c r="A12" s="272"/>
      <c r="B12" s="272"/>
      <c r="C12" s="272"/>
      <c r="D12" s="272"/>
      <c r="E12" s="272"/>
      <c r="F12" s="272"/>
      <c r="G12" s="272"/>
      <c r="H12" s="272"/>
      <c r="I12" s="272"/>
      <c r="J12" s="272"/>
      <c r="K12" s="272"/>
    </row>
    <row r="13" spans="1:11" ht="14.25" customHeight="1">
      <c r="A13" s="272"/>
      <c r="B13" s="272"/>
      <c r="C13" s="272"/>
      <c r="D13" s="272"/>
      <c r="E13" s="272"/>
      <c r="F13" s="272"/>
      <c r="G13" s="272"/>
      <c r="H13" s="272"/>
      <c r="I13" s="272"/>
      <c r="J13" s="272"/>
      <c r="K13" s="272"/>
    </row>
    <row r="14" spans="1:11" ht="14.25" customHeight="1">
      <c r="A14" s="272"/>
      <c r="B14" s="272"/>
      <c r="C14" s="272"/>
      <c r="D14" s="272"/>
      <c r="E14" s="272"/>
      <c r="F14" s="272"/>
      <c r="G14" s="272"/>
      <c r="H14" s="272"/>
      <c r="I14" s="272"/>
      <c r="J14" s="272"/>
      <c r="K14" s="272"/>
    </row>
    <row r="15" spans="1:11" ht="14.25" customHeight="1">
      <c r="A15" s="272"/>
      <c r="B15" s="272"/>
      <c r="C15" s="272"/>
      <c r="D15" s="272"/>
      <c r="E15" s="272"/>
      <c r="F15" s="272"/>
      <c r="G15" s="272"/>
      <c r="H15" s="272"/>
      <c r="I15" s="272"/>
      <c r="J15" s="272"/>
      <c r="K15" s="272"/>
    </row>
    <row r="16" spans="1:11" ht="14.25" customHeight="1">
      <c r="A16" s="272"/>
      <c r="B16" s="272"/>
      <c r="C16" s="272"/>
      <c r="D16" s="272"/>
      <c r="E16" s="272"/>
      <c r="F16" s="272"/>
      <c r="G16" s="272"/>
      <c r="H16" s="272"/>
      <c r="I16" s="272"/>
      <c r="J16" s="272"/>
      <c r="K16" s="272"/>
    </row>
    <row r="17" spans="1:11" ht="14.25" customHeight="1">
      <c r="A17" s="272"/>
      <c r="B17" s="272"/>
      <c r="C17" s="272"/>
      <c r="D17" s="272"/>
      <c r="E17" s="272"/>
      <c r="F17" s="272"/>
      <c r="G17" s="272"/>
      <c r="H17" s="272"/>
      <c r="I17" s="272"/>
      <c r="J17" s="272"/>
      <c r="K17" s="272"/>
    </row>
    <row r="18" spans="1:11" ht="14.25" customHeight="1">
      <c r="A18" s="272"/>
      <c r="B18" s="272"/>
      <c r="C18" s="272"/>
      <c r="D18" s="272"/>
      <c r="E18" s="272"/>
      <c r="F18" s="272"/>
      <c r="G18" s="272"/>
      <c r="H18" s="272"/>
      <c r="I18" s="272"/>
      <c r="J18" s="272"/>
      <c r="K18" s="272"/>
    </row>
    <row r="19" spans="1:11" ht="14.25" customHeight="1">
      <c r="A19" s="272"/>
      <c r="B19" s="272"/>
      <c r="C19" s="272"/>
      <c r="D19" s="272"/>
      <c r="E19" s="272"/>
      <c r="F19" s="272"/>
      <c r="G19" s="272"/>
      <c r="H19" s="272"/>
      <c r="I19" s="272"/>
      <c r="J19" s="272"/>
      <c r="K19" s="272"/>
    </row>
    <row r="20" spans="1:11" ht="14.25" customHeight="1">
      <c r="A20" s="272"/>
      <c r="B20" s="272"/>
      <c r="C20" s="272"/>
      <c r="D20" s="272"/>
      <c r="E20" s="272"/>
      <c r="F20" s="272"/>
      <c r="G20" s="272"/>
      <c r="H20" s="272"/>
      <c r="I20" s="272"/>
      <c r="J20" s="272"/>
      <c r="K20" s="272"/>
    </row>
    <row r="21" spans="1:11" ht="14.25" customHeight="1">
      <c r="A21" s="272"/>
      <c r="B21" s="272"/>
      <c r="C21" s="272"/>
      <c r="D21" s="272"/>
      <c r="E21" s="272"/>
      <c r="F21" s="272"/>
      <c r="G21" s="272"/>
      <c r="H21" s="272"/>
      <c r="I21" s="272"/>
      <c r="J21" s="272"/>
      <c r="K21" s="272"/>
    </row>
    <row r="22" spans="1:11" ht="14.25" customHeight="1">
      <c r="A22" s="272"/>
      <c r="B22" s="272"/>
      <c r="C22" s="272"/>
      <c r="D22" s="272"/>
      <c r="E22" s="272"/>
      <c r="F22" s="272"/>
      <c r="G22" s="272"/>
      <c r="H22" s="272"/>
      <c r="I22" s="272"/>
      <c r="J22" s="272"/>
      <c r="K22" s="272"/>
    </row>
    <row r="23" spans="1:11" ht="14.25" customHeight="1">
      <c r="A23" s="272"/>
      <c r="B23" s="272"/>
      <c r="C23" s="272"/>
      <c r="D23" s="272"/>
      <c r="E23" s="272"/>
      <c r="F23" s="272"/>
      <c r="G23" s="272"/>
      <c r="H23" s="272"/>
      <c r="I23" s="272"/>
      <c r="J23" s="272"/>
      <c r="K23" s="272"/>
    </row>
    <row r="24" spans="1:11" ht="14.25" customHeight="1">
      <c r="A24" s="272"/>
      <c r="B24" s="272"/>
      <c r="C24" s="272"/>
      <c r="D24" s="272"/>
      <c r="E24" s="272"/>
      <c r="F24" s="272"/>
      <c r="G24" s="272"/>
      <c r="H24" s="272"/>
      <c r="I24" s="272"/>
      <c r="J24" s="272"/>
      <c r="K24" s="272"/>
    </row>
    <row r="25" spans="1:11" ht="14.25" customHeight="1">
      <c r="A25" s="272"/>
      <c r="B25" s="272"/>
      <c r="C25" s="272"/>
      <c r="D25" s="272"/>
      <c r="E25" s="272"/>
      <c r="F25" s="272"/>
      <c r="G25" s="272"/>
      <c r="H25" s="272"/>
      <c r="I25" s="272"/>
      <c r="J25" s="272"/>
      <c r="K25" s="272"/>
    </row>
    <row r="26" spans="1:11" ht="14.25" customHeight="1">
      <c r="A26" s="272"/>
      <c r="B26" s="272"/>
      <c r="C26" s="272"/>
      <c r="D26" s="272"/>
      <c r="E26" s="272"/>
      <c r="F26" s="272"/>
      <c r="G26" s="272"/>
      <c r="H26" s="272"/>
      <c r="I26" s="272"/>
      <c r="J26" s="272"/>
      <c r="K26" s="272"/>
    </row>
    <row r="27" spans="1:11" ht="14.25" customHeight="1">
      <c r="A27" s="272"/>
      <c r="B27" s="272"/>
      <c r="C27" s="272"/>
      <c r="D27" s="272"/>
      <c r="E27" s="272"/>
      <c r="F27" s="272"/>
      <c r="G27" s="272"/>
      <c r="H27" s="272"/>
      <c r="I27" s="272"/>
      <c r="J27" s="272"/>
      <c r="K27" s="272"/>
    </row>
    <row r="28" spans="1:11" ht="14.25" customHeight="1">
      <c r="A28" s="272"/>
      <c r="B28" s="272"/>
      <c r="C28" s="272"/>
      <c r="D28" s="272"/>
      <c r="E28" s="272"/>
      <c r="F28" s="272"/>
      <c r="G28" s="272"/>
      <c r="H28" s="272"/>
      <c r="I28" s="272"/>
      <c r="J28" s="272"/>
      <c r="K28" s="272"/>
    </row>
    <row r="29" spans="1:11" ht="14.25" customHeight="1">
      <c r="A29" s="272"/>
      <c r="B29" s="272"/>
      <c r="C29" s="272"/>
      <c r="D29" s="272"/>
      <c r="E29" s="272"/>
      <c r="F29" s="272"/>
      <c r="G29" s="272"/>
      <c r="H29" s="272"/>
      <c r="I29" s="272"/>
      <c r="J29" s="272"/>
      <c r="K29" s="272"/>
    </row>
    <row r="30" spans="1:11" ht="14.25" customHeight="1">
      <c r="A30" s="272"/>
      <c r="B30" s="272"/>
      <c r="C30" s="272"/>
      <c r="D30" s="272"/>
      <c r="E30" s="272"/>
      <c r="F30" s="272"/>
      <c r="G30" s="272"/>
      <c r="H30" s="272"/>
      <c r="I30" s="272"/>
      <c r="J30" s="272"/>
      <c r="K30" s="272"/>
    </row>
    <row r="31" spans="1:11" ht="14.25" customHeight="1">
      <c r="A31" s="272"/>
      <c r="B31" s="272"/>
      <c r="C31" s="272"/>
      <c r="D31" s="272"/>
      <c r="E31" s="272"/>
      <c r="F31" s="272"/>
      <c r="G31" s="272"/>
      <c r="H31" s="272"/>
      <c r="I31" s="272"/>
      <c r="J31" s="272"/>
      <c r="K31" s="272"/>
    </row>
    <row r="32" spans="1:11" ht="14.25" customHeight="1">
      <c r="A32" s="272"/>
      <c r="B32" s="272"/>
      <c r="C32" s="272"/>
      <c r="D32" s="272"/>
      <c r="E32" s="272"/>
      <c r="F32" s="272"/>
      <c r="G32" s="272"/>
      <c r="H32" s="272"/>
      <c r="I32" s="272"/>
      <c r="J32" s="272"/>
      <c r="K32" s="272"/>
    </row>
    <row r="33" spans="1:11" ht="14.25" customHeight="1">
      <c r="A33" s="272"/>
      <c r="B33" s="272"/>
      <c r="C33" s="272"/>
      <c r="D33" s="272"/>
      <c r="E33" s="272"/>
      <c r="F33" s="272"/>
      <c r="G33" s="272"/>
      <c r="H33" s="272"/>
      <c r="I33" s="272"/>
      <c r="J33" s="272"/>
      <c r="K33" s="272"/>
    </row>
    <row r="34" spans="1:11" ht="14.25" customHeight="1">
      <c r="A34" s="272"/>
      <c r="B34" s="272"/>
      <c r="C34" s="272"/>
      <c r="D34" s="272"/>
      <c r="E34" s="272"/>
      <c r="F34" s="272"/>
      <c r="G34" s="272"/>
      <c r="H34" s="272"/>
      <c r="I34" s="272"/>
      <c r="J34" s="272"/>
      <c r="K34" s="272"/>
    </row>
    <row r="35" spans="1:11" ht="14.25" customHeight="1">
      <c r="A35" s="272"/>
      <c r="B35" s="272"/>
      <c r="C35" s="272"/>
      <c r="D35" s="272"/>
      <c r="E35" s="272"/>
      <c r="F35" s="272"/>
      <c r="G35" s="272"/>
      <c r="H35" s="272"/>
      <c r="I35" s="272"/>
      <c r="J35" s="272"/>
      <c r="K35" s="272"/>
    </row>
    <row r="36" spans="1:11" ht="14.25" customHeight="1">
      <c r="A36" s="272"/>
      <c r="B36" s="272"/>
      <c r="C36" s="272"/>
      <c r="D36" s="272"/>
      <c r="E36" s="272"/>
      <c r="F36" s="272"/>
      <c r="G36" s="272"/>
      <c r="H36" s="272"/>
      <c r="I36" s="272"/>
      <c r="J36" s="272"/>
      <c r="K36" s="272"/>
    </row>
    <row r="37" spans="1:11" ht="14.25" customHeight="1">
      <c r="A37" s="272"/>
      <c r="B37" s="272"/>
      <c r="C37" s="272"/>
      <c r="D37" s="272"/>
      <c r="E37" s="272"/>
      <c r="F37" s="272"/>
      <c r="G37" s="272"/>
      <c r="H37" s="272"/>
      <c r="I37" s="272"/>
      <c r="J37" s="272"/>
      <c r="K37" s="272"/>
    </row>
    <row r="38" spans="1:11" ht="14.25" customHeight="1">
      <c r="A38" s="272"/>
      <c r="B38" s="272"/>
      <c r="C38" s="272"/>
      <c r="D38" s="272"/>
      <c r="E38" s="272"/>
      <c r="F38" s="272"/>
      <c r="G38" s="272"/>
      <c r="H38" s="272"/>
      <c r="I38" s="272"/>
      <c r="J38" s="272"/>
      <c r="K38" s="272"/>
    </row>
    <row r="39" spans="1:11" ht="14.25" customHeight="1">
      <c r="A39" s="272"/>
      <c r="B39" s="272"/>
      <c r="C39" s="272"/>
      <c r="D39" s="272"/>
      <c r="E39" s="272"/>
      <c r="F39" s="272"/>
      <c r="G39" s="272"/>
      <c r="H39" s="272"/>
      <c r="I39" s="272"/>
      <c r="J39" s="272"/>
      <c r="K39" s="272"/>
    </row>
    <row r="40" spans="1:11" ht="14.25" customHeight="1">
      <c r="A40" s="272"/>
      <c r="B40" s="272"/>
      <c r="C40" s="272"/>
      <c r="D40" s="272"/>
      <c r="E40" s="272"/>
      <c r="F40" s="272"/>
      <c r="G40" s="272"/>
      <c r="H40" s="272"/>
      <c r="I40" s="272"/>
      <c r="J40" s="272"/>
      <c r="K40" s="272"/>
    </row>
    <row r="41" spans="1:11" ht="14.25" customHeight="1">
      <c r="A41" s="272"/>
      <c r="B41" s="272"/>
      <c r="C41" s="272"/>
      <c r="D41" s="272"/>
      <c r="E41" s="272"/>
      <c r="F41" s="272"/>
      <c r="G41" s="272"/>
      <c r="H41" s="272"/>
      <c r="I41" s="272"/>
      <c r="J41" s="272"/>
      <c r="K41" s="272"/>
    </row>
    <row r="42" spans="1:11" ht="14.25" customHeight="1">
      <c r="A42" s="272"/>
      <c r="B42" s="272"/>
      <c r="C42" s="272"/>
      <c r="D42" s="272"/>
      <c r="E42" s="272"/>
      <c r="F42" s="272"/>
      <c r="G42" s="272"/>
      <c r="H42" s="272"/>
      <c r="I42" s="272"/>
      <c r="J42" s="272"/>
      <c r="K42" s="272"/>
    </row>
  </sheetData>
  <mergeCells count="4">
    <mergeCell ref="A2:K2"/>
    <mergeCell ref="C4:D4"/>
    <mergeCell ref="I4:J4"/>
    <mergeCell ref="A6:K42"/>
  </mergeCells>
  <pageMargins left="0.7" right="0.7" top="0.75" bottom="0.75" header="0.511811023622047" footer="0.511811023622047"/>
  <pageSetup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AMK19"/>
  <sheetViews>
    <sheetView topLeftCell="A10" zoomScale="115" zoomScaleNormal="115" workbookViewId="0">
      <selection activeCell="E7" sqref="E7"/>
    </sheetView>
  </sheetViews>
  <sheetFormatPr defaultColWidth="0" defaultRowHeight="31.5" customHeight="1"/>
  <cols>
    <col min="1" max="1" width="17.5703125" style="6" customWidth="1"/>
    <col min="2" max="2" width="34" style="6" customWidth="1"/>
    <col min="3" max="3" width="14.42578125" style="6" customWidth="1"/>
    <col min="4" max="4" width="16" style="6" customWidth="1"/>
    <col min="5" max="5" width="14.42578125" style="6" customWidth="1"/>
    <col min="6" max="6" width="52" style="6" customWidth="1"/>
    <col min="7" max="7" width="40" style="6" customWidth="1"/>
    <col min="8" max="1022" width="14.42578125" style="6" hidden="1" customWidth="1"/>
    <col min="1023" max="1025" width="14.42578125" style="55" hidden="1" customWidth="1"/>
    <col min="1026" max="16384" width="8.5703125" style="55" hidden="1"/>
  </cols>
  <sheetData>
    <row r="1" spans="1:8" s="55" customFormat="1" ht="31.5" customHeight="1">
      <c r="A1" s="273" t="s">
        <v>93</v>
      </c>
      <c r="B1" s="273"/>
      <c r="C1" s="273"/>
      <c r="D1" s="273"/>
      <c r="E1" s="273"/>
      <c r="F1" s="273"/>
      <c r="G1" s="273"/>
    </row>
    <row r="2" spans="1:8" ht="31.5" customHeight="1">
      <c r="A2" s="56" t="s">
        <v>94</v>
      </c>
      <c r="B2" s="57"/>
      <c r="D2" s="5"/>
      <c r="E2" s="55"/>
      <c r="F2" s="5"/>
      <c r="G2" s="5"/>
      <c r="H2" s="58"/>
    </row>
    <row r="3" spans="1:8" ht="31.5" customHeight="1">
      <c r="A3" s="59" t="s">
        <v>95</v>
      </c>
      <c r="B3" s="60">
        <v>15</v>
      </c>
      <c r="C3" s="61"/>
      <c r="D3" s="62" t="s">
        <v>96</v>
      </c>
      <c r="E3" s="63">
        <v>60</v>
      </c>
      <c r="F3" s="64" t="s">
        <v>97</v>
      </c>
      <c r="G3" s="5"/>
    </row>
    <row r="4" spans="1:8" ht="31.5" customHeight="1">
      <c r="A4" s="53"/>
      <c r="B4" s="5"/>
      <c r="C4" s="5"/>
      <c r="D4" s="5"/>
      <c r="E4" s="5"/>
      <c r="F4" s="5"/>
      <c r="G4" s="5"/>
    </row>
    <row r="5" spans="1:8" ht="31.5" customHeight="1">
      <c r="A5" s="65" t="s">
        <v>98</v>
      </c>
      <c r="B5" s="65" t="s">
        <v>12</v>
      </c>
      <c r="C5" s="65" t="s">
        <v>99</v>
      </c>
      <c r="D5" s="65" t="s">
        <v>100</v>
      </c>
      <c r="E5" s="65" t="s">
        <v>101</v>
      </c>
      <c r="F5" s="65" t="s">
        <v>102</v>
      </c>
      <c r="G5" s="65" t="s">
        <v>103</v>
      </c>
    </row>
    <row r="6" spans="1:8" ht="31.5" customHeight="1">
      <c r="A6" s="66" t="s">
        <v>104</v>
      </c>
      <c r="B6" s="67" t="s">
        <v>105</v>
      </c>
      <c r="C6" s="66">
        <v>4</v>
      </c>
      <c r="D6" s="66">
        <v>16</v>
      </c>
      <c r="E6" s="66">
        <v>200</v>
      </c>
      <c r="F6" s="67" t="s">
        <v>106</v>
      </c>
      <c r="G6" s="67" t="s">
        <v>107</v>
      </c>
    </row>
    <row r="7" spans="1:8" ht="31.5" customHeight="1">
      <c r="A7" s="66" t="s">
        <v>104</v>
      </c>
      <c r="B7" s="67" t="s">
        <v>108</v>
      </c>
      <c r="C7" s="66">
        <v>4</v>
      </c>
      <c r="D7" s="66">
        <v>16</v>
      </c>
      <c r="E7" s="66">
        <v>200</v>
      </c>
      <c r="F7" s="67" t="s">
        <v>109</v>
      </c>
      <c r="G7" s="67" t="s">
        <v>110</v>
      </c>
    </row>
    <row r="8" spans="1:8" ht="31.5" customHeight="1">
      <c r="A8" s="66" t="s">
        <v>111</v>
      </c>
      <c r="B8" s="67" t="s">
        <v>105</v>
      </c>
      <c r="C8" s="66">
        <v>4</v>
      </c>
      <c r="D8" s="66">
        <v>16</v>
      </c>
      <c r="E8" s="66">
        <v>200</v>
      </c>
      <c r="F8" s="67" t="s">
        <v>106</v>
      </c>
      <c r="G8" s="67" t="s">
        <v>112</v>
      </c>
    </row>
    <row r="9" spans="1:8" ht="31.5" customHeight="1">
      <c r="A9" s="66" t="s">
        <v>111</v>
      </c>
      <c r="B9" s="67" t="s">
        <v>108</v>
      </c>
      <c r="C9" s="66">
        <v>4</v>
      </c>
      <c r="D9" s="66">
        <v>16</v>
      </c>
      <c r="E9" s="66">
        <v>200</v>
      </c>
      <c r="F9" s="67" t="s">
        <v>113</v>
      </c>
      <c r="G9" s="67" t="s">
        <v>114</v>
      </c>
    </row>
    <row r="10" spans="1:8" ht="31.5" customHeight="1">
      <c r="A10" s="66" t="s">
        <v>115</v>
      </c>
      <c r="B10" s="67" t="s">
        <v>105</v>
      </c>
      <c r="C10" s="66">
        <v>8</v>
      </c>
      <c r="D10" s="66">
        <v>32</v>
      </c>
      <c r="E10" s="66">
        <v>500</v>
      </c>
      <c r="F10" s="67" t="s">
        <v>106</v>
      </c>
      <c r="G10" s="67" t="s">
        <v>116</v>
      </c>
    </row>
    <row r="11" spans="1:8" ht="31.5" customHeight="1">
      <c r="A11" s="66" t="s">
        <v>115</v>
      </c>
      <c r="B11" s="67" t="s">
        <v>108</v>
      </c>
      <c r="C11" s="66">
        <v>4</v>
      </c>
      <c r="D11" s="66">
        <v>16</v>
      </c>
      <c r="E11" s="66">
        <v>300</v>
      </c>
      <c r="F11" s="67" t="s">
        <v>113</v>
      </c>
      <c r="G11" s="67" t="s">
        <v>114</v>
      </c>
    </row>
    <row r="12" spans="1:8" ht="31.5" customHeight="1">
      <c r="A12" s="66" t="s">
        <v>117</v>
      </c>
      <c r="B12" s="67" t="s">
        <v>105</v>
      </c>
      <c r="C12" s="66">
        <v>8</v>
      </c>
      <c r="D12" s="66">
        <v>64</v>
      </c>
      <c r="E12" s="66">
        <v>1000</v>
      </c>
      <c r="F12" s="67" t="s">
        <v>118</v>
      </c>
      <c r="G12" s="67" t="s">
        <v>119</v>
      </c>
    </row>
    <row r="13" spans="1:8" ht="31.5" customHeight="1">
      <c r="A13" s="66" t="s">
        <v>117</v>
      </c>
      <c r="B13" s="67" t="s">
        <v>108</v>
      </c>
      <c r="C13" s="66">
        <v>8</v>
      </c>
      <c r="D13" s="66">
        <v>32</v>
      </c>
      <c r="E13" s="66">
        <v>1000</v>
      </c>
      <c r="F13" s="67" t="s">
        <v>120</v>
      </c>
      <c r="G13" s="67" t="s">
        <v>114</v>
      </c>
    </row>
    <row r="14" spans="1:8" ht="31.5" customHeight="1">
      <c r="A14" s="66" t="s">
        <v>121</v>
      </c>
      <c r="B14" s="67" t="s">
        <v>105</v>
      </c>
      <c r="C14" s="66">
        <v>16</v>
      </c>
      <c r="D14" s="66">
        <v>128</v>
      </c>
      <c r="E14" s="66">
        <v>2000</v>
      </c>
      <c r="F14" s="67" t="s">
        <v>118</v>
      </c>
      <c r="G14" s="67" t="s">
        <v>122</v>
      </c>
    </row>
    <row r="15" spans="1:8" ht="31.5" customHeight="1">
      <c r="A15" s="66" t="s">
        <v>121</v>
      </c>
      <c r="B15" s="67" t="s">
        <v>108</v>
      </c>
      <c r="C15" s="66">
        <v>8</v>
      </c>
      <c r="D15" s="66">
        <v>32</v>
      </c>
      <c r="E15" s="66">
        <v>1000</v>
      </c>
      <c r="F15" s="67" t="s">
        <v>120</v>
      </c>
      <c r="G15" s="67" t="s">
        <v>123</v>
      </c>
    </row>
    <row r="16" spans="1:8" ht="31.5" customHeight="1">
      <c r="A16" s="66" t="s">
        <v>121</v>
      </c>
      <c r="B16" s="67" t="s">
        <v>124</v>
      </c>
      <c r="C16" s="66">
        <v>4</v>
      </c>
      <c r="D16" s="66">
        <v>16</v>
      </c>
      <c r="E16" s="66">
        <v>200</v>
      </c>
      <c r="F16" s="67" t="s">
        <v>125</v>
      </c>
      <c r="G16" s="67" t="s">
        <v>126</v>
      </c>
    </row>
    <row r="17" spans="1:7" ht="31.5" customHeight="1">
      <c r="A17" s="66" t="s">
        <v>127</v>
      </c>
      <c r="B17" s="67" t="s">
        <v>128</v>
      </c>
      <c r="C17" s="66">
        <v>16</v>
      </c>
      <c r="D17" s="66">
        <v>128</v>
      </c>
      <c r="E17" s="66">
        <v>2000</v>
      </c>
      <c r="F17" s="67" t="s">
        <v>129</v>
      </c>
      <c r="G17" s="67" t="s">
        <v>130</v>
      </c>
    </row>
    <row r="18" spans="1:7" ht="31.5" customHeight="1">
      <c r="A18" s="66" t="s">
        <v>127</v>
      </c>
      <c r="B18" s="67" t="s">
        <v>108</v>
      </c>
      <c r="C18" s="66">
        <v>8</v>
      </c>
      <c r="D18" s="66">
        <v>32</v>
      </c>
      <c r="E18" s="66">
        <v>1000</v>
      </c>
      <c r="F18" s="67" t="s">
        <v>131</v>
      </c>
      <c r="G18" s="67" t="s">
        <v>132</v>
      </c>
    </row>
    <row r="19" spans="1:7" ht="31.5" customHeight="1">
      <c r="A19" s="66" t="s">
        <v>121</v>
      </c>
      <c r="B19" s="67" t="s">
        <v>133</v>
      </c>
      <c r="C19" s="66"/>
      <c r="D19" s="66"/>
      <c r="E19" s="66"/>
      <c r="F19" s="67" t="s">
        <v>134</v>
      </c>
      <c r="G19" s="67" t="s">
        <v>135</v>
      </c>
    </row>
  </sheetData>
  <mergeCells count="1">
    <mergeCell ref="A1:G1"/>
  </mergeCells>
  <dataValidations count="3">
    <dataValidation type="list" operator="equal" allowBlank="1" showErrorMessage="1" sqref="H5:AMJ5" xr:uid="{00000000-0002-0000-0400-000000000000}">
      <formula1>"Yes,No"</formula1>
      <formula2>0</formula2>
    </dataValidation>
    <dataValidation operator="equal" allowBlank="1" showErrorMessage="1" sqref="B2 F3 B4:B5 A5 C5:G5" xr:uid="{00000000-0002-0000-0400-000001000000}">
      <formula1>0</formula1>
      <formula2>0</formula2>
    </dataValidation>
    <dataValidation type="list" allowBlank="1" showInputMessage="1" showErrorMessage="1" sqref="A6:A7 A9:A10 A12:A13 A15:A16 A18:A19" xr:uid="{00000000-0002-0000-0400-000002000000}">
      <formula1>"DEV,SIT,UAT,PRE-PROD,PROD,PROD DR,DR"</formula1>
      <formula2>0</formula2>
    </dataValidation>
  </dataValidations>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sheetPr>
  <dimension ref="A1:AMO81"/>
  <sheetViews>
    <sheetView topLeftCell="A12" zoomScale="85" zoomScaleNormal="85" workbookViewId="0">
      <selection sqref="A1:XFD1048576"/>
    </sheetView>
  </sheetViews>
  <sheetFormatPr defaultColWidth="0" defaultRowHeight="28.5" customHeight="1"/>
  <cols>
    <col min="1" max="1" width="31.42578125" style="6" customWidth="1"/>
    <col min="2" max="2" width="20.5703125" style="6" customWidth="1"/>
    <col min="3" max="3" width="35.5703125" style="6" customWidth="1"/>
    <col min="4" max="4" width="18.5703125" style="6" customWidth="1"/>
    <col min="5" max="5" width="15.5703125" style="6" customWidth="1"/>
    <col min="6" max="6" width="17.5703125" style="6" customWidth="1"/>
    <col min="7" max="7" width="19.42578125" style="6" customWidth="1"/>
    <col min="8" max="8" width="25.5703125" style="6" customWidth="1"/>
    <col min="9" max="9" width="1.5703125" style="6" customWidth="1"/>
    <col min="10" max="10" width="36.42578125" style="6" customWidth="1"/>
    <col min="11" max="11" width="28.42578125" style="6" customWidth="1"/>
    <col min="12" max="12" width="1.5703125" style="6" customWidth="1"/>
    <col min="13" max="1023" width="14.42578125" style="6" hidden="1" customWidth="1"/>
    <col min="1024" max="1029" width="14.42578125" style="55" hidden="1" customWidth="1"/>
    <col min="1030" max="16384" width="8.5703125" style="55" hidden="1"/>
  </cols>
  <sheetData>
    <row r="1" spans="1:12" s="68" customFormat="1" ht="28.5" customHeight="1">
      <c r="A1" s="68" t="s">
        <v>136</v>
      </c>
    </row>
    <row r="2" spans="1:12" s="55" customFormat="1" ht="28.5" customHeight="1">
      <c r="A2" s="53"/>
      <c r="B2" s="53"/>
      <c r="C2" s="5"/>
      <c r="D2" s="5"/>
      <c r="E2" s="5"/>
      <c r="F2" s="5"/>
      <c r="G2" s="5"/>
      <c r="H2" s="5"/>
      <c r="I2" s="5"/>
      <c r="J2" s="5"/>
      <c r="K2" s="5"/>
      <c r="L2" s="5"/>
    </row>
    <row r="3" spans="1:12" s="55" customFormat="1" ht="28.5" customHeight="1">
      <c r="A3" s="53"/>
      <c r="B3" s="53"/>
      <c r="C3" s="5"/>
      <c r="D3" s="5"/>
      <c r="E3" s="5"/>
      <c r="F3" s="5"/>
      <c r="G3" s="69" t="s">
        <v>137</v>
      </c>
      <c r="H3" s="70">
        <f>SUM(B7,B33,B59)</f>
        <v>15</v>
      </c>
      <c r="I3" s="5"/>
      <c r="J3" s="5"/>
      <c r="K3" s="5"/>
      <c r="L3" s="5"/>
    </row>
    <row r="4" spans="1:12" s="55" customFormat="1" ht="28.5" customHeight="1">
      <c r="A4" s="53"/>
      <c r="B4" s="53"/>
      <c r="C4" s="5"/>
      <c r="D4" s="5"/>
      <c r="E4" s="5"/>
      <c r="F4" s="5"/>
      <c r="G4" s="5"/>
      <c r="H4" s="5"/>
      <c r="I4" s="5"/>
      <c r="J4" s="5"/>
      <c r="K4" s="5"/>
      <c r="L4" s="5"/>
    </row>
    <row r="5" spans="1:12" ht="28.5" customHeight="1">
      <c r="A5" s="55"/>
      <c r="B5" s="53"/>
      <c r="C5" s="5"/>
      <c r="D5" s="5"/>
      <c r="E5" s="5"/>
      <c r="F5" s="5"/>
      <c r="G5" s="5"/>
      <c r="H5" s="5"/>
      <c r="I5" s="5"/>
      <c r="J5" s="71" t="s">
        <v>138</v>
      </c>
      <c r="K5" s="72"/>
      <c r="L5" s="5"/>
    </row>
    <row r="6" spans="1:12" ht="28.5" customHeight="1">
      <c r="A6" s="73" t="s">
        <v>139</v>
      </c>
      <c r="B6" s="63" t="s">
        <v>140</v>
      </c>
      <c r="C6" s="5"/>
      <c r="D6" s="74"/>
      <c r="E6" s="75"/>
      <c r="F6" s="5"/>
      <c r="G6" s="5"/>
      <c r="H6" s="5"/>
      <c r="I6" s="5"/>
      <c r="J6" s="76" t="s">
        <v>141</v>
      </c>
      <c r="K6" s="77"/>
      <c r="L6" s="5"/>
    </row>
    <row r="7" spans="1:12" ht="28.5" customHeight="1">
      <c r="A7" s="73" t="str">
        <f>CONCATENATE("No. of ", $B$6, "s")</f>
        <v>No. of Developers</v>
      </c>
      <c r="B7" s="63">
        <v>8</v>
      </c>
      <c r="C7" s="5"/>
      <c r="D7" s="74"/>
      <c r="E7" s="75"/>
      <c r="F7" s="5"/>
      <c r="G7" s="5"/>
      <c r="H7" s="5"/>
      <c r="I7" s="5"/>
      <c r="J7" s="78" t="s">
        <v>142</v>
      </c>
      <c r="K7" s="77"/>
      <c r="L7" s="5"/>
    </row>
    <row r="8" spans="1:12" ht="28.5" customHeight="1">
      <c r="A8" s="73" t="str">
        <f>CONCATENATE("Max Concurrent No. of ", $B$6, "s")</f>
        <v>Max Concurrent No. of Developers</v>
      </c>
      <c r="B8" s="63">
        <v>6</v>
      </c>
      <c r="C8" s="5"/>
      <c r="D8" s="74"/>
      <c r="E8" s="75"/>
      <c r="F8" s="5"/>
      <c r="G8" s="5"/>
      <c r="H8" s="5"/>
      <c r="I8" s="5"/>
      <c r="J8" s="78"/>
      <c r="K8" s="77"/>
      <c r="L8" s="5"/>
    </row>
    <row r="9" spans="1:12" ht="28.5" customHeight="1">
      <c r="A9" s="73" t="s">
        <v>96</v>
      </c>
      <c r="B9" s="63">
        <v>24</v>
      </c>
      <c r="C9" s="64" t="s">
        <v>97</v>
      </c>
      <c r="D9" s="74"/>
      <c r="E9" s="75"/>
      <c r="F9" s="5"/>
      <c r="G9" s="5"/>
      <c r="H9" s="5"/>
      <c r="I9" s="5"/>
      <c r="J9" s="79" t="s">
        <v>143</v>
      </c>
      <c r="K9" s="77"/>
      <c r="L9" s="5"/>
    </row>
    <row r="10" spans="1:12" ht="28.5" customHeight="1">
      <c r="A10" s="73" t="s">
        <v>144</v>
      </c>
      <c r="B10" s="80">
        <v>12</v>
      </c>
      <c r="C10" s="64" t="s">
        <v>145</v>
      </c>
      <c r="D10" s="81" t="s">
        <v>146</v>
      </c>
      <c r="E10" s="5"/>
      <c r="F10" s="5"/>
      <c r="G10" s="5"/>
      <c r="H10" s="5"/>
      <c r="I10" s="5"/>
      <c r="J10" s="78" t="s">
        <v>147</v>
      </c>
      <c r="K10" s="77"/>
      <c r="L10" s="5"/>
    </row>
    <row r="11" spans="1:12" ht="28.5" customHeight="1">
      <c r="A11" s="82"/>
      <c r="B11" s="80">
        <v>5</v>
      </c>
      <c r="C11" s="64" t="s">
        <v>148</v>
      </c>
      <c r="D11" s="83" t="s">
        <v>149</v>
      </c>
      <c r="E11" s="84"/>
      <c r="F11" s="5"/>
      <c r="G11" s="5"/>
      <c r="H11" s="5"/>
      <c r="I11" s="5"/>
      <c r="J11" s="79" t="s">
        <v>150</v>
      </c>
      <c r="K11" s="85"/>
      <c r="L11" s="5"/>
    </row>
    <row r="12" spans="1:12" ht="28.5" customHeight="1">
      <c r="A12" s="73" t="s">
        <v>151</v>
      </c>
      <c r="B12" s="86">
        <f>((B10*B11*4)/(24*7*4))*730</f>
        <v>260.71428571428572</v>
      </c>
      <c r="C12" s="5"/>
      <c r="D12" s="5"/>
      <c r="E12" s="5"/>
      <c r="F12" s="5"/>
      <c r="G12" s="5"/>
      <c r="H12" s="5"/>
      <c r="I12" s="5"/>
      <c r="J12" s="87" t="s">
        <v>152</v>
      </c>
      <c r="K12" s="85"/>
      <c r="L12" s="5"/>
    </row>
    <row r="13" spans="1:12" ht="28.5" customHeight="1">
      <c r="A13" s="88" t="s">
        <v>153</v>
      </c>
      <c r="B13" s="65" t="s">
        <v>154</v>
      </c>
      <c r="C13" s="65" t="s">
        <v>12</v>
      </c>
      <c r="D13" s="88" t="s">
        <v>155</v>
      </c>
      <c r="E13" s="89" t="s">
        <v>156</v>
      </c>
      <c r="F13" s="88" t="s">
        <v>157</v>
      </c>
      <c r="G13" s="88" t="s">
        <v>158</v>
      </c>
      <c r="H13" s="65" t="s">
        <v>103</v>
      </c>
      <c r="I13" s="5"/>
      <c r="J13" s="274" t="s">
        <v>159</v>
      </c>
      <c r="K13" s="274"/>
      <c r="L13" s="5"/>
    </row>
    <row r="14" spans="1:12" ht="28.5" customHeight="1">
      <c r="A14" s="67" t="s">
        <v>160</v>
      </c>
      <c r="B14" s="66" t="s">
        <v>161</v>
      </c>
      <c r="C14" s="67" t="s">
        <v>162</v>
      </c>
      <c r="D14" s="67" t="s">
        <v>163</v>
      </c>
      <c r="E14" s="66" t="s">
        <v>164</v>
      </c>
      <c r="F14" s="66">
        <v>2</v>
      </c>
      <c r="G14" s="66">
        <v>5</v>
      </c>
      <c r="H14" s="67" t="s">
        <v>165</v>
      </c>
      <c r="I14" s="5"/>
      <c r="J14" s="79"/>
      <c r="K14" s="85"/>
      <c r="L14" s="5"/>
    </row>
    <row r="15" spans="1:12" ht="28.5" customHeight="1">
      <c r="A15" s="67" t="s">
        <v>166</v>
      </c>
      <c r="B15" s="66" t="s">
        <v>167</v>
      </c>
      <c r="C15" s="67" t="s">
        <v>168</v>
      </c>
      <c r="D15" s="67" t="s">
        <v>163</v>
      </c>
      <c r="E15" s="66" t="s">
        <v>164</v>
      </c>
      <c r="F15" s="66">
        <v>1</v>
      </c>
      <c r="G15" s="66">
        <v>2</v>
      </c>
      <c r="H15" s="67" t="s">
        <v>169</v>
      </c>
      <c r="I15" s="5"/>
      <c r="J15" s="87"/>
      <c r="K15" s="90"/>
      <c r="L15" s="5"/>
    </row>
    <row r="16" spans="1:12" ht="28.5" customHeight="1">
      <c r="A16" s="67" t="s">
        <v>170</v>
      </c>
      <c r="B16" s="66" t="s">
        <v>171</v>
      </c>
      <c r="C16" s="67" t="s">
        <v>172</v>
      </c>
      <c r="D16" s="67" t="s">
        <v>163</v>
      </c>
      <c r="E16" s="66" t="s">
        <v>164</v>
      </c>
      <c r="F16" s="66">
        <v>1</v>
      </c>
      <c r="G16" s="66">
        <v>3</v>
      </c>
      <c r="H16" s="67" t="s">
        <v>173</v>
      </c>
      <c r="I16" s="5"/>
      <c r="J16" s="275" t="s">
        <v>174</v>
      </c>
      <c r="K16" s="275"/>
      <c r="L16" s="5"/>
    </row>
    <row r="17" spans="1:11" ht="28.5" customHeight="1">
      <c r="A17" s="67" t="s">
        <v>175</v>
      </c>
      <c r="B17" s="66" t="s">
        <v>176</v>
      </c>
      <c r="C17" s="67" t="s">
        <v>177</v>
      </c>
      <c r="D17" s="67" t="s">
        <v>163</v>
      </c>
      <c r="E17" s="66" t="s">
        <v>164</v>
      </c>
      <c r="F17" s="66">
        <v>1</v>
      </c>
      <c r="G17" s="66">
        <v>1</v>
      </c>
      <c r="H17" s="67" t="s">
        <v>178</v>
      </c>
      <c r="I17" s="5"/>
      <c r="J17" s="91" t="s">
        <v>179</v>
      </c>
      <c r="K17" s="92" t="s">
        <v>180</v>
      </c>
    </row>
    <row r="18" spans="1:11" ht="28.5" customHeight="1">
      <c r="A18" s="67" t="s">
        <v>181</v>
      </c>
      <c r="B18" s="66" t="s">
        <v>182</v>
      </c>
      <c r="C18" s="67" t="s">
        <v>183</v>
      </c>
      <c r="D18" s="67" t="s">
        <v>163</v>
      </c>
      <c r="E18" s="66" t="s">
        <v>164</v>
      </c>
      <c r="F18" s="66">
        <v>1</v>
      </c>
      <c r="G18" s="66">
        <v>1</v>
      </c>
      <c r="H18" s="67"/>
      <c r="I18" s="5"/>
      <c r="J18" s="93" t="s">
        <v>184</v>
      </c>
      <c r="K18" s="94" t="s">
        <v>185</v>
      </c>
    </row>
    <row r="19" spans="1:11" ht="28.5" customHeight="1">
      <c r="A19" s="67" t="s">
        <v>186</v>
      </c>
      <c r="B19" s="66" t="s">
        <v>187</v>
      </c>
      <c r="C19" s="67" t="s">
        <v>188</v>
      </c>
      <c r="D19" s="67" t="s">
        <v>163</v>
      </c>
      <c r="E19" s="66" t="s">
        <v>164</v>
      </c>
      <c r="F19" s="66">
        <v>1</v>
      </c>
      <c r="G19" s="66">
        <v>1</v>
      </c>
      <c r="H19" s="67"/>
      <c r="I19" s="5"/>
      <c r="J19" s="95" t="s">
        <v>189</v>
      </c>
      <c r="K19" s="96" t="s">
        <v>190</v>
      </c>
    </row>
    <row r="20" spans="1:11" s="6" customFormat="1" ht="28.5" customHeight="1">
      <c r="A20" s="67" t="s">
        <v>191</v>
      </c>
      <c r="B20" s="66" t="s">
        <v>192</v>
      </c>
      <c r="C20" s="67" t="s">
        <v>193</v>
      </c>
      <c r="D20" s="67" t="s">
        <v>163</v>
      </c>
      <c r="E20" s="66" t="s">
        <v>164</v>
      </c>
      <c r="F20" s="66">
        <v>1</v>
      </c>
      <c r="G20" s="66">
        <v>2</v>
      </c>
      <c r="H20" s="67" t="s">
        <v>194</v>
      </c>
      <c r="I20" s="5"/>
      <c r="J20" s="95" t="s">
        <v>195</v>
      </c>
      <c r="K20" s="96">
        <v>5.17</v>
      </c>
    </row>
    <row r="21" spans="1:11" ht="28.5" customHeight="1">
      <c r="A21" s="97"/>
      <c r="B21" s="97"/>
      <c r="C21" s="97"/>
      <c r="D21" s="97"/>
      <c r="E21" s="97"/>
      <c r="F21" s="97"/>
      <c r="G21" s="97"/>
      <c r="H21" s="97"/>
      <c r="I21" s="5"/>
      <c r="J21" s="95" t="s">
        <v>196</v>
      </c>
      <c r="K21" s="98">
        <v>19</v>
      </c>
    </row>
    <row r="22" spans="1:11" s="6" customFormat="1" ht="28.5" customHeight="1">
      <c r="A22" s="97"/>
      <c r="B22" s="97"/>
      <c r="C22" s="97"/>
      <c r="D22" s="97"/>
      <c r="E22" s="97"/>
      <c r="F22" s="97"/>
      <c r="G22" s="97"/>
      <c r="H22" s="97"/>
      <c r="I22" s="5"/>
      <c r="J22" s="95" t="s">
        <v>197</v>
      </c>
      <c r="K22" s="96">
        <v>0.73</v>
      </c>
    </row>
    <row r="23" spans="1:11" ht="28.5" customHeight="1">
      <c r="A23" s="97"/>
      <c r="B23" s="97"/>
      <c r="C23" s="97"/>
      <c r="D23" s="97"/>
      <c r="E23" s="97"/>
      <c r="F23" s="97"/>
      <c r="G23" s="97"/>
      <c r="H23" s="97"/>
      <c r="I23" s="5"/>
      <c r="J23" s="95" t="s">
        <v>198</v>
      </c>
      <c r="K23" s="96" t="s">
        <v>199</v>
      </c>
    </row>
    <row r="24" spans="1:11" ht="28.5" customHeight="1">
      <c r="A24" s="30"/>
      <c r="B24" s="30"/>
      <c r="C24" s="30"/>
      <c r="D24" s="97"/>
      <c r="E24" s="97"/>
      <c r="F24" s="30"/>
      <c r="G24" s="30"/>
      <c r="H24" s="30"/>
      <c r="I24" s="5"/>
      <c r="J24" s="95" t="s">
        <v>200</v>
      </c>
      <c r="K24" s="96" t="s">
        <v>201</v>
      </c>
    </row>
    <row r="25" spans="1:11" ht="28.5" customHeight="1">
      <c r="A25" s="30"/>
      <c r="B25" s="30"/>
      <c r="C25" s="30"/>
      <c r="D25" s="97"/>
      <c r="E25" s="97"/>
      <c r="F25" s="30"/>
      <c r="G25" s="30"/>
      <c r="H25" s="30"/>
      <c r="I25" s="5"/>
      <c r="J25" s="93" t="s">
        <v>202</v>
      </c>
      <c r="K25" s="94" t="s">
        <v>203</v>
      </c>
    </row>
    <row r="26" spans="1:11" ht="28.5" customHeight="1">
      <c r="A26" s="30"/>
      <c r="B26" s="30"/>
      <c r="C26" s="30"/>
      <c r="D26" s="97"/>
      <c r="E26" s="97"/>
      <c r="F26" s="30"/>
      <c r="G26" s="30"/>
      <c r="H26" s="30"/>
      <c r="I26" s="5"/>
      <c r="J26" s="99" t="s">
        <v>204</v>
      </c>
      <c r="K26" s="100"/>
    </row>
    <row r="27" spans="1:11" ht="28.5" customHeight="1">
      <c r="A27" s="30"/>
      <c r="B27" s="30"/>
      <c r="C27" s="30"/>
      <c r="D27" s="97"/>
      <c r="E27" s="97"/>
      <c r="F27" s="30"/>
      <c r="G27" s="30"/>
      <c r="H27" s="30"/>
      <c r="I27" s="5"/>
      <c r="J27" s="101" t="s">
        <v>205</v>
      </c>
      <c r="K27" s="85"/>
    </row>
    <row r="28" spans="1:11" ht="28.5" customHeight="1">
      <c r="A28" s="30"/>
      <c r="B28" s="30"/>
      <c r="C28" s="30"/>
      <c r="D28" s="97"/>
      <c r="E28" s="97"/>
      <c r="F28" s="30"/>
      <c r="G28" s="30"/>
      <c r="H28" s="30"/>
      <c r="I28" s="5"/>
      <c r="J28" s="102"/>
      <c r="K28" s="103"/>
    </row>
    <row r="29" spans="1:11" ht="28.5" customHeight="1">
      <c r="A29" s="276"/>
      <c r="B29" s="276"/>
      <c r="C29" s="276"/>
      <c r="D29" s="276"/>
      <c r="E29" s="276"/>
      <c r="F29" s="3">
        <f>SUM(F14:F28)</f>
        <v>8</v>
      </c>
      <c r="G29" s="3">
        <f>SUM(G14:G28)</f>
        <v>15</v>
      </c>
      <c r="H29" s="3"/>
      <c r="I29" s="5"/>
      <c r="J29" s="104" t="s">
        <v>206</v>
      </c>
      <c r="K29" s="105"/>
    </row>
    <row r="30" spans="1:11" ht="28.5" customHeight="1">
      <c r="A30" s="5"/>
      <c r="B30" s="5"/>
      <c r="C30" s="5"/>
      <c r="D30" s="5"/>
      <c r="E30" s="5"/>
      <c r="F30" s="5"/>
      <c r="G30" s="5"/>
      <c r="H30" s="5"/>
      <c r="I30" s="5"/>
      <c r="J30" s="106" t="s">
        <v>207</v>
      </c>
      <c r="K30" s="105"/>
    </row>
    <row r="31" spans="1:11" ht="28.5" customHeight="1">
      <c r="A31" s="5"/>
      <c r="B31" s="5"/>
      <c r="C31" s="5"/>
      <c r="D31" s="5"/>
      <c r="E31" s="5"/>
      <c r="F31" s="5"/>
      <c r="G31" s="5"/>
      <c r="H31" s="5"/>
      <c r="I31" s="5"/>
      <c r="J31" s="107"/>
      <c r="K31" s="108"/>
    </row>
    <row r="32" spans="1:11" ht="28.5" customHeight="1">
      <c r="A32" s="73" t="s">
        <v>139</v>
      </c>
      <c r="B32" s="63" t="s">
        <v>208</v>
      </c>
      <c r="C32" s="5"/>
      <c r="D32" s="74"/>
      <c r="E32" s="75"/>
      <c r="F32" s="5"/>
      <c r="G32" s="5"/>
      <c r="H32" s="5"/>
      <c r="I32" s="5"/>
      <c r="J32" s="5"/>
      <c r="K32" s="5"/>
    </row>
    <row r="33" spans="1:8" ht="28.5" customHeight="1">
      <c r="A33" s="73" t="str">
        <f>CONCATENATE("No. of ", $B$32, "s")</f>
        <v>No. of Testers</v>
      </c>
      <c r="B33" s="63">
        <v>4</v>
      </c>
      <c r="C33" s="5"/>
      <c r="D33" s="74"/>
      <c r="E33" s="75"/>
      <c r="F33" s="5"/>
      <c r="G33" s="5"/>
      <c r="H33" s="5"/>
    </row>
    <row r="34" spans="1:8" ht="28.5" customHeight="1">
      <c r="A34" s="73" t="str">
        <f>CONCATENATE("Max Concurrent No. of ", $B$32, "s")</f>
        <v>Max Concurrent No. of Testers</v>
      </c>
      <c r="B34" s="63">
        <v>3</v>
      </c>
      <c r="C34" s="5"/>
      <c r="D34" s="74"/>
      <c r="E34" s="75"/>
      <c r="F34" s="5"/>
      <c r="G34" s="5"/>
      <c r="H34" s="5"/>
    </row>
    <row r="35" spans="1:8" ht="28.5" customHeight="1">
      <c r="A35" s="73" t="s">
        <v>96</v>
      </c>
      <c r="B35" s="63">
        <v>18</v>
      </c>
      <c r="C35" s="64" t="s">
        <v>97</v>
      </c>
      <c r="D35" s="74"/>
      <c r="E35" s="75"/>
      <c r="F35" s="5"/>
      <c r="G35" s="5"/>
      <c r="H35" s="5"/>
    </row>
    <row r="36" spans="1:8" ht="28.5" customHeight="1">
      <c r="A36" s="73" t="s">
        <v>144</v>
      </c>
      <c r="B36" s="80">
        <v>12</v>
      </c>
      <c r="C36" s="64" t="s">
        <v>145</v>
      </c>
      <c r="D36" s="81" t="s">
        <v>146</v>
      </c>
      <c r="E36" s="5"/>
      <c r="F36" s="5"/>
      <c r="G36" s="5"/>
      <c r="H36" s="5"/>
    </row>
    <row r="37" spans="1:8" ht="28.5" customHeight="1">
      <c r="A37" s="82"/>
      <c r="B37" s="80">
        <v>5</v>
      </c>
      <c r="C37" s="64" t="s">
        <v>148</v>
      </c>
      <c r="D37" s="83" t="s">
        <v>149</v>
      </c>
      <c r="E37" s="84"/>
      <c r="F37" s="5"/>
      <c r="G37" s="5"/>
      <c r="H37" s="5"/>
    </row>
    <row r="38" spans="1:8" ht="28.5" customHeight="1">
      <c r="A38" s="73" t="s">
        <v>151</v>
      </c>
      <c r="B38" s="86">
        <f>((B36*B37*4)/(24*7*4))*730</f>
        <v>260.71428571428572</v>
      </c>
      <c r="C38" s="5"/>
      <c r="D38" s="5"/>
      <c r="E38" s="5"/>
      <c r="F38" s="5"/>
      <c r="G38" s="5"/>
      <c r="H38" s="5"/>
    </row>
    <row r="39" spans="1:8" ht="28.5" customHeight="1">
      <c r="A39" s="88" t="s">
        <v>153</v>
      </c>
      <c r="B39" s="65" t="s">
        <v>154</v>
      </c>
      <c r="C39" s="65" t="s">
        <v>12</v>
      </c>
      <c r="D39" s="88" t="s">
        <v>155</v>
      </c>
      <c r="E39" s="89" t="s">
        <v>156</v>
      </c>
      <c r="F39" s="88" t="s">
        <v>157</v>
      </c>
      <c r="G39" s="88" t="s">
        <v>158</v>
      </c>
      <c r="H39" s="65" t="s">
        <v>103</v>
      </c>
    </row>
    <row r="40" spans="1:8" ht="28.5" customHeight="1">
      <c r="A40" s="67" t="s">
        <v>209</v>
      </c>
      <c r="B40" s="66" t="s">
        <v>192</v>
      </c>
      <c r="C40" s="67" t="s">
        <v>210</v>
      </c>
      <c r="D40" s="67" t="s">
        <v>211</v>
      </c>
      <c r="E40" s="66" t="s">
        <v>164</v>
      </c>
      <c r="F40" s="66">
        <v>2</v>
      </c>
      <c r="G40" s="66">
        <v>4</v>
      </c>
      <c r="H40" s="67" t="s">
        <v>212</v>
      </c>
    </row>
    <row r="41" spans="1:8" ht="28.5" customHeight="1">
      <c r="A41" s="67" t="s">
        <v>213</v>
      </c>
      <c r="B41" s="66" t="s">
        <v>214</v>
      </c>
      <c r="C41" s="67" t="s">
        <v>215</v>
      </c>
      <c r="D41" s="67" t="s">
        <v>211</v>
      </c>
      <c r="E41" s="66" t="s">
        <v>164</v>
      </c>
      <c r="F41" s="66">
        <v>2</v>
      </c>
      <c r="G41" s="66">
        <v>2</v>
      </c>
      <c r="H41" s="67" t="s">
        <v>216</v>
      </c>
    </row>
    <row r="42" spans="1:8" ht="28.5" customHeight="1">
      <c r="A42" s="67" t="s">
        <v>217</v>
      </c>
      <c r="B42" s="66" t="s">
        <v>187</v>
      </c>
      <c r="C42" s="67" t="s">
        <v>218</v>
      </c>
      <c r="D42" s="67" t="s">
        <v>211</v>
      </c>
      <c r="E42" s="66" t="s">
        <v>164</v>
      </c>
      <c r="F42" s="66">
        <v>1</v>
      </c>
      <c r="G42" s="66">
        <v>1</v>
      </c>
      <c r="H42" s="67"/>
    </row>
    <row r="43" spans="1:8" ht="28.5" customHeight="1">
      <c r="A43" s="67" t="s">
        <v>181</v>
      </c>
      <c r="B43" s="66" t="s">
        <v>182</v>
      </c>
      <c r="C43" s="67" t="s">
        <v>219</v>
      </c>
      <c r="D43" s="67" t="s">
        <v>211</v>
      </c>
      <c r="E43" s="66" t="s">
        <v>164</v>
      </c>
      <c r="F43" s="66">
        <v>1</v>
      </c>
      <c r="G43" s="66">
        <v>1</v>
      </c>
      <c r="H43" s="67"/>
    </row>
    <row r="44" spans="1:8" ht="28.5" customHeight="1">
      <c r="A44" s="67" t="s">
        <v>220</v>
      </c>
      <c r="B44" s="66" t="s">
        <v>221</v>
      </c>
      <c r="C44" s="67" t="s">
        <v>222</v>
      </c>
      <c r="D44" s="67" t="s">
        <v>211</v>
      </c>
      <c r="E44" s="66" t="s">
        <v>164</v>
      </c>
      <c r="F44" s="66">
        <v>1</v>
      </c>
      <c r="G44" s="66">
        <v>1</v>
      </c>
      <c r="H44" s="67" t="s">
        <v>223</v>
      </c>
    </row>
    <row r="55" spans="1:8" ht="28.5" customHeight="1">
      <c r="A55" s="276"/>
      <c r="B55" s="276"/>
      <c r="C55" s="276"/>
      <c r="D55" s="276"/>
      <c r="E55" s="276"/>
      <c r="F55" s="3">
        <f>SUM(F40:F54)</f>
        <v>7</v>
      </c>
      <c r="G55" s="3">
        <f>SUM(G40:G54)</f>
        <v>9</v>
      </c>
      <c r="H55" s="3"/>
    </row>
    <row r="56" spans="1:8" ht="28.5" customHeight="1">
      <c r="A56" s="5"/>
      <c r="B56" s="5"/>
      <c r="C56" s="5"/>
      <c r="D56" s="5"/>
      <c r="E56" s="5"/>
      <c r="F56" s="5"/>
      <c r="G56" s="5"/>
      <c r="H56" s="5"/>
    </row>
    <row r="57" spans="1:8" ht="28.5" customHeight="1">
      <c r="A57" s="5"/>
      <c r="B57" s="5"/>
      <c r="C57" s="5"/>
      <c r="D57" s="5"/>
      <c r="E57" s="5"/>
      <c r="F57" s="5"/>
      <c r="G57" s="5"/>
      <c r="H57" s="5"/>
    </row>
    <row r="58" spans="1:8" ht="28.5" customHeight="1">
      <c r="A58" s="73" t="s">
        <v>139</v>
      </c>
      <c r="B58" s="63" t="s">
        <v>224</v>
      </c>
      <c r="C58" s="5"/>
      <c r="D58" s="74"/>
      <c r="E58" s="75"/>
      <c r="F58" s="5"/>
      <c r="G58" s="5"/>
      <c r="H58" s="5"/>
    </row>
    <row r="59" spans="1:8" ht="28.5" customHeight="1">
      <c r="A59" s="73" t="str">
        <f>CONCATENATE("No. of ", $B$58, "s")</f>
        <v>No. of Prod Supports</v>
      </c>
      <c r="B59" s="63">
        <v>3</v>
      </c>
      <c r="C59" s="5"/>
      <c r="D59" s="74"/>
      <c r="E59" s="75"/>
      <c r="F59" s="5"/>
      <c r="G59" s="5"/>
      <c r="H59" s="5"/>
    </row>
    <row r="60" spans="1:8" ht="28.5" customHeight="1">
      <c r="A60" s="73" t="str">
        <f>CONCATENATE("Max Concurrent No. of ", $B$58, "s")</f>
        <v>Max Concurrent No. of Prod Supports</v>
      </c>
      <c r="B60" s="63">
        <v>2</v>
      </c>
      <c r="C60" s="5"/>
      <c r="D60" s="74"/>
      <c r="E60" s="75"/>
      <c r="F60" s="5"/>
      <c r="G60" s="5"/>
      <c r="H60" s="5"/>
    </row>
    <row r="61" spans="1:8" ht="28.5" customHeight="1">
      <c r="A61" s="73" t="s">
        <v>96</v>
      </c>
      <c r="B61" s="63">
        <v>60</v>
      </c>
      <c r="C61" s="64" t="s">
        <v>97</v>
      </c>
      <c r="D61" s="74"/>
      <c r="E61" s="75"/>
      <c r="F61" s="5"/>
      <c r="G61" s="5"/>
      <c r="H61" s="5"/>
    </row>
    <row r="62" spans="1:8" ht="28.5" customHeight="1">
      <c r="A62" s="73" t="s">
        <v>144</v>
      </c>
      <c r="B62" s="80">
        <v>12</v>
      </c>
      <c r="C62" s="64" t="s">
        <v>145</v>
      </c>
      <c r="D62" s="81" t="s">
        <v>146</v>
      </c>
      <c r="E62" s="5"/>
      <c r="F62" s="5"/>
      <c r="G62" s="5"/>
      <c r="H62" s="5"/>
    </row>
    <row r="63" spans="1:8" ht="28.5" customHeight="1">
      <c r="A63" s="82"/>
      <c r="B63" s="80">
        <v>5</v>
      </c>
      <c r="C63" s="64" t="s">
        <v>148</v>
      </c>
      <c r="D63" s="83" t="s">
        <v>149</v>
      </c>
      <c r="E63" s="84"/>
      <c r="F63" s="5"/>
      <c r="G63" s="5"/>
      <c r="H63" s="5"/>
    </row>
    <row r="64" spans="1:8" ht="28.5" customHeight="1">
      <c r="A64" s="73" t="s">
        <v>151</v>
      </c>
      <c r="B64" s="86">
        <f>((B62*B63*4)/(24*7*4))*730</f>
        <v>260.71428571428572</v>
      </c>
      <c r="C64" s="5"/>
      <c r="D64" s="5"/>
      <c r="E64" s="5"/>
      <c r="F64" s="5"/>
      <c r="G64" s="5"/>
      <c r="H64" s="5"/>
    </row>
    <row r="65" spans="1:8" ht="28.5" customHeight="1">
      <c r="A65" s="88" t="s">
        <v>153</v>
      </c>
      <c r="B65" s="65" t="s">
        <v>154</v>
      </c>
      <c r="C65" s="65" t="s">
        <v>12</v>
      </c>
      <c r="D65" s="88" t="s">
        <v>155</v>
      </c>
      <c r="E65" s="89" t="s">
        <v>156</v>
      </c>
      <c r="F65" s="88" t="s">
        <v>157</v>
      </c>
      <c r="G65" s="88" t="s">
        <v>158</v>
      </c>
      <c r="H65" s="65" t="s">
        <v>103</v>
      </c>
    </row>
    <row r="66" spans="1:8" ht="28.5" customHeight="1">
      <c r="A66" s="67" t="s">
        <v>225</v>
      </c>
      <c r="B66" s="66" t="s">
        <v>182</v>
      </c>
      <c r="C66" s="67" t="s">
        <v>226</v>
      </c>
      <c r="D66" s="67" t="s">
        <v>227</v>
      </c>
      <c r="E66" s="66" t="s">
        <v>164</v>
      </c>
      <c r="F66" s="66">
        <v>1</v>
      </c>
      <c r="G66" s="66">
        <v>1</v>
      </c>
      <c r="H66" s="67" t="s">
        <v>228</v>
      </c>
    </row>
    <row r="67" spans="1:8" ht="28.5" customHeight="1">
      <c r="A67" s="67" t="s">
        <v>229</v>
      </c>
      <c r="B67" s="66" t="s">
        <v>221</v>
      </c>
      <c r="C67" s="67" t="s">
        <v>230</v>
      </c>
      <c r="D67" s="67" t="s">
        <v>227</v>
      </c>
      <c r="E67" s="66" t="s">
        <v>164</v>
      </c>
      <c r="F67" s="66">
        <v>1</v>
      </c>
      <c r="G67" s="66">
        <v>1</v>
      </c>
      <c r="H67" s="67" t="s">
        <v>223</v>
      </c>
    </row>
    <row r="68" spans="1:8" ht="28.5" customHeight="1">
      <c r="A68" s="67" t="s">
        <v>231</v>
      </c>
      <c r="B68" s="66" t="s">
        <v>192</v>
      </c>
      <c r="C68" s="67" t="s">
        <v>232</v>
      </c>
      <c r="D68" s="67" t="s">
        <v>227</v>
      </c>
      <c r="E68" s="66" t="s">
        <v>164</v>
      </c>
      <c r="F68" s="66">
        <v>1</v>
      </c>
      <c r="G68" s="66">
        <v>2</v>
      </c>
      <c r="H68" s="67" t="s">
        <v>233</v>
      </c>
    </row>
    <row r="69" spans="1:8" ht="28.5" customHeight="1">
      <c r="A69" s="67" t="s">
        <v>234</v>
      </c>
      <c r="B69" s="66" t="s">
        <v>235</v>
      </c>
      <c r="C69" s="67" t="s">
        <v>236</v>
      </c>
      <c r="D69" s="67" t="s">
        <v>227</v>
      </c>
      <c r="E69" s="66" t="s">
        <v>164</v>
      </c>
      <c r="F69" s="66">
        <v>1</v>
      </c>
      <c r="G69" s="66">
        <v>1</v>
      </c>
      <c r="H69" s="67"/>
    </row>
    <row r="81" spans="1:7" ht="28.5" customHeight="1">
      <c r="A81" s="276"/>
      <c r="B81" s="276"/>
      <c r="C81" s="276"/>
      <c r="D81" s="276"/>
      <c r="E81" s="276"/>
      <c r="F81" s="3">
        <f>SUM(F66:F80)</f>
        <v>4</v>
      </c>
      <c r="G81" s="3">
        <f>SUM(G66:G80)</f>
        <v>5</v>
      </c>
    </row>
  </sheetData>
  <mergeCells count="5">
    <mergeCell ref="J13:K13"/>
    <mergeCell ref="J16:K16"/>
    <mergeCell ref="A29:E29"/>
    <mergeCell ref="A55:E55"/>
    <mergeCell ref="A81:E81"/>
  </mergeCells>
  <dataValidations count="4">
    <dataValidation operator="equal" allowBlank="1" showErrorMessage="1" sqref="C2:D5 C6:C10 J7:J9 D10 E11 B12:D12 A13:H13 C32:C36 D36 E37 B38:D38 A39:H39 C58:C62 D62 E63 B64:D64 A65:H65" xr:uid="{00000000-0002-0000-0500-000000000000}">
      <formula1>0</formula1>
      <formula2>0</formula2>
    </dataValidation>
    <dataValidation type="list" allowBlank="1" showInputMessage="1" showErrorMessage="1" sqref="E14:E28 E40:E54 E66:E80" xr:uid="{00000000-0002-0000-0500-000001000000}">
      <formula1>"Y,N"</formula1>
      <formula2>0</formula2>
    </dataValidation>
    <dataValidation type="list" allowBlank="1" showInputMessage="1" showErrorMessage="1" sqref="D14:D28 D40:D54 D66:D80" xr:uid="{00000000-0002-0000-0500-000002000000}">
      <formula1>"development,testing,part of system design"</formula1>
      <formula2>0</formula2>
    </dataValidation>
    <dataValidation type="list" allowBlank="1" showInputMessage="1" showErrorMessage="1" sqref="B6 B32 B58" xr:uid="{00000000-0002-0000-0500-000003000000}">
      <formula1>"Basic User,Developer,Tester,Prod Support"</formula1>
      <formula2>0</formula2>
    </dataValidation>
  </dataValidations>
  <hyperlinks>
    <hyperlink ref="J27" r:id="rId1" xr:uid="{00000000-0004-0000-0500-000000000000}"/>
    <hyperlink ref="J30" r:id="rId2" xr:uid="{00000000-0004-0000-0500-000001000000}"/>
  </hyperlinks>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2:AMK294"/>
  <sheetViews>
    <sheetView topLeftCell="A2" zoomScaleNormal="100" workbookViewId="0">
      <selection activeCell="A6" sqref="A6:K42"/>
    </sheetView>
  </sheetViews>
  <sheetFormatPr defaultColWidth="0" defaultRowHeight="15" zeroHeight="1"/>
  <cols>
    <col min="1" max="2" width="13.5703125" style="50" customWidth="1"/>
    <col min="3" max="4" width="16.42578125" style="50" customWidth="1"/>
    <col min="5" max="8" width="13.5703125" style="50" customWidth="1"/>
    <col min="9" max="10" width="16.42578125" style="50" customWidth="1"/>
    <col min="11" max="11" width="13.5703125" style="50" customWidth="1"/>
    <col min="12" max="1025" width="8.5703125" style="50" hidden="1" customWidth="1"/>
    <col min="1026" max="16384" width="8.5703125" hidden="1"/>
  </cols>
  <sheetData>
    <row r="2" spans="1:11" s="51" customFormat="1" ht="25.5" customHeight="1">
      <c r="A2" s="257" t="s">
        <v>237</v>
      </c>
      <c r="B2" s="257"/>
      <c r="C2" s="257"/>
      <c r="D2" s="257"/>
      <c r="E2" s="257"/>
      <c r="F2" s="257"/>
      <c r="G2" s="257"/>
      <c r="H2" s="257"/>
      <c r="I2" s="257"/>
      <c r="J2" s="257"/>
      <c r="K2" s="257"/>
    </row>
    <row r="3" spans="1:11" s="51" customFormat="1" ht="18" customHeight="1">
      <c r="A3" s="52"/>
      <c r="B3" s="52"/>
      <c r="C3" s="52"/>
      <c r="D3" s="52"/>
      <c r="E3" s="52"/>
      <c r="F3" s="52"/>
      <c r="G3" s="52"/>
      <c r="H3" s="52"/>
      <c r="I3" s="52"/>
      <c r="J3" s="52"/>
      <c r="K3" s="52"/>
    </row>
    <row r="4" spans="1:11" s="51" customFormat="1" ht="15.75" customHeight="1">
      <c r="A4" s="53" t="s">
        <v>86</v>
      </c>
      <c r="B4" s="52"/>
      <c r="C4" s="258" t="s">
        <v>238</v>
      </c>
      <c r="D4" s="258"/>
      <c r="F4" s="52"/>
      <c r="G4" s="53" t="s">
        <v>89</v>
      </c>
      <c r="H4" s="52"/>
      <c r="I4" s="258" t="s">
        <v>239</v>
      </c>
      <c r="J4" s="258"/>
      <c r="K4" s="52"/>
    </row>
    <row r="5" spans="1:11" ht="28.5" customHeight="1">
      <c r="A5" s="53" t="s">
        <v>240</v>
      </c>
      <c r="B5" s="52"/>
      <c r="C5" s="52"/>
      <c r="D5" s="52"/>
      <c r="E5" s="52"/>
      <c r="F5" s="52"/>
      <c r="G5" s="52"/>
      <c r="H5" s="52"/>
      <c r="I5" s="52"/>
      <c r="J5" s="52"/>
      <c r="K5" s="52"/>
    </row>
    <row r="6" spans="1:11" ht="14.25" customHeight="1">
      <c r="A6" s="259"/>
      <c r="B6" s="259"/>
      <c r="C6" s="259"/>
      <c r="D6" s="259"/>
      <c r="E6" s="259"/>
      <c r="F6" s="259"/>
      <c r="G6" s="259"/>
      <c r="H6" s="259"/>
      <c r="I6" s="259"/>
      <c r="J6" s="259"/>
      <c r="K6" s="259"/>
    </row>
    <row r="7" spans="1:11" ht="14.25" customHeight="1">
      <c r="A7" s="259"/>
      <c r="B7" s="259"/>
      <c r="C7" s="259"/>
      <c r="D7" s="259"/>
      <c r="E7" s="259"/>
      <c r="F7" s="259"/>
      <c r="G7" s="259"/>
      <c r="H7" s="259"/>
      <c r="I7" s="259"/>
      <c r="J7" s="259"/>
      <c r="K7" s="259"/>
    </row>
    <row r="8" spans="1:11" ht="14.25" customHeight="1">
      <c r="A8" s="259"/>
      <c r="B8" s="259"/>
      <c r="C8" s="259"/>
      <c r="D8" s="259"/>
      <c r="E8" s="259"/>
      <c r="F8" s="259"/>
      <c r="G8" s="259"/>
      <c r="H8" s="259"/>
      <c r="I8" s="259"/>
      <c r="J8" s="259"/>
      <c r="K8" s="259"/>
    </row>
    <row r="9" spans="1:11" ht="14.25" customHeight="1">
      <c r="A9" s="259"/>
      <c r="B9" s="259"/>
      <c r="C9" s="259"/>
      <c r="D9" s="259"/>
      <c r="E9" s="259"/>
      <c r="F9" s="259"/>
      <c r="G9" s="259"/>
      <c r="H9" s="259"/>
      <c r="I9" s="259"/>
      <c r="J9" s="259"/>
      <c r="K9" s="259"/>
    </row>
    <row r="10" spans="1:11" ht="14.25" customHeight="1">
      <c r="A10" s="259"/>
      <c r="B10" s="259"/>
      <c r="C10" s="259"/>
      <c r="D10" s="259"/>
      <c r="E10" s="259"/>
      <c r="F10" s="259"/>
      <c r="G10" s="259"/>
      <c r="H10" s="259"/>
      <c r="I10" s="259"/>
      <c r="J10" s="259"/>
      <c r="K10" s="259"/>
    </row>
    <row r="11" spans="1:11" ht="14.25" customHeight="1">
      <c r="A11" s="259"/>
      <c r="B11" s="259"/>
      <c r="C11" s="259"/>
      <c r="D11" s="259"/>
      <c r="E11" s="259"/>
      <c r="F11" s="259"/>
      <c r="G11" s="259"/>
      <c r="H11" s="259"/>
      <c r="I11" s="259"/>
      <c r="J11" s="259"/>
      <c r="K11" s="259"/>
    </row>
    <row r="12" spans="1:11" ht="14.25" customHeight="1">
      <c r="A12" s="259"/>
      <c r="B12" s="259"/>
      <c r="C12" s="259"/>
      <c r="D12" s="259"/>
      <c r="E12" s="259"/>
      <c r="F12" s="259"/>
      <c r="G12" s="259"/>
      <c r="H12" s="259"/>
      <c r="I12" s="259"/>
      <c r="J12" s="259"/>
      <c r="K12" s="259"/>
    </row>
    <row r="13" spans="1:11" ht="14.25" customHeight="1">
      <c r="A13" s="259"/>
      <c r="B13" s="259"/>
      <c r="C13" s="259"/>
      <c r="D13" s="259"/>
      <c r="E13" s="259"/>
      <c r="F13" s="259"/>
      <c r="G13" s="259"/>
      <c r="H13" s="259"/>
      <c r="I13" s="259"/>
      <c r="J13" s="259"/>
      <c r="K13" s="259"/>
    </row>
    <row r="14" spans="1:11" ht="14.25" customHeight="1">
      <c r="A14" s="259"/>
      <c r="B14" s="259"/>
      <c r="C14" s="259"/>
      <c r="D14" s="259"/>
      <c r="E14" s="259"/>
      <c r="F14" s="259"/>
      <c r="G14" s="259"/>
      <c r="H14" s="259"/>
      <c r="I14" s="259"/>
      <c r="J14" s="259"/>
      <c r="K14" s="259"/>
    </row>
    <row r="15" spans="1:11" ht="14.25" customHeight="1">
      <c r="A15" s="259"/>
      <c r="B15" s="259"/>
      <c r="C15" s="259"/>
      <c r="D15" s="259"/>
      <c r="E15" s="259"/>
      <c r="F15" s="259"/>
      <c r="G15" s="259"/>
      <c r="H15" s="259"/>
      <c r="I15" s="259"/>
      <c r="J15" s="259"/>
      <c r="K15" s="259"/>
    </row>
    <row r="16" spans="1:11" ht="14.25" customHeight="1">
      <c r="A16" s="259"/>
      <c r="B16" s="259"/>
      <c r="C16" s="259"/>
      <c r="D16" s="259"/>
      <c r="E16" s="259"/>
      <c r="F16" s="259"/>
      <c r="G16" s="259"/>
      <c r="H16" s="259"/>
      <c r="I16" s="259"/>
      <c r="J16" s="259"/>
      <c r="K16" s="259"/>
    </row>
    <row r="17" spans="1:11" ht="14.25" customHeight="1">
      <c r="A17" s="259"/>
      <c r="B17" s="259"/>
      <c r="C17" s="259"/>
      <c r="D17" s="259"/>
      <c r="E17" s="259"/>
      <c r="F17" s="259"/>
      <c r="G17" s="259"/>
      <c r="H17" s="259"/>
      <c r="I17" s="259"/>
      <c r="J17" s="259"/>
      <c r="K17" s="259"/>
    </row>
    <row r="18" spans="1:11" ht="14.25" customHeight="1">
      <c r="A18" s="259"/>
      <c r="B18" s="259"/>
      <c r="C18" s="259"/>
      <c r="D18" s="259"/>
      <c r="E18" s="259"/>
      <c r="F18" s="259"/>
      <c r="G18" s="259"/>
      <c r="H18" s="259"/>
      <c r="I18" s="259"/>
      <c r="J18" s="259"/>
      <c r="K18" s="259"/>
    </row>
    <row r="19" spans="1:11" ht="14.25" customHeight="1">
      <c r="A19" s="259"/>
      <c r="B19" s="259"/>
      <c r="C19" s="259"/>
      <c r="D19" s="259"/>
      <c r="E19" s="259"/>
      <c r="F19" s="259"/>
      <c r="G19" s="259"/>
      <c r="H19" s="259"/>
      <c r="I19" s="259"/>
      <c r="J19" s="259"/>
      <c r="K19" s="259"/>
    </row>
    <row r="20" spans="1:11" ht="14.25" customHeight="1">
      <c r="A20" s="259"/>
      <c r="B20" s="259"/>
      <c r="C20" s="259"/>
      <c r="D20" s="259"/>
      <c r="E20" s="259"/>
      <c r="F20" s="259"/>
      <c r="G20" s="259"/>
      <c r="H20" s="259"/>
      <c r="I20" s="259"/>
      <c r="J20" s="259"/>
      <c r="K20" s="259"/>
    </row>
    <row r="21" spans="1:11" ht="14.25" customHeight="1">
      <c r="A21" s="259"/>
      <c r="B21" s="259"/>
      <c r="C21" s="259"/>
      <c r="D21" s="259"/>
      <c r="E21" s="259"/>
      <c r="F21" s="259"/>
      <c r="G21" s="259"/>
      <c r="H21" s="259"/>
      <c r="I21" s="259"/>
      <c r="J21" s="259"/>
      <c r="K21" s="259"/>
    </row>
    <row r="22" spans="1:11" ht="14.25" customHeight="1">
      <c r="A22" s="259"/>
      <c r="B22" s="259"/>
      <c r="C22" s="259"/>
      <c r="D22" s="259"/>
      <c r="E22" s="259"/>
      <c r="F22" s="259"/>
      <c r="G22" s="259"/>
      <c r="H22" s="259"/>
      <c r="I22" s="259"/>
      <c r="J22" s="259"/>
      <c r="K22" s="259"/>
    </row>
    <row r="23" spans="1:11" ht="14.25" customHeight="1">
      <c r="A23" s="259"/>
      <c r="B23" s="259"/>
      <c r="C23" s="259"/>
      <c r="D23" s="259"/>
      <c r="E23" s="259"/>
      <c r="F23" s="259"/>
      <c r="G23" s="259"/>
      <c r="H23" s="259"/>
      <c r="I23" s="259"/>
      <c r="J23" s="259"/>
      <c r="K23" s="259"/>
    </row>
    <row r="24" spans="1:11" ht="14.25" customHeight="1">
      <c r="A24" s="259"/>
      <c r="B24" s="259"/>
      <c r="C24" s="259"/>
      <c r="D24" s="259"/>
      <c r="E24" s="259"/>
      <c r="F24" s="259"/>
      <c r="G24" s="259"/>
      <c r="H24" s="259"/>
      <c r="I24" s="259"/>
      <c r="J24" s="259"/>
      <c r="K24" s="259"/>
    </row>
    <row r="25" spans="1:11" ht="14.25" customHeight="1">
      <c r="A25" s="259"/>
      <c r="B25" s="259"/>
      <c r="C25" s="259"/>
      <c r="D25" s="259"/>
      <c r="E25" s="259"/>
      <c r="F25" s="259"/>
      <c r="G25" s="259"/>
      <c r="H25" s="259"/>
      <c r="I25" s="259"/>
      <c r="J25" s="259"/>
      <c r="K25" s="259"/>
    </row>
    <row r="26" spans="1:11" ht="14.25" customHeight="1">
      <c r="A26" s="259"/>
      <c r="B26" s="259"/>
      <c r="C26" s="259"/>
      <c r="D26" s="259"/>
      <c r="E26" s="259"/>
      <c r="F26" s="259"/>
      <c r="G26" s="259"/>
      <c r="H26" s="259"/>
      <c r="I26" s="259"/>
      <c r="J26" s="259"/>
      <c r="K26" s="259"/>
    </row>
    <row r="27" spans="1:11" ht="14.25" customHeight="1">
      <c r="A27" s="259"/>
      <c r="B27" s="259"/>
      <c r="C27" s="259"/>
      <c r="D27" s="259"/>
      <c r="E27" s="259"/>
      <c r="F27" s="259"/>
      <c r="G27" s="259"/>
      <c r="H27" s="259"/>
      <c r="I27" s="259"/>
      <c r="J27" s="259"/>
      <c r="K27" s="259"/>
    </row>
    <row r="28" spans="1:11" ht="14.25" customHeight="1">
      <c r="A28" s="259"/>
      <c r="B28" s="259"/>
      <c r="C28" s="259"/>
      <c r="D28" s="259"/>
      <c r="E28" s="259"/>
      <c r="F28" s="259"/>
      <c r="G28" s="259"/>
      <c r="H28" s="259"/>
      <c r="I28" s="259"/>
      <c r="J28" s="259"/>
      <c r="K28" s="259"/>
    </row>
    <row r="29" spans="1:11" ht="14.25" customHeight="1">
      <c r="A29" s="259"/>
      <c r="B29" s="259"/>
      <c r="C29" s="259"/>
      <c r="D29" s="259"/>
      <c r="E29" s="259"/>
      <c r="F29" s="259"/>
      <c r="G29" s="259"/>
      <c r="H29" s="259"/>
      <c r="I29" s="259"/>
      <c r="J29" s="259"/>
      <c r="K29" s="259"/>
    </row>
    <row r="30" spans="1:11" ht="14.25" customHeight="1">
      <c r="A30" s="259"/>
      <c r="B30" s="259"/>
      <c r="C30" s="259"/>
      <c r="D30" s="259"/>
      <c r="E30" s="259"/>
      <c r="F30" s="259"/>
      <c r="G30" s="259"/>
      <c r="H30" s="259"/>
      <c r="I30" s="259"/>
      <c r="J30" s="259"/>
      <c r="K30" s="259"/>
    </row>
    <row r="31" spans="1:11" ht="14.25" customHeight="1">
      <c r="A31" s="259"/>
      <c r="B31" s="259"/>
      <c r="C31" s="259"/>
      <c r="D31" s="259"/>
      <c r="E31" s="259"/>
      <c r="F31" s="259"/>
      <c r="G31" s="259"/>
      <c r="H31" s="259"/>
      <c r="I31" s="259"/>
      <c r="J31" s="259"/>
      <c r="K31" s="259"/>
    </row>
    <row r="32" spans="1:11" ht="14.25" customHeight="1">
      <c r="A32" s="259"/>
      <c r="B32" s="259"/>
      <c r="C32" s="259"/>
      <c r="D32" s="259"/>
      <c r="E32" s="259"/>
      <c r="F32" s="259"/>
      <c r="G32" s="259"/>
      <c r="H32" s="259"/>
      <c r="I32" s="259"/>
      <c r="J32" s="259"/>
      <c r="K32" s="259"/>
    </row>
    <row r="33" spans="1:11" ht="14.25" customHeight="1">
      <c r="A33" s="259"/>
      <c r="B33" s="259"/>
      <c r="C33" s="259"/>
      <c r="D33" s="259"/>
      <c r="E33" s="259"/>
      <c r="F33" s="259"/>
      <c r="G33" s="259"/>
      <c r="H33" s="259"/>
      <c r="I33" s="259"/>
      <c r="J33" s="259"/>
      <c r="K33" s="259"/>
    </row>
    <row r="34" spans="1:11" ht="14.25" customHeight="1">
      <c r="A34" s="259"/>
      <c r="B34" s="259"/>
      <c r="C34" s="259"/>
      <c r="D34" s="259"/>
      <c r="E34" s="259"/>
      <c r="F34" s="259"/>
      <c r="G34" s="259"/>
      <c r="H34" s="259"/>
      <c r="I34" s="259"/>
      <c r="J34" s="259"/>
      <c r="K34" s="259"/>
    </row>
    <row r="35" spans="1:11" ht="14.25" customHeight="1">
      <c r="A35" s="259"/>
      <c r="B35" s="259"/>
      <c r="C35" s="259"/>
      <c r="D35" s="259"/>
      <c r="E35" s="259"/>
      <c r="F35" s="259"/>
      <c r="G35" s="259"/>
      <c r="H35" s="259"/>
      <c r="I35" s="259"/>
      <c r="J35" s="259"/>
      <c r="K35" s="259"/>
    </row>
    <row r="36" spans="1:11" ht="14.25" customHeight="1">
      <c r="A36" s="259"/>
      <c r="B36" s="259"/>
      <c r="C36" s="259"/>
      <c r="D36" s="259"/>
      <c r="E36" s="259"/>
      <c r="F36" s="259"/>
      <c r="G36" s="259"/>
      <c r="H36" s="259"/>
      <c r="I36" s="259"/>
      <c r="J36" s="259"/>
      <c r="K36" s="259"/>
    </row>
    <row r="37" spans="1:11" ht="14.25" customHeight="1">
      <c r="A37" s="259"/>
      <c r="B37" s="259"/>
      <c r="C37" s="259"/>
      <c r="D37" s="259"/>
      <c r="E37" s="259"/>
      <c r="F37" s="259"/>
      <c r="G37" s="259"/>
      <c r="H37" s="259"/>
      <c r="I37" s="259"/>
      <c r="J37" s="259"/>
      <c r="K37" s="259"/>
    </row>
    <row r="38" spans="1:11" ht="14.25" customHeight="1">
      <c r="A38" s="259"/>
      <c r="B38" s="259"/>
      <c r="C38" s="259"/>
      <c r="D38" s="259"/>
      <c r="E38" s="259"/>
      <c r="F38" s="259"/>
      <c r="G38" s="259"/>
      <c r="H38" s="259"/>
      <c r="I38" s="259"/>
      <c r="J38" s="259"/>
      <c r="K38" s="259"/>
    </row>
    <row r="39" spans="1:11" ht="14.25" customHeight="1">
      <c r="A39" s="259"/>
      <c r="B39" s="259"/>
      <c r="C39" s="259"/>
      <c r="D39" s="259"/>
      <c r="E39" s="259"/>
      <c r="F39" s="259"/>
      <c r="G39" s="259"/>
      <c r="H39" s="259"/>
      <c r="I39" s="259"/>
      <c r="J39" s="259"/>
      <c r="K39" s="259"/>
    </row>
    <row r="40" spans="1:11" ht="14.25" customHeight="1">
      <c r="A40" s="259"/>
      <c r="B40" s="259"/>
      <c r="C40" s="259"/>
      <c r="D40" s="259"/>
      <c r="E40" s="259"/>
      <c r="F40" s="259"/>
      <c r="G40" s="259"/>
      <c r="H40" s="259"/>
      <c r="I40" s="259"/>
      <c r="J40" s="259"/>
      <c r="K40" s="259"/>
    </row>
    <row r="41" spans="1:11" ht="14.25" customHeight="1">
      <c r="A41" s="259"/>
      <c r="B41" s="259"/>
      <c r="C41" s="259"/>
      <c r="D41" s="259"/>
      <c r="E41" s="259"/>
      <c r="F41" s="259"/>
      <c r="G41" s="259"/>
      <c r="H41" s="259"/>
      <c r="I41" s="259"/>
      <c r="J41" s="259"/>
      <c r="K41" s="259"/>
    </row>
    <row r="42" spans="1:11" ht="14.25" customHeight="1">
      <c r="A42" s="259"/>
      <c r="B42" s="259"/>
      <c r="C42" s="259"/>
      <c r="D42" s="259"/>
      <c r="E42" s="259"/>
      <c r="F42" s="259"/>
      <c r="G42" s="259"/>
      <c r="H42" s="259"/>
      <c r="I42" s="259"/>
      <c r="J42" s="259"/>
      <c r="K42" s="259"/>
    </row>
    <row r="142" spans="1:1" ht="15" hidden="1" customHeight="1">
      <c r="A142" s="50" t="s">
        <v>241</v>
      </c>
    </row>
    <row r="146" spans="1:1" ht="15" hidden="1" customHeight="1">
      <c r="A146" s="50" t="s">
        <v>242</v>
      </c>
    </row>
    <row r="290" spans="1:1" ht="15" hidden="1" customHeight="1">
      <c r="A290" s="50" t="s">
        <v>241</v>
      </c>
    </row>
    <row r="294" spans="1:1" ht="15" hidden="1" customHeight="1">
      <c r="A294" s="50" t="s">
        <v>242</v>
      </c>
    </row>
  </sheetData>
  <mergeCells count="4">
    <mergeCell ref="A2:K2"/>
    <mergeCell ref="C4:D4"/>
    <mergeCell ref="I4:J4"/>
    <mergeCell ref="A6:K42"/>
  </mergeCells>
  <pageMargins left="0.7" right="0.7" top="0.75" bottom="0.75" header="0.511811023622047" footer="0.511811023622047"/>
  <pageSetup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AML3"/>
  <sheetViews>
    <sheetView zoomScale="85" zoomScaleNormal="85" workbookViewId="0">
      <selection activeCell="A4" sqref="A4"/>
    </sheetView>
  </sheetViews>
  <sheetFormatPr defaultColWidth="0" defaultRowHeight="13.5"/>
  <cols>
    <col min="1" max="1" width="17.42578125" style="6" customWidth="1"/>
    <col min="2" max="2" width="42.5703125" style="6" customWidth="1"/>
    <col min="3" max="3" width="12.42578125" style="6" customWidth="1"/>
    <col min="4" max="5" width="13.42578125" style="6" customWidth="1"/>
    <col min="6" max="6" width="46.5703125" style="6" customWidth="1"/>
    <col min="7" max="7" width="18.5703125" style="6" customWidth="1"/>
    <col min="8" max="1022" width="14.42578125" style="6" hidden="1" customWidth="1"/>
    <col min="1023" max="1026" width="14.42578125" style="55" hidden="1" customWidth="1"/>
    <col min="1027" max="16384" width="8.5703125" style="55" hidden="1"/>
  </cols>
  <sheetData>
    <row r="1" spans="1:7" s="55" customFormat="1" ht="25.5" customHeight="1">
      <c r="A1" s="257" t="s">
        <v>243</v>
      </c>
      <c r="B1" s="257"/>
      <c r="C1" s="257"/>
      <c r="D1" s="257"/>
      <c r="E1" s="257"/>
      <c r="F1" s="257"/>
      <c r="G1" s="257"/>
    </row>
    <row r="2" spans="1:7" s="55" customFormat="1" ht="14.25" customHeight="1">
      <c r="A2" s="53"/>
      <c r="B2" s="109" t="s">
        <v>96</v>
      </c>
      <c r="C2" s="110">
        <f>IF(ISBLANK('HW &amp; SW Requirements'!E3),"",'HW &amp; SW Requirements'!E3)</f>
        <v>60</v>
      </c>
      <c r="D2" s="111" t="s">
        <v>97</v>
      </c>
      <c r="E2" s="5"/>
      <c r="F2" s="5"/>
      <c r="G2" s="5"/>
    </row>
    <row r="3" spans="1:7">
      <c r="A3" s="65" t="s">
        <v>98</v>
      </c>
      <c r="B3" s="65" t="s">
        <v>12</v>
      </c>
      <c r="C3" s="65" t="s">
        <v>99</v>
      </c>
      <c r="D3" s="65" t="s">
        <v>100</v>
      </c>
      <c r="E3" s="65" t="s">
        <v>101</v>
      </c>
      <c r="F3" s="65" t="s">
        <v>102</v>
      </c>
      <c r="G3" s="65" t="s">
        <v>103</v>
      </c>
    </row>
  </sheetData>
  <mergeCells count="1">
    <mergeCell ref="A1:G1"/>
  </mergeCells>
  <dataValidations count="3">
    <dataValidation operator="equal" allowBlank="1" showErrorMessage="1" sqref="D2:D3 A3:C3 E3:G3" xr:uid="{00000000-0002-0000-0700-000000000000}">
      <formula1>0</formula1>
      <formula2>0</formula2>
    </dataValidation>
    <dataValidation type="list" operator="equal" allowBlank="1" showErrorMessage="1" sqref="H3:AMJ3" xr:uid="{00000000-0002-0000-0700-000001000000}">
      <formula1>"Yes,No"</formula1>
      <formula2>0</formula2>
    </dataValidation>
    <dataValidation type="list" allowBlank="1" showInputMessage="1" showErrorMessage="1" sqref="A4:A5 A7:A8 A10:A11 A13:A14 A16:A17" xr:uid="{00000000-0002-0000-0700-000002000000}">
      <formula1>"DEV,SIT,UAT,PRE-PROD,PROD,PROD DR,DR"</formula1>
      <formula2>0</formula2>
    </dataValidation>
  </dataValidations>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sheetPr>
  <dimension ref="A1:AMN16"/>
  <sheetViews>
    <sheetView zoomScale="63" zoomScaleNormal="63" workbookViewId="0">
      <selection activeCell="I5" sqref="I5"/>
    </sheetView>
  </sheetViews>
  <sheetFormatPr defaultColWidth="0" defaultRowHeight="13.5"/>
  <cols>
    <col min="1" max="1" width="35.5703125" style="6" customWidth="1"/>
    <col min="2" max="2" width="23" style="6" customWidth="1"/>
    <col min="3" max="3" width="10.5703125" style="112" customWidth="1"/>
    <col min="4" max="4" width="12.42578125" style="6" customWidth="1"/>
    <col min="5" max="5" width="13.42578125" style="6" customWidth="1"/>
    <col min="6" max="6" width="22.42578125" style="6" customWidth="1"/>
    <col min="7" max="7" width="20.5703125" style="112" customWidth="1"/>
    <col min="8" max="10" width="20.5703125" style="6" customWidth="1"/>
    <col min="11" max="1025" width="14.42578125" style="6" hidden="1" customWidth="1"/>
    <col min="1026" max="1028" width="14.42578125" style="55" hidden="1" customWidth="1"/>
    <col min="1029" max="16384" width="8.5703125" style="55" hidden="1"/>
  </cols>
  <sheetData>
    <row r="1" spans="1:1025" ht="25.5" customHeight="1">
      <c r="A1" s="257" t="s">
        <v>244</v>
      </c>
      <c r="B1" s="257"/>
      <c r="C1" s="257"/>
      <c r="D1" s="257"/>
      <c r="E1" s="257"/>
      <c r="F1" s="257"/>
      <c r="G1" s="257"/>
      <c r="H1" s="257"/>
      <c r="I1" s="257"/>
      <c r="J1" s="257"/>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5"/>
      <c r="BG1" s="55"/>
      <c r="BH1" s="55"/>
      <c r="BI1" s="55"/>
      <c r="BJ1" s="55"/>
      <c r="BK1" s="55"/>
      <c r="BL1" s="55"/>
      <c r="BM1" s="55"/>
      <c r="BN1" s="55"/>
      <c r="BO1" s="55"/>
      <c r="BP1" s="55"/>
      <c r="BQ1" s="55"/>
      <c r="BR1" s="55"/>
      <c r="BS1" s="55"/>
      <c r="BT1" s="55"/>
      <c r="BU1" s="55"/>
      <c r="BV1" s="55"/>
      <c r="BW1" s="55"/>
      <c r="BX1" s="55"/>
      <c r="BY1" s="55"/>
      <c r="BZ1" s="55"/>
      <c r="CA1" s="55"/>
      <c r="CB1" s="55"/>
      <c r="CC1" s="55"/>
      <c r="CD1" s="55"/>
      <c r="CE1" s="55"/>
      <c r="CF1" s="55"/>
      <c r="CG1" s="55"/>
      <c r="CH1" s="55"/>
      <c r="CI1" s="55"/>
      <c r="CJ1" s="55"/>
      <c r="CK1" s="55"/>
      <c r="CL1" s="55"/>
      <c r="CM1" s="55"/>
      <c r="CN1" s="55"/>
      <c r="CO1" s="55"/>
      <c r="CP1" s="55"/>
      <c r="CQ1" s="55"/>
      <c r="CR1" s="55"/>
      <c r="CS1" s="55"/>
      <c r="CT1" s="55"/>
      <c r="CU1" s="55"/>
      <c r="CV1" s="55"/>
      <c r="CW1" s="55"/>
      <c r="CX1" s="55"/>
      <c r="CY1" s="55"/>
      <c r="CZ1" s="55"/>
      <c r="DA1" s="55"/>
      <c r="DB1" s="55"/>
      <c r="DC1" s="55"/>
      <c r="DD1" s="55"/>
      <c r="DE1" s="55"/>
      <c r="DF1" s="55"/>
      <c r="DG1" s="55"/>
      <c r="DH1" s="55"/>
      <c r="DI1" s="55"/>
      <c r="DJ1" s="55"/>
      <c r="DK1" s="55"/>
      <c r="DL1" s="55"/>
      <c r="DM1" s="55"/>
      <c r="DN1" s="55"/>
      <c r="DO1" s="55"/>
      <c r="DP1" s="55"/>
      <c r="DQ1" s="55"/>
      <c r="DR1" s="55"/>
      <c r="DS1" s="55"/>
      <c r="DT1" s="55"/>
      <c r="DU1" s="55"/>
      <c r="DV1" s="55"/>
      <c r="DW1" s="55"/>
      <c r="DX1" s="55"/>
      <c r="DY1" s="55"/>
      <c r="DZ1" s="55"/>
      <c r="EA1" s="55"/>
      <c r="EB1" s="55"/>
      <c r="EC1" s="55"/>
      <c r="ED1" s="55"/>
      <c r="EE1" s="55"/>
      <c r="EF1" s="55"/>
      <c r="EG1" s="55"/>
      <c r="EH1" s="55"/>
      <c r="EI1" s="55"/>
      <c r="EJ1" s="55"/>
      <c r="EK1" s="55"/>
      <c r="EL1" s="55"/>
      <c r="EM1" s="55"/>
      <c r="EN1" s="55"/>
      <c r="EO1" s="55"/>
      <c r="EP1" s="55"/>
      <c r="EQ1" s="55"/>
      <c r="ER1" s="55"/>
      <c r="ES1" s="55"/>
      <c r="ET1" s="55"/>
      <c r="EU1" s="55"/>
      <c r="EV1" s="55"/>
      <c r="EW1" s="55"/>
      <c r="EX1" s="55"/>
      <c r="EY1" s="55"/>
      <c r="EZ1" s="55"/>
      <c r="FA1" s="55"/>
      <c r="FB1" s="55"/>
      <c r="FC1" s="55"/>
      <c r="FD1" s="55"/>
      <c r="FE1" s="55"/>
      <c r="FF1" s="55"/>
      <c r="FG1" s="55"/>
      <c r="FH1" s="55"/>
      <c r="FI1" s="55"/>
      <c r="FJ1" s="55"/>
      <c r="FK1" s="55"/>
      <c r="FL1" s="55"/>
      <c r="FM1" s="55"/>
      <c r="FN1" s="55"/>
      <c r="FO1" s="55"/>
      <c r="FP1" s="55"/>
      <c r="FQ1" s="55"/>
      <c r="FR1" s="55"/>
      <c r="FS1" s="55"/>
      <c r="FT1" s="55"/>
      <c r="FU1" s="55"/>
      <c r="FV1" s="55"/>
      <c r="FW1" s="55"/>
      <c r="FX1" s="55"/>
      <c r="FY1" s="55"/>
      <c r="FZ1" s="55"/>
      <c r="GA1" s="55"/>
      <c r="GB1" s="55"/>
      <c r="GC1" s="55"/>
      <c r="GD1" s="55"/>
      <c r="GE1" s="55"/>
      <c r="GF1" s="55"/>
      <c r="GG1" s="55"/>
      <c r="GH1" s="55"/>
      <c r="GI1" s="55"/>
      <c r="GJ1" s="55"/>
      <c r="GK1" s="55"/>
      <c r="GL1" s="55"/>
      <c r="GM1" s="55"/>
      <c r="GN1" s="55"/>
      <c r="GO1" s="55"/>
      <c r="GP1" s="55"/>
      <c r="GQ1" s="55"/>
      <c r="GR1" s="55"/>
      <c r="GS1" s="55"/>
      <c r="GT1" s="55"/>
      <c r="GU1" s="55"/>
      <c r="GV1" s="55"/>
      <c r="GW1" s="55"/>
      <c r="GX1" s="55"/>
      <c r="GY1" s="55"/>
      <c r="GZ1" s="55"/>
      <c r="HA1" s="55"/>
      <c r="HB1" s="55"/>
      <c r="HC1" s="55"/>
      <c r="HD1" s="55"/>
      <c r="HE1" s="55"/>
      <c r="HF1" s="55"/>
      <c r="HG1" s="55"/>
      <c r="HH1" s="55"/>
      <c r="HI1" s="55"/>
      <c r="HJ1" s="55"/>
      <c r="HK1" s="55"/>
      <c r="HL1" s="55"/>
      <c r="HM1" s="55"/>
      <c r="HN1" s="55"/>
      <c r="HO1" s="55"/>
      <c r="HP1" s="55"/>
      <c r="HQ1" s="55"/>
      <c r="HR1" s="55"/>
      <c r="HS1" s="55"/>
      <c r="HT1" s="55"/>
      <c r="HU1" s="55"/>
      <c r="HV1" s="55"/>
      <c r="HW1" s="55"/>
      <c r="HX1" s="55"/>
      <c r="HY1" s="55"/>
      <c r="HZ1" s="55"/>
      <c r="IA1" s="55"/>
      <c r="IB1" s="55"/>
      <c r="IC1" s="55"/>
      <c r="ID1" s="55"/>
      <c r="IE1" s="55"/>
      <c r="IF1" s="55"/>
      <c r="IG1" s="55"/>
      <c r="IH1" s="55"/>
      <c r="II1" s="55"/>
      <c r="IJ1" s="55"/>
      <c r="IK1" s="55"/>
      <c r="IL1" s="55"/>
      <c r="IM1" s="55"/>
      <c r="IN1" s="55"/>
      <c r="IO1" s="55"/>
      <c r="IP1" s="55"/>
      <c r="IQ1" s="55"/>
      <c r="IR1" s="55"/>
      <c r="IS1" s="55"/>
      <c r="IT1" s="55"/>
      <c r="IU1" s="55"/>
      <c r="IV1" s="55"/>
      <c r="IW1" s="55"/>
      <c r="IX1" s="55"/>
      <c r="IY1" s="55"/>
      <c r="IZ1" s="55"/>
      <c r="JA1" s="55"/>
      <c r="JB1" s="55"/>
      <c r="JC1" s="55"/>
      <c r="JD1" s="55"/>
      <c r="JE1" s="55"/>
      <c r="JF1" s="55"/>
      <c r="JG1" s="55"/>
      <c r="JH1" s="55"/>
      <c r="JI1" s="55"/>
      <c r="JJ1" s="55"/>
      <c r="JK1" s="55"/>
      <c r="JL1" s="55"/>
      <c r="JM1" s="55"/>
      <c r="JN1" s="55"/>
      <c r="JO1" s="55"/>
      <c r="JP1" s="55"/>
      <c r="JQ1" s="55"/>
      <c r="JR1" s="55"/>
      <c r="JS1" s="55"/>
      <c r="JT1" s="55"/>
      <c r="JU1" s="55"/>
      <c r="JV1" s="55"/>
      <c r="JW1" s="55"/>
      <c r="JX1" s="55"/>
      <c r="JY1" s="55"/>
      <c r="JZ1" s="55"/>
      <c r="KA1" s="55"/>
      <c r="KB1" s="55"/>
      <c r="KC1" s="55"/>
      <c r="KD1" s="55"/>
      <c r="KE1" s="55"/>
      <c r="KF1" s="55"/>
      <c r="KG1" s="55"/>
      <c r="KH1" s="55"/>
      <c r="KI1" s="55"/>
      <c r="KJ1" s="55"/>
      <c r="KK1" s="55"/>
      <c r="KL1" s="55"/>
      <c r="KM1" s="55"/>
      <c r="KN1" s="55"/>
      <c r="KO1" s="55"/>
      <c r="KP1" s="55"/>
      <c r="KQ1" s="55"/>
      <c r="KR1" s="55"/>
      <c r="KS1" s="55"/>
      <c r="KT1" s="55"/>
      <c r="KU1" s="55"/>
      <c r="KV1" s="55"/>
      <c r="KW1" s="55"/>
      <c r="KX1" s="55"/>
      <c r="KY1" s="55"/>
      <c r="KZ1" s="55"/>
      <c r="LA1" s="55"/>
      <c r="LB1" s="55"/>
      <c r="LC1" s="55"/>
      <c r="LD1" s="55"/>
      <c r="LE1" s="55"/>
      <c r="LF1" s="55"/>
      <c r="LG1" s="55"/>
      <c r="LH1" s="55"/>
      <c r="LI1" s="55"/>
      <c r="LJ1" s="55"/>
      <c r="LK1" s="55"/>
      <c r="LL1" s="55"/>
      <c r="LM1" s="55"/>
      <c r="LN1" s="55"/>
      <c r="LO1" s="55"/>
      <c r="LP1" s="55"/>
      <c r="LQ1" s="55"/>
      <c r="LR1" s="55"/>
      <c r="LS1" s="55"/>
      <c r="LT1" s="55"/>
      <c r="LU1" s="55"/>
      <c r="LV1" s="55"/>
      <c r="LW1" s="55"/>
      <c r="LX1" s="55"/>
      <c r="LY1" s="55"/>
      <c r="LZ1" s="55"/>
      <c r="MA1" s="55"/>
      <c r="MB1" s="55"/>
      <c r="MC1" s="55"/>
      <c r="MD1" s="55"/>
      <c r="ME1" s="55"/>
      <c r="MF1" s="55"/>
      <c r="MG1" s="55"/>
      <c r="MH1" s="55"/>
      <c r="MI1" s="55"/>
      <c r="MJ1" s="55"/>
      <c r="MK1" s="55"/>
      <c r="ML1" s="55"/>
      <c r="MM1" s="55"/>
      <c r="MN1" s="55"/>
      <c r="MO1" s="55"/>
      <c r="MP1" s="55"/>
      <c r="MQ1" s="55"/>
      <c r="MR1" s="55"/>
      <c r="MS1" s="55"/>
      <c r="MT1" s="55"/>
      <c r="MU1" s="55"/>
      <c r="MV1" s="55"/>
      <c r="MW1" s="55"/>
      <c r="MX1" s="55"/>
      <c r="MY1" s="55"/>
      <c r="MZ1" s="55"/>
      <c r="NA1" s="55"/>
      <c r="NB1" s="55"/>
      <c r="NC1" s="55"/>
      <c r="ND1" s="55"/>
      <c r="NE1" s="55"/>
      <c r="NF1" s="55"/>
      <c r="NG1" s="55"/>
      <c r="NH1" s="55"/>
      <c r="NI1" s="55"/>
      <c r="NJ1" s="55"/>
      <c r="NK1" s="55"/>
      <c r="NL1" s="55"/>
      <c r="NM1" s="55"/>
      <c r="NN1" s="55"/>
      <c r="NO1" s="55"/>
      <c r="NP1" s="55"/>
      <c r="NQ1" s="55"/>
      <c r="NR1" s="55"/>
      <c r="NS1" s="55"/>
      <c r="NT1" s="55"/>
      <c r="NU1" s="55"/>
      <c r="NV1" s="55"/>
      <c r="NW1" s="55"/>
      <c r="NX1" s="55"/>
      <c r="NY1" s="55"/>
      <c r="NZ1" s="55"/>
      <c r="OA1" s="55"/>
      <c r="OB1" s="55"/>
      <c r="OC1" s="55"/>
      <c r="OD1" s="55"/>
      <c r="OE1" s="55"/>
      <c r="OF1" s="55"/>
      <c r="OG1" s="55"/>
      <c r="OH1" s="55"/>
      <c r="OI1" s="55"/>
      <c r="OJ1" s="55"/>
      <c r="OK1" s="55"/>
      <c r="OL1" s="55"/>
      <c r="OM1" s="55"/>
      <c r="ON1" s="55"/>
      <c r="OO1" s="55"/>
      <c r="OP1" s="55"/>
      <c r="OQ1" s="55"/>
      <c r="OR1" s="55"/>
      <c r="OS1" s="55"/>
      <c r="OT1" s="55"/>
      <c r="OU1" s="55"/>
      <c r="OV1" s="55"/>
      <c r="OW1" s="55"/>
      <c r="OX1" s="55"/>
      <c r="OY1" s="55"/>
      <c r="OZ1" s="55"/>
      <c r="PA1" s="55"/>
      <c r="PB1" s="55"/>
      <c r="PC1" s="55"/>
      <c r="PD1" s="55"/>
      <c r="PE1" s="55"/>
      <c r="PF1" s="55"/>
      <c r="PG1" s="55"/>
      <c r="PH1" s="55"/>
      <c r="PI1" s="55"/>
      <c r="PJ1" s="55"/>
      <c r="PK1" s="55"/>
      <c r="PL1" s="55"/>
      <c r="PM1" s="55"/>
      <c r="PN1" s="55"/>
      <c r="PO1" s="55"/>
      <c r="PP1" s="55"/>
      <c r="PQ1" s="55"/>
      <c r="PR1" s="55"/>
      <c r="PS1" s="55"/>
      <c r="PT1" s="55"/>
      <c r="PU1" s="55"/>
      <c r="PV1" s="55"/>
      <c r="PW1" s="55"/>
      <c r="PX1" s="55"/>
      <c r="PY1" s="55"/>
      <c r="PZ1" s="55"/>
      <c r="QA1" s="55"/>
      <c r="QB1" s="55"/>
      <c r="QC1" s="55"/>
      <c r="QD1" s="55"/>
      <c r="QE1" s="55"/>
      <c r="QF1" s="55"/>
      <c r="QG1" s="55"/>
      <c r="QH1" s="55"/>
      <c r="QI1" s="55"/>
      <c r="QJ1" s="55"/>
      <c r="QK1" s="55"/>
      <c r="QL1" s="55"/>
      <c r="QM1" s="55"/>
      <c r="QN1" s="55"/>
      <c r="QO1" s="55"/>
      <c r="QP1" s="55"/>
      <c r="QQ1" s="55"/>
      <c r="QR1" s="55"/>
      <c r="QS1" s="55"/>
      <c r="QT1" s="55"/>
      <c r="QU1" s="55"/>
      <c r="QV1" s="55"/>
      <c r="QW1" s="55"/>
      <c r="QX1" s="55"/>
      <c r="QY1" s="55"/>
      <c r="QZ1" s="55"/>
      <c r="RA1" s="55"/>
      <c r="RB1" s="55"/>
      <c r="RC1" s="55"/>
      <c r="RD1" s="55"/>
      <c r="RE1" s="55"/>
      <c r="RF1" s="55"/>
      <c r="RG1" s="55"/>
      <c r="RH1" s="55"/>
      <c r="RI1" s="55"/>
      <c r="RJ1" s="55"/>
      <c r="RK1" s="55"/>
      <c r="RL1" s="55"/>
      <c r="RM1" s="55"/>
      <c r="RN1" s="55"/>
      <c r="RO1" s="55"/>
      <c r="RP1" s="55"/>
      <c r="RQ1" s="55"/>
      <c r="RR1" s="55"/>
      <c r="RS1" s="55"/>
      <c r="RT1" s="55"/>
      <c r="RU1" s="55"/>
      <c r="RV1" s="55"/>
      <c r="RW1" s="55"/>
      <c r="RX1" s="55"/>
      <c r="RY1" s="55"/>
      <c r="RZ1" s="55"/>
      <c r="SA1" s="55"/>
      <c r="SB1" s="55"/>
      <c r="SC1" s="55"/>
      <c r="SD1" s="55"/>
      <c r="SE1" s="55"/>
      <c r="SF1" s="55"/>
      <c r="SG1" s="55"/>
      <c r="SH1" s="55"/>
      <c r="SI1" s="55"/>
      <c r="SJ1" s="55"/>
      <c r="SK1" s="55"/>
      <c r="SL1" s="55"/>
      <c r="SM1" s="55"/>
      <c r="SN1" s="55"/>
      <c r="SO1" s="55"/>
      <c r="SP1" s="55"/>
      <c r="SQ1" s="55"/>
      <c r="SR1" s="55"/>
      <c r="SS1" s="55"/>
      <c r="ST1" s="55"/>
      <c r="SU1" s="55"/>
      <c r="SV1" s="55"/>
      <c r="SW1" s="55"/>
      <c r="SX1" s="55"/>
      <c r="SY1" s="55"/>
      <c r="SZ1" s="55"/>
      <c r="TA1" s="55"/>
      <c r="TB1" s="55"/>
      <c r="TC1" s="55"/>
      <c r="TD1" s="55"/>
      <c r="TE1" s="55"/>
      <c r="TF1" s="55"/>
      <c r="TG1" s="55"/>
      <c r="TH1" s="55"/>
      <c r="TI1" s="55"/>
      <c r="TJ1" s="55"/>
      <c r="TK1" s="55"/>
      <c r="TL1" s="55"/>
      <c r="TM1" s="55"/>
      <c r="TN1" s="55"/>
      <c r="TO1" s="55"/>
      <c r="TP1" s="55"/>
      <c r="TQ1" s="55"/>
      <c r="TR1" s="55"/>
      <c r="TS1" s="55"/>
      <c r="TT1" s="55"/>
      <c r="TU1" s="55"/>
      <c r="TV1" s="55"/>
      <c r="TW1" s="55"/>
      <c r="TX1" s="55"/>
      <c r="TY1" s="55"/>
      <c r="TZ1" s="55"/>
      <c r="UA1" s="55"/>
      <c r="UB1" s="55"/>
      <c r="UC1" s="55"/>
      <c r="UD1" s="55"/>
      <c r="UE1" s="55"/>
      <c r="UF1" s="55"/>
      <c r="UG1" s="55"/>
      <c r="UH1" s="55"/>
      <c r="UI1" s="55"/>
      <c r="UJ1" s="55"/>
      <c r="UK1" s="55"/>
      <c r="UL1" s="55"/>
      <c r="UM1" s="55"/>
      <c r="UN1" s="55"/>
      <c r="UO1" s="55"/>
      <c r="UP1" s="55"/>
      <c r="UQ1" s="55"/>
      <c r="UR1" s="55"/>
      <c r="US1" s="55"/>
      <c r="UT1" s="55"/>
      <c r="UU1" s="55"/>
      <c r="UV1" s="55"/>
      <c r="UW1" s="55"/>
      <c r="UX1" s="55"/>
      <c r="UY1" s="55"/>
      <c r="UZ1" s="55"/>
      <c r="VA1" s="55"/>
      <c r="VB1" s="55"/>
      <c r="VC1" s="55"/>
      <c r="VD1" s="55"/>
      <c r="VE1" s="55"/>
      <c r="VF1" s="55"/>
      <c r="VG1" s="55"/>
      <c r="VH1" s="55"/>
      <c r="VI1" s="55"/>
      <c r="VJ1" s="55"/>
      <c r="VK1" s="55"/>
      <c r="VL1" s="55"/>
      <c r="VM1" s="55"/>
      <c r="VN1" s="55"/>
      <c r="VO1" s="55"/>
      <c r="VP1" s="55"/>
      <c r="VQ1" s="55"/>
      <c r="VR1" s="55"/>
      <c r="VS1" s="55"/>
      <c r="VT1" s="55"/>
      <c r="VU1" s="55"/>
      <c r="VV1" s="55"/>
      <c r="VW1" s="55"/>
      <c r="VX1" s="55"/>
      <c r="VY1" s="55"/>
      <c r="VZ1" s="55"/>
      <c r="WA1" s="55"/>
      <c r="WB1" s="55"/>
      <c r="WC1" s="55"/>
      <c r="WD1" s="55"/>
      <c r="WE1" s="55"/>
      <c r="WF1" s="55"/>
      <c r="WG1" s="55"/>
      <c r="WH1" s="55"/>
      <c r="WI1" s="55"/>
      <c r="WJ1" s="55"/>
      <c r="WK1" s="55"/>
      <c r="WL1" s="55"/>
      <c r="WM1" s="55"/>
      <c r="WN1" s="55"/>
      <c r="WO1" s="55"/>
      <c r="WP1" s="55"/>
      <c r="WQ1" s="55"/>
      <c r="WR1" s="55"/>
      <c r="WS1" s="55"/>
      <c r="WT1" s="55"/>
      <c r="WU1" s="55"/>
      <c r="WV1" s="55"/>
      <c r="WW1" s="55"/>
      <c r="WX1" s="55"/>
      <c r="WY1" s="55"/>
      <c r="WZ1" s="55"/>
      <c r="XA1" s="55"/>
      <c r="XB1" s="55"/>
      <c r="XC1" s="55"/>
      <c r="XD1" s="55"/>
      <c r="XE1" s="55"/>
      <c r="XF1" s="55"/>
      <c r="XG1" s="55"/>
      <c r="XH1" s="55"/>
      <c r="XI1" s="55"/>
      <c r="XJ1" s="55"/>
      <c r="XK1" s="55"/>
      <c r="XL1" s="55"/>
      <c r="XM1" s="55"/>
      <c r="XN1" s="55"/>
      <c r="XO1" s="55"/>
      <c r="XP1" s="55"/>
      <c r="XQ1" s="55"/>
      <c r="XR1" s="55"/>
      <c r="XS1" s="55"/>
      <c r="XT1" s="55"/>
      <c r="XU1" s="55"/>
      <c r="XV1" s="55"/>
      <c r="XW1" s="55"/>
      <c r="XX1" s="55"/>
      <c r="XY1" s="55"/>
      <c r="XZ1" s="55"/>
      <c r="YA1" s="55"/>
      <c r="YB1" s="55"/>
      <c r="YC1" s="55"/>
      <c r="YD1" s="55"/>
      <c r="YE1" s="55"/>
      <c r="YF1" s="55"/>
      <c r="YG1" s="55"/>
      <c r="YH1" s="55"/>
      <c r="YI1" s="55"/>
      <c r="YJ1" s="55"/>
      <c r="YK1" s="55"/>
      <c r="YL1" s="55"/>
      <c r="YM1" s="55"/>
      <c r="YN1" s="55"/>
      <c r="YO1" s="55"/>
      <c r="YP1" s="55"/>
      <c r="YQ1" s="55"/>
      <c r="YR1" s="55"/>
      <c r="YS1" s="55"/>
      <c r="YT1" s="55"/>
      <c r="YU1" s="55"/>
      <c r="YV1" s="55"/>
      <c r="YW1" s="55"/>
      <c r="YX1" s="55"/>
      <c r="YY1" s="55"/>
      <c r="YZ1" s="55"/>
      <c r="ZA1" s="55"/>
      <c r="ZB1" s="55"/>
      <c r="ZC1" s="55"/>
      <c r="ZD1" s="55"/>
      <c r="ZE1" s="55"/>
      <c r="ZF1" s="55"/>
      <c r="ZG1" s="55"/>
      <c r="ZH1" s="55"/>
      <c r="ZI1" s="55"/>
      <c r="ZJ1" s="55"/>
      <c r="ZK1" s="55"/>
      <c r="ZL1" s="55"/>
      <c r="ZM1" s="55"/>
      <c r="ZN1" s="55"/>
      <c r="ZO1" s="55"/>
      <c r="ZP1" s="55"/>
      <c r="ZQ1" s="55"/>
      <c r="ZR1" s="55"/>
      <c r="ZS1" s="55"/>
      <c r="ZT1" s="55"/>
      <c r="ZU1" s="55"/>
      <c r="ZV1" s="55"/>
      <c r="ZW1" s="55"/>
      <c r="ZX1" s="55"/>
      <c r="ZY1" s="55"/>
      <c r="ZZ1" s="55"/>
      <c r="AAA1" s="55"/>
      <c r="AAB1" s="55"/>
      <c r="AAC1" s="55"/>
      <c r="AAD1" s="55"/>
      <c r="AAE1" s="55"/>
      <c r="AAF1" s="55"/>
      <c r="AAG1" s="55"/>
      <c r="AAH1" s="55"/>
      <c r="AAI1" s="55"/>
      <c r="AAJ1" s="55"/>
      <c r="AAK1" s="55"/>
      <c r="AAL1" s="55"/>
      <c r="AAM1" s="55"/>
      <c r="AAN1" s="55"/>
      <c r="AAO1" s="55"/>
      <c r="AAP1" s="55"/>
      <c r="AAQ1" s="55"/>
      <c r="AAR1" s="55"/>
      <c r="AAS1" s="55"/>
      <c r="AAT1" s="55"/>
      <c r="AAU1" s="55"/>
      <c r="AAV1" s="55"/>
      <c r="AAW1" s="55"/>
      <c r="AAX1" s="55"/>
      <c r="AAY1" s="55"/>
      <c r="AAZ1" s="55"/>
      <c r="ABA1" s="55"/>
      <c r="ABB1" s="55"/>
      <c r="ABC1" s="55"/>
      <c r="ABD1" s="55"/>
      <c r="ABE1" s="55"/>
      <c r="ABF1" s="55"/>
      <c r="ABG1" s="55"/>
      <c r="ABH1" s="55"/>
      <c r="ABI1" s="55"/>
      <c r="ABJ1" s="55"/>
      <c r="ABK1" s="55"/>
      <c r="ABL1" s="55"/>
      <c r="ABM1" s="55"/>
      <c r="ABN1" s="55"/>
      <c r="ABO1" s="55"/>
      <c r="ABP1" s="55"/>
      <c r="ABQ1" s="55"/>
      <c r="ABR1" s="55"/>
      <c r="ABS1" s="55"/>
      <c r="ABT1" s="55"/>
      <c r="ABU1" s="55"/>
      <c r="ABV1" s="55"/>
      <c r="ABW1" s="55"/>
      <c r="ABX1" s="55"/>
      <c r="ABY1" s="55"/>
      <c r="ABZ1" s="55"/>
      <c r="ACA1" s="55"/>
      <c r="ACB1" s="55"/>
      <c r="ACC1" s="55"/>
      <c r="ACD1" s="55"/>
      <c r="ACE1" s="55"/>
      <c r="ACF1" s="55"/>
      <c r="ACG1" s="55"/>
      <c r="ACH1" s="55"/>
      <c r="ACI1" s="55"/>
      <c r="ACJ1" s="55"/>
      <c r="ACK1" s="55"/>
      <c r="ACL1" s="55"/>
      <c r="ACM1" s="55"/>
      <c r="ACN1" s="55"/>
      <c r="ACO1" s="55"/>
      <c r="ACP1" s="55"/>
      <c r="ACQ1" s="55"/>
      <c r="ACR1" s="55"/>
      <c r="ACS1" s="55"/>
      <c r="ACT1" s="55"/>
      <c r="ACU1" s="55"/>
      <c r="ACV1" s="55"/>
      <c r="ACW1" s="55"/>
      <c r="ACX1" s="55"/>
      <c r="ACY1" s="55"/>
      <c r="ACZ1" s="55"/>
      <c r="ADA1" s="55"/>
      <c r="ADB1" s="55"/>
      <c r="ADC1" s="55"/>
      <c r="ADD1" s="55"/>
      <c r="ADE1" s="55"/>
      <c r="ADF1" s="55"/>
      <c r="ADG1" s="55"/>
      <c r="ADH1" s="55"/>
      <c r="ADI1" s="55"/>
      <c r="ADJ1" s="55"/>
      <c r="ADK1" s="55"/>
      <c r="ADL1" s="55"/>
      <c r="ADM1" s="55"/>
      <c r="ADN1" s="55"/>
      <c r="ADO1" s="55"/>
      <c r="ADP1" s="55"/>
      <c r="ADQ1" s="55"/>
      <c r="ADR1" s="55"/>
      <c r="ADS1" s="55"/>
      <c r="ADT1" s="55"/>
      <c r="ADU1" s="55"/>
      <c r="ADV1" s="55"/>
      <c r="ADW1" s="55"/>
      <c r="ADX1" s="55"/>
      <c r="ADY1" s="55"/>
      <c r="ADZ1" s="55"/>
      <c r="AEA1" s="55"/>
      <c r="AEB1" s="55"/>
      <c r="AEC1" s="55"/>
      <c r="AED1" s="55"/>
      <c r="AEE1" s="55"/>
      <c r="AEF1" s="55"/>
      <c r="AEG1" s="55"/>
      <c r="AEH1" s="55"/>
      <c r="AEI1" s="55"/>
      <c r="AEJ1" s="55"/>
      <c r="AEK1" s="55"/>
      <c r="AEL1" s="55"/>
      <c r="AEM1" s="55"/>
      <c r="AEN1" s="55"/>
      <c r="AEO1" s="55"/>
      <c r="AEP1" s="55"/>
      <c r="AEQ1" s="55"/>
      <c r="AER1" s="55"/>
      <c r="AES1" s="55"/>
      <c r="AET1" s="55"/>
      <c r="AEU1" s="55"/>
      <c r="AEV1" s="55"/>
      <c r="AEW1" s="55"/>
      <c r="AEX1" s="55"/>
      <c r="AEY1" s="55"/>
      <c r="AEZ1" s="55"/>
      <c r="AFA1" s="55"/>
      <c r="AFB1" s="55"/>
      <c r="AFC1" s="55"/>
      <c r="AFD1" s="55"/>
      <c r="AFE1" s="55"/>
      <c r="AFF1" s="55"/>
      <c r="AFG1" s="55"/>
      <c r="AFH1" s="55"/>
      <c r="AFI1" s="55"/>
      <c r="AFJ1" s="55"/>
      <c r="AFK1" s="55"/>
      <c r="AFL1" s="55"/>
      <c r="AFM1" s="55"/>
      <c r="AFN1" s="55"/>
      <c r="AFO1" s="55"/>
      <c r="AFP1" s="55"/>
      <c r="AFQ1" s="55"/>
      <c r="AFR1" s="55"/>
      <c r="AFS1" s="55"/>
      <c r="AFT1" s="55"/>
      <c r="AFU1" s="55"/>
      <c r="AFV1" s="55"/>
      <c r="AFW1" s="55"/>
      <c r="AFX1" s="55"/>
      <c r="AFY1" s="55"/>
      <c r="AFZ1" s="55"/>
      <c r="AGA1" s="55"/>
      <c r="AGB1" s="55"/>
      <c r="AGC1" s="55"/>
      <c r="AGD1" s="55"/>
      <c r="AGE1" s="55"/>
      <c r="AGF1" s="55"/>
      <c r="AGG1" s="55"/>
      <c r="AGH1" s="55"/>
      <c r="AGI1" s="55"/>
      <c r="AGJ1" s="55"/>
      <c r="AGK1" s="55"/>
      <c r="AGL1" s="55"/>
      <c r="AGM1" s="55"/>
      <c r="AGN1" s="55"/>
      <c r="AGO1" s="55"/>
      <c r="AGP1" s="55"/>
      <c r="AGQ1" s="55"/>
      <c r="AGR1" s="55"/>
      <c r="AGS1" s="55"/>
      <c r="AGT1" s="55"/>
      <c r="AGU1" s="55"/>
      <c r="AGV1" s="55"/>
      <c r="AGW1" s="55"/>
      <c r="AGX1" s="55"/>
      <c r="AGY1" s="55"/>
      <c r="AGZ1" s="55"/>
      <c r="AHA1" s="55"/>
      <c r="AHB1" s="55"/>
      <c r="AHC1" s="55"/>
      <c r="AHD1" s="55"/>
      <c r="AHE1" s="55"/>
      <c r="AHF1" s="55"/>
      <c r="AHG1" s="55"/>
      <c r="AHH1" s="55"/>
      <c r="AHI1" s="55"/>
      <c r="AHJ1" s="55"/>
      <c r="AHK1" s="55"/>
      <c r="AHL1" s="55"/>
      <c r="AHM1" s="55"/>
      <c r="AHN1" s="55"/>
      <c r="AHO1" s="55"/>
      <c r="AHP1" s="55"/>
      <c r="AHQ1" s="55"/>
      <c r="AHR1" s="55"/>
      <c r="AHS1" s="55"/>
      <c r="AHT1" s="55"/>
      <c r="AHU1" s="55"/>
      <c r="AHV1" s="55"/>
      <c r="AHW1" s="55"/>
      <c r="AHX1" s="55"/>
      <c r="AHY1" s="55"/>
      <c r="AHZ1" s="55"/>
      <c r="AIA1" s="55"/>
      <c r="AIB1" s="55"/>
      <c r="AIC1" s="55"/>
      <c r="AID1" s="55"/>
      <c r="AIE1" s="55"/>
      <c r="AIF1" s="55"/>
      <c r="AIG1" s="55"/>
      <c r="AIH1" s="55"/>
      <c r="AII1" s="55"/>
      <c r="AIJ1" s="55"/>
      <c r="AIK1" s="55"/>
      <c r="AIL1" s="55"/>
      <c r="AIM1" s="55"/>
      <c r="AIN1" s="55"/>
      <c r="AIO1" s="55"/>
      <c r="AIP1" s="55"/>
      <c r="AIQ1" s="55"/>
      <c r="AIR1" s="55"/>
      <c r="AIS1" s="55"/>
      <c r="AIT1" s="55"/>
      <c r="AIU1" s="55"/>
      <c r="AIV1" s="55"/>
      <c r="AIW1" s="55"/>
      <c r="AIX1" s="55"/>
      <c r="AIY1" s="55"/>
      <c r="AIZ1" s="55"/>
      <c r="AJA1" s="55"/>
      <c r="AJB1" s="55"/>
      <c r="AJC1" s="55"/>
      <c r="AJD1" s="55"/>
      <c r="AJE1" s="55"/>
      <c r="AJF1" s="55"/>
      <c r="AJG1" s="55"/>
      <c r="AJH1" s="55"/>
      <c r="AJI1" s="55"/>
      <c r="AJJ1" s="55"/>
      <c r="AJK1" s="55"/>
      <c r="AJL1" s="55"/>
      <c r="AJM1" s="55"/>
      <c r="AJN1" s="55"/>
      <c r="AJO1" s="55"/>
      <c r="AJP1" s="55"/>
      <c r="AJQ1" s="55"/>
      <c r="AJR1" s="55"/>
      <c r="AJS1" s="55"/>
      <c r="AJT1" s="55"/>
      <c r="AJU1" s="55"/>
      <c r="AJV1" s="55"/>
      <c r="AJW1" s="55"/>
      <c r="AJX1" s="55"/>
      <c r="AJY1" s="55"/>
      <c r="AJZ1" s="55"/>
      <c r="AKA1" s="55"/>
      <c r="AKB1" s="55"/>
      <c r="AKC1" s="55"/>
      <c r="AKD1" s="55"/>
      <c r="AKE1" s="55"/>
      <c r="AKF1" s="55"/>
      <c r="AKG1" s="55"/>
      <c r="AKH1" s="55"/>
      <c r="AKI1" s="55"/>
      <c r="AKJ1" s="55"/>
      <c r="AKK1" s="55"/>
      <c r="AKL1" s="55"/>
      <c r="AKM1" s="55"/>
      <c r="AKN1" s="55"/>
      <c r="AKO1" s="55"/>
      <c r="AKP1" s="55"/>
      <c r="AKQ1" s="55"/>
      <c r="AKR1" s="55"/>
      <c r="AKS1" s="55"/>
      <c r="AKT1" s="55"/>
      <c r="AKU1" s="55"/>
      <c r="AKV1" s="55"/>
      <c r="AKW1" s="55"/>
      <c r="AKX1" s="55"/>
      <c r="AKY1" s="55"/>
      <c r="AKZ1" s="55"/>
      <c r="ALA1" s="55"/>
      <c r="ALB1" s="55"/>
      <c r="ALC1" s="55"/>
      <c r="ALD1" s="55"/>
      <c r="ALE1" s="55"/>
      <c r="ALF1" s="55"/>
      <c r="ALG1" s="55"/>
      <c r="ALH1" s="55"/>
      <c r="ALI1" s="55"/>
      <c r="ALJ1" s="55"/>
      <c r="ALK1" s="55"/>
      <c r="ALL1" s="55"/>
      <c r="ALM1" s="55"/>
      <c r="ALN1" s="55"/>
      <c r="ALO1" s="55"/>
      <c r="ALP1" s="55"/>
      <c r="ALQ1" s="55"/>
      <c r="ALR1" s="55"/>
      <c r="ALS1" s="55"/>
      <c r="ALT1" s="55"/>
      <c r="ALU1" s="55"/>
      <c r="ALV1" s="55"/>
      <c r="ALW1" s="55"/>
      <c r="ALX1" s="55"/>
      <c r="ALY1" s="55"/>
      <c r="ALZ1" s="55"/>
      <c r="AMA1" s="55"/>
      <c r="AMB1" s="55"/>
      <c r="AMC1" s="55"/>
      <c r="AMD1" s="55"/>
      <c r="AME1" s="55"/>
      <c r="AMF1" s="55"/>
      <c r="AMG1" s="55"/>
      <c r="AMH1" s="55"/>
      <c r="AMI1" s="55"/>
      <c r="AMJ1" s="55"/>
      <c r="AMK1" s="55"/>
    </row>
    <row r="2" spans="1:1025">
      <c r="A2" s="53"/>
      <c r="B2" s="53"/>
      <c r="C2" s="113"/>
      <c r="D2" s="5"/>
      <c r="E2" s="5"/>
      <c r="F2" s="5"/>
      <c r="G2" s="113"/>
      <c r="H2" s="5"/>
      <c r="I2" s="5"/>
      <c r="J2" s="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c r="DV2" s="55"/>
      <c r="DW2" s="55"/>
      <c r="DX2" s="55"/>
      <c r="DY2" s="55"/>
      <c r="DZ2" s="55"/>
      <c r="EA2" s="55"/>
      <c r="EB2" s="55"/>
      <c r="EC2" s="55"/>
      <c r="ED2" s="55"/>
      <c r="EE2" s="55"/>
      <c r="EF2" s="55"/>
      <c r="EG2" s="55"/>
      <c r="EH2" s="55"/>
      <c r="EI2" s="55"/>
      <c r="EJ2" s="55"/>
      <c r="EK2" s="55"/>
      <c r="EL2" s="55"/>
      <c r="EM2" s="55"/>
      <c r="EN2" s="55"/>
      <c r="EO2" s="55"/>
      <c r="EP2" s="55"/>
      <c r="EQ2" s="55"/>
      <c r="ER2" s="55"/>
      <c r="ES2" s="55"/>
      <c r="ET2" s="55"/>
      <c r="EU2" s="55"/>
      <c r="EV2" s="55"/>
      <c r="EW2" s="55"/>
      <c r="EX2" s="55"/>
      <c r="EY2" s="55"/>
      <c r="EZ2" s="55"/>
      <c r="FA2" s="55"/>
      <c r="FB2" s="55"/>
      <c r="FC2" s="55"/>
      <c r="FD2" s="55"/>
      <c r="FE2" s="55"/>
      <c r="FF2" s="55"/>
      <c r="FG2" s="55"/>
      <c r="FH2" s="55"/>
      <c r="FI2" s="55"/>
      <c r="FJ2" s="55"/>
      <c r="FK2" s="55"/>
      <c r="FL2" s="55"/>
      <c r="FM2" s="55"/>
      <c r="FN2" s="55"/>
      <c r="FO2" s="55"/>
      <c r="FP2" s="55"/>
      <c r="FQ2" s="55"/>
      <c r="FR2" s="55"/>
      <c r="FS2" s="55"/>
      <c r="FT2" s="55"/>
      <c r="FU2" s="55"/>
      <c r="FV2" s="55"/>
      <c r="FW2" s="55"/>
      <c r="FX2" s="55"/>
      <c r="FY2" s="55"/>
      <c r="FZ2" s="55"/>
      <c r="GA2" s="55"/>
      <c r="GB2" s="55"/>
      <c r="GC2" s="55"/>
      <c r="GD2" s="55"/>
      <c r="GE2" s="55"/>
      <c r="GF2" s="55"/>
      <c r="GG2" s="55"/>
      <c r="GH2" s="55"/>
      <c r="GI2" s="55"/>
      <c r="GJ2" s="55"/>
      <c r="GK2" s="55"/>
      <c r="GL2" s="55"/>
      <c r="GM2" s="55"/>
      <c r="GN2" s="55"/>
      <c r="GO2" s="55"/>
      <c r="GP2" s="55"/>
      <c r="GQ2" s="55"/>
      <c r="GR2" s="55"/>
      <c r="GS2" s="55"/>
      <c r="GT2" s="55"/>
      <c r="GU2" s="55"/>
      <c r="GV2" s="55"/>
      <c r="GW2" s="55"/>
      <c r="GX2" s="55"/>
      <c r="GY2" s="55"/>
      <c r="GZ2" s="55"/>
      <c r="HA2" s="55"/>
      <c r="HB2" s="55"/>
      <c r="HC2" s="55"/>
      <c r="HD2" s="55"/>
      <c r="HE2" s="55"/>
      <c r="HF2" s="55"/>
      <c r="HG2" s="55"/>
      <c r="HH2" s="55"/>
      <c r="HI2" s="55"/>
      <c r="HJ2" s="55"/>
      <c r="HK2" s="55"/>
      <c r="HL2" s="55"/>
      <c r="HM2" s="55"/>
      <c r="HN2" s="55"/>
      <c r="HO2" s="55"/>
      <c r="HP2" s="55"/>
      <c r="HQ2" s="55"/>
      <c r="HR2" s="55"/>
      <c r="HS2" s="55"/>
      <c r="HT2" s="55"/>
      <c r="HU2" s="55"/>
      <c r="HV2" s="55"/>
      <c r="HW2" s="55"/>
      <c r="HX2" s="55"/>
      <c r="HY2" s="55"/>
      <c r="HZ2" s="55"/>
      <c r="IA2" s="55"/>
      <c r="IB2" s="55"/>
      <c r="IC2" s="55"/>
      <c r="ID2" s="55"/>
      <c r="IE2" s="55"/>
      <c r="IF2" s="55"/>
      <c r="IG2" s="55"/>
      <c r="IH2" s="55"/>
      <c r="II2" s="55"/>
      <c r="IJ2" s="55"/>
      <c r="IK2" s="55"/>
      <c r="IL2" s="55"/>
      <c r="IM2" s="55"/>
      <c r="IN2" s="55"/>
      <c r="IO2" s="55"/>
      <c r="IP2" s="55"/>
      <c r="IQ2" s="55"/>
      <c r="IR2" s="55"/>
      <c r="IS2" s="55"/>
      <c r="IT2" s="55"/>
      <c r="IU2" s="55"/>
      <c r="IV2" s="55"/>
      <c r="IW2" s="55"/>
      <c r="IX2" s="55"/>
      <c r="IY2" s="55"/>
      <c r="IZ2" s="55"/>
      <c r="JA2" s="55"/>
      <c r="JB2" s="55"/>
      <c r="JC2" s="55"/>
      <c r="JD2" s="55"/>
      <c r="JE2" s="55"/>
      <c r="JF2" s="55"/>
      <c r="JG2" s="55"/>
      <c r="JH2" s="55"/>
      <c r="JI2" s="55"/>
      <c r="JJ2" s="55"/>
      <c r="JK2" s="55"/>
      <c r="JL2" s="55"/>
      <c r="JM2" s="55"/>
      <c r="JN2" s="55"/>
      <c r="JO2" s="55"/>
      <c r="JP2" s="55"/>
      <c r="JQ2" s="55"/>
      <c r="JR2" s="55"/>
      <c r="JS2" s="55"/>
      <c r="JT2" s="55"/>
      <c r="JU2" s="55"/>
      <c r="JV2" s="55"/>
      <c r="JW2" s="55"/>
      <c r="JX2" s="55"/>
      <c r="JY2" s="55"/>
      <c r="JZ2" s="55"/>
      <c r="KA2" s="55"/>
      <c r="KB2" s="55"/>
      <c r="KC2" s="55"/>
      <c r="KD2" s="55"/>
      <c r="KE2" s="55"/>
      <c r="KF2" s="55"/>
      <c r="KG2" s="55"/>
      <c r="KH2" s="55"/>
      <c r="KI2" s="55"/>
      <c r="KJ2" s="55"/>
      <c r="KK2" s="55"/>
      <c r="KL2" s="55"/>
      <c r="KM2" s="55"/>
      <c r="KN2" s="55"/>
      <c r="KO2" s="55"/>
      <c r="KP2" s="55"/>
      <c r="KQ2" s="55"/>
      <c r="KR2" s="55"/>
      <c r="KS2" s="55"/>
      <c r="KT2" s="55"/>
      <c r="KU2" s="55"/>
      <c r="KV2" s="55"/>
      <c r="KW2" s="55"/>
      <c r="KX2" s="55"/>
      <c r="KY2" s="55"/>
      <c r="KZ2" s="55"/>
      <c r="LA2" s="55"/>
      <c r="LB2" s="55"/>
      <c r="LC2" s="55"/>
      <c r="LD2" s="55"/>
      <c r="LE2" s="55"/>
      <c r="LF2" s="55"/>
      <c r="LG2" s="55"/>
      <c r="LH2" s="55"/>
      <c r="LI2" s="55"/>
      <c r="LJ2" s="55"/>
      <c r="LK2" s="55"/>
      <c r="LL2" s="55"/>
      <c r="LM2" s="55"/>
      <c r="LN2" s="55"/>
      <c r="LO2" s="55"/>
      <c r="LP2" s="55"/>
      <c r="LQ2" s="55"/>
      <c r="LR2" s="55"/>
      <c r="LS2" s="55"/>
      <c r="LT2" s="55"/>
      <c r="LU2" s="55"/>
      <c r="LV2" s="55"/>
      <c r="LW2" s="55"/>
      <c r="LX2" s="55"/>
      <c r="LY2" s="55"/>
      <c r="LZ2" s="55"/>
      <c r="MA2" s="55"/>
      <c r="MB2" s="55"/>
      <c r="MC2" s="55"/>
      <c r="MD2" s="55"/>
      <c r="ME2" s="55"/>
      <c r="MF2" s="55"/>
      <c r="MG2" s="55"/>
      <c r="MH2" s="55"/>
      <c r="MI2" s="55"/>
      <c r="MJ2" s="55"/>
      <c r="MK2" s="55"/>
      <c r="ML2" s="55"/>
      <c r="MM2" s="55"/>
      <c r="MN2" s="55"/>
      <c r="MO2" s="55"/>
      <c r="MP2" s="55"/>
      <c r="MQ2" s="55"/>
      <c r="MR2" s="55"/>
      <c r="MS2" s="55"/>
      <c r="MT2" s="55"/>
      <c r="MU2" s="55"/>
      <c r="MV2" s="55"/>
      <c r="MW2" s="55"/>
      <c r="MX2" s="55"/>
      <c r="MY2" s="55"/>
      <c r="MZ2" s="55"/>
      <c r="NA2" s="55"/>
      <c r="NB2" s="55"/>
      <c r="NC2" s="55"/>
      <c r="ND2" s="55"/>
      <c r="NE2" s="55"/>
      <c r="NF2" s="55"/>
      <c r="NG2" s="55"/>
      <c r="NH2" s="55"/>
      <c r="NI2" s="55"/>
      <c r="NJ2" s="55"/>
      <c r="NK2" s="55"/>
      <c r="NL2" s="55"/>
      <c r="NM2" s="55"/>
      <c r="NN2" s="55"/>
      <c r="NO2" s="55"/>
      <c r="NP2" s="55"/>
      <c r="NQ2" s="55"/>
      <c r="NR2" s="55"/>
      <c r="NS2" s="55"/>
      <c r="NT2" s="55"/>
      <c r="NU2" s="55"/>
      <c r="NV2" s="55"/>
      <c r="NW2" s="55"/>
      <c r="NX2" s="55"/>
      <c r="NY2" s="55"/>
      <c r="NZ2" s="55"/>
      <c r="OA2" s="55"/>
      <c r="OB2" s="55"/>
      <c r="OC2" s="55"/>
      <c r="OD2" s="55"/>
      <c r="OE2" s="55"/>
      <c r="OF2" s="55"/>
      <c r="OG2" s="55"/>
      <c r="OH2" s="55"/>
      <c r="OI2" s="55"/>
      <c r="OJ2" s="55"/>
      <c r="OK2" s="55"/>
      <c r="OL2" s="55"/>
      <c r="OM2" s="55"/>
      <c r="ON2" s="55"/>
      <c r="OO2" s="55"/>
      <c r="OP2" s="55"/>
      <c r="OQ2" s="55"/>
      <c r="OR2" s="55"/>
      <c r="OS2" s="55"/>
      <c r="OT2" s="55"/>
      <c r="OU2" s="55"/>
      <c r="OV2" s="55"/>
      <c r="OW2" s="55"/>
      <c r="OX2" s="55"/>
      <c r="OY2" s="55"/>
      <c r="OZ2" s="55"/>
      <c r="PA2" s="55"/>
      <c r="PB2" s="55"/>
      <c r="PC2" s="55"/>
      <c r="PD2" s="55"/>
      <c r="PE2" s="55"/>
      <c r="PF2" s="55"/>
      <c r="PG2" s="55"/>
      <c r="PH2" s="55"/>
      <c r="PI2" s="55"/>
      <c r="PJ2" s="55"/>
      <c r="PK2" s="55"/>
      <c r="PL2" s="55"/>
      <c r="PM2" s="55"/>
      <c r="PN2" s="55"/>
      <c r="PO2" s="55"/>
      <c r="PP2" s="55"/>
      <c r="PQ2" s="55"/>
      <c r="PR2" s="55"/>
      <c r="PS2" s="55"/>
      <c r="PT2" s="55"/>
      <c r="PU2" s="55"/>
      <c r="PV2" s="55"/>
      <c r="PW2" s="55"/>
      <c r="PX2" s="55"/>
      <c r="PY2" s="55"/>
      <c r="PZ2" s="55"/>
      <c r="QA2" s="55"/>
      <c r="QB2" s="55"/>
      <c r="QC2" s="55"/>
      <c r="QD2" s="55"/>
      <c r="QE2" s="55"/>
      <c r="QF2" s="55"/>
      <c r="QG2" s="55"/>
      <c r="QH2" s="55"/>
      <c r="QI2" s="55"/>
      <c r="QJ2" s="55"/>
      <c r="QK2" s="55"/>
      <c r="QL2" s="55"/>
      <c r="QM2" s="55"/>
      <c r="QN2" s="55"/>
      <c r="QO2" s="55"/>
      <c r="QP2" s="55"/>
      <c r="QQ2" s="55"/>
      <c r="QR2" s="55"/>
      <c r="QS2" s="55"/>
      <c r="QT2" s="55"/>
      <c r="QU2" s="55"/>
      <c r="QV2" s="55"/>
      <c r="QW2" s="55"/>
      <c r="QX2" s="55"/>
      <c r="QY2" s="55"/>
      <c r="QZ2" s="55"/>
      <c r="RA2" s="55"/>
      <c r="RB2" s="55"/>
      <c r="RC2" s="55"/>
      <c r="RD2" s="55"/>
      <c r="RE2" s="55"/>
      <c r="RF2" s="55"/>
      <c r="RG2" s="55"/>
      <c r="RH2" s="55"/>
      <c r="RI2" s="55"/>
      <c r="RJ2" s="55"/>
      <c r="RK2" s="55"/>
      <c r="RL2" s="55"/>
      <c r="RM2" s="55"/>
      <c r="RN2" s="55"/>
      <c r="RO2" s="55"/>
      <c r="RP2" s="55"/>
      <c r="RQ2" s="55"/>
      <c r="RR2" s="55"/>
      <c r="RS2" s="55"/>
      <c r="RT2" s="55"/>
      <c r="RU2" s="55"/>
      <c r="RV2" s="55"/>
      <c r="RW2" s="55"/>
      <c r="RX2" s="55"/>
      <c r="RY2" s="55"/>
      <c r="RZ2" s="55"/>
      <c r="SA2" s="55"/>
      <c r="SB2" s="55"/>
      <c r="SC2" s="55"/>
      <c r="SD2" s="55"/>
      <c r="SE2" s="55"/>
      <c r="SF2" s="55"/>
      <c r="SG2" s="55"/>
      <c r="SH2" s="55"/>
      <c r="SI2" s="55"/>
      <c r="SJ2" s="55"/>
      <c r="SK2" s="55"/>
      <c r="SL2" s="55"/>
      <c r="SM2" s="55"/>
      <c r="SN2" s="55"/>
      <c r="SO2" s="55"/>
      <c r="SP2" s="55"/>
      <c r="SQ2" s="55"/>
      <c r="SR2" s="55"/>
      <c r="SS2" s="55"/>
      <c r="ST2" s="55"/>
      <c r="SU2" s="55"/>
      <c r="SV2" s="55"/>
      <c r="SW2" s="55"/>
      <c r="SX2" s="55"/>
      <c r="SY2" s="55"/>
      <c r="SZ2" s="55"/>
      <c r="TA2" s="55"/>
      <c r="TB2" s="55"/>
      <c r="TC2" s="55"/>
      <c r="TD2" s="55"/>
      <c r="TE2" s="55"/>
      <c r="TF2" s="55"/>
      <c r="TG2" s="55"/>
      <c r="TH2" s="55"/>
      <c r="TI2" s="55"/>
      <c r="TJ2" s="55"/>
      <c r="TK2" s="55"/>
      <c r="TL2" s="55"/>
      <c r="TM2" s="55"/>
      <c r="TN2" s="55"/>
      <c r="TO2" s="55"/>
      <c r="TP2" s="55"/>
      <c r="TQ2" s="55"/>
      <c r="TR2" s="55"/>
      <c r="TS2" s="55"/>
      <c r="TT2" s="55"/>
      <c r="TU2" s="55"/>
      <c r="TV2" s="55"/>
      <c r="TW2" s="55"/>
      <c r="TX2" s="55"/>
      <c r="TY2" s="55"/>
      <c r="TZ2" s="55"/>
      <c r="UA2" s="55"/>
      <c r="UB2" s="55"/>
      <c r="UC2" s="55"/>
      <c r="UD2" s="55"/>
      <c r="UE2" s="55"/>
      <c r="UF2" s="55"/>
      <c r="UG2" s="55"/>
      <c r="UH2" s="55"/>
      <c r="UI2" s="55"/>
      <c r="UJ2" s="55"/>
      <c r="UK2" s="55"/>
      <c r="UL2" s="55"/>
      <c r="UM2" s="55"/>
      <c r="UN2" s="55"/>
      <c r="UO2" s="55"/>
      <c r="UP2" s="55"/>
      <c r="UQ2" s="55"/>
      <c r="UR2" s="55"/>
      <c r="US2" s="55"/>
      <c r="UT2" s="55"/>
      <c r="UU2" s="55"/>
      <c r="UV2" s="55"/>
      <c r="UW2" s="55"/>
      <c r="UX2" s="55"/>
      <c r="UY2" s="55"/>
      <c r="UZ2" s="55"/>
      <c r="VA2" s="55"/>
      <c r="VB2" s="55"/>
      <c r="VC2" s="55"/>
      <c r="VD2" s="55"/>
      <c r="VE2" s="55"/>
      <c r="VF2" s="55"/>
      <c r="VG2" s="55"/>
      <c r="VH2" s="55"/>
      <c r="VI2" s="55"/>
      <c r="VJ2" s="55"/>
      <c r="VK2" s="55"/>
      <c r="VL2" s="55"/>
      <c r="VM2" s="55"/>
      <c r="VN2" s="55"/>
      <c r="VO2" s="55"/>
      <c r="VP2" s="55"/>
      <c r="VQ2" s="55"/>
      <c r="VR2" s="55"/>
      <c r="VS2" s="55"/>
      <c r="VT2" s="55"/>
      <c r="VU2" s="55"/>
      <c r="VV2" s="55"/>
      <c r="VW2" s="55"/>
      <c r="VX2" s="55"/>
      <c r="VY2" s="55"/>
      <c r="VZ2" s="55"/>
      <c r="WA2" s="55"/>
      <c r="WB2" s="55"/>
      <c r="WC2" s="55"/>
      <c r="WD2" s="55"/>
      <c r="WE2" s="55"/>
      <c r="WF2" s="55"/>
      <c r="WG2" s="55"/>
      <c r="WH2" s="55"/>
      <c r="WI2" s="55"/>
      <c r="WJ2" s="55"/>
      <c r="WK2" s="55"/>
      <c r="WL2" s="55"/>
      <c r="WM2" s="55"/>
      <c r="WN2" s="55"/>
      <c r="WO2" s="55"/>
      <c r="WP2" s="55"/>
      <c r="WQ2" s="55"/>
      <c r="WR2" s="55"/>
      <c r="WS2" s="55"/>
      <c r="WT2" s="55"/>
      <c r="WU2" s="55"/>
      <c r="WV2" s="55"/>
      <c r="WW2" s="55"/>
      <c r="WX2" s="55"/>
      <c r="WY2" s="55"/>
      <c r="WZ2" s="55"/>
      <c r="XA2" s="55"/>
      <c r="XB2" s="55"/>
      <c r="XC2" s="55"/>
      <c r="XD2" s="55"/>
      <c r="XE2" s="55"/>
      <c r="XF2" s="55"/>
      <c r="XG2" s="55"/>
      <c r="XH2" s="55"/>
      <c r="XI2" s="55"/>
      <c r="XJ2" s="55"/>
      <c r="XK2" s="55"/>
      <c r="XL2" s="55"/>
      <c r="XM2" s="55"/>
      <c r="XN2" s="55"/>
      <c r="XO2" s="55"/>
      <c r="XP2" s="55"/>
      <c r="XQ2" s="55"/>
      <c r="XR2" s="55"/>
      <c r="XS2" s="55"/>
      <c r="XT2" s="55"/>
      <c r="XU2" s="55"/>
      <c r="XV2" s="55"/>
      <c r="XW2" s="55"/>
      <c r="XX2" s="55"/>
      <c r="XY2" s="55"/>
      <c r="XZ2" s="55"/>
      <c r="YA2" s="55"/>
      <c r="YB2" s="55"/>
      <c r="YC2" s="55"/>
      <c r="YD2" s="55"/>
      <c r="YE2" s="55"/>
      <c r="YF2" s="55"/>
      <c r="YG2" s="55"/>
      <c r="YH2" s="55"/>
      <c r="YI2" s="55"/>
      <c r="YJ2" s="55"/>
      <c r="YK2" s="55"/>
      <c r="YL2" s="55"/>
      <c r="YM2" s="55"/>
      <c r="YN2" s="55"/>
      <c r="YO2" s="55"/>
      <c r="YP2" s="55"/>
      <c r="YQ2" s="55"/>
      <c r="YR2" s="55"/>
      <c r="YS2" s="55"/>
      <c r="YT2" s="55"/>
      <c r="YU2" s="55"/>
      <c r="YV2" s="55"/>
      <c r="YW2" s="55"/>
      <c r="YX2" s="55"/>
      <c r="YY2" s="55"/>
      <c r="YZ2" s="55"/>
      <c r="ZA2" s="55"/>
      <c r="ZB2" s="55"/>
      <c r="ZC2" s="55"/>
      <c r="ZD2" s="55"/>
      <c r="ZE2" s="55"/>
      <c r="ZF2" s="55"/>
      <c r="ZG2" s="55"/>
      <c r="ZH2" s="55"/>
      <c r="ZI2" s="55"/>
      <c r="ZJ2" s="55"/>
      <c r="ZK2" s="55"/>
      <c r="ZL2" s="55"/>
      <c r="ZM2" s="55"/>
      <c r="ZN2" s="55"/>
      <c r="ZO2" s="55"/>
      <c r="ZP2" s="55"/>
      <c r="ZQ2" s="55"/>
      <c r="ZR2" s="55"/>
      <c r="ZS2" s="55"/>
      <c r="ZT2" s="55"/>
      <c r="ZU2" s="55"/>
      <c r="ZV2" s="55"/>
      <c r="ZW2" s="55"/>
      <c r="ZX2" s="55"/>
      <c r="ZY2" s="55"/>
      <c r="ZZ2" s="55"/>
      <c r="AAA2" s="55"/>
      <c r="AAB2" s="55"/>
      <c r="AAC2" s="55"/>
      <c r="AAD2" s="55"/>
      <c r="AAE2" s="55"/>
      <c r="AAF2" s="55"/>
      <c r="AAG2" s="55"/>
      <c r="AAH2" s="55"/>
      <c r="AAI2" s="55"/>
      <c r="AAJ2" s="55"/>
      <c r="AAK2" s="55"/>
      <c r="AAL2" s="55"/>
      <c r="AAM2" s="55"/>
      <c r="AAN2" s="55"/>
      <c r="AAO2" s="55"/>
      <c r="AAP2" s="55"/>
      <c r="AAQ2" s="55"/>
      <c r="AAR2" s="55"/>
      <c r="AAS2" s="55"/>
      <c r="AAT2" s="55"/>
      <c r="AAU2" s="55"/>
      <c r="AAV2" s="55"/>
      <c r="AAW2" s="55"/>
      <c r="AAX2" s="55"/>
      <c r="AAY2" s="55"/>
      <c r="AAZ2" s="55"/>
      <c r="ABA2" s="55"/>
      <c r="ABB2" s="55"/>
      <c r="ABC2" s="55"/>
      <c r="ABD2" s="55"/>
      <c r="ABE2" s="55"/>
      <c r="ABF2" s="55"/>
      <c r="ABG2" s="55"/>
      <c r="ABH2" s="55"/>
      <c r="ABI2" s="55"/>
      <c r="ABJ2" s="55"/>
      <c r="ABK2" s="55"/>
      <c r="ABL2" s="55"/>
      <c r="ABM2" s="55"/>
      <c r="ABN2" s="55"/>
      <c r="ABO2" s="55"/>
      <c r="ABP2" s="55"/>
      <c r="ABQ2" s="55"/>
      <c r="ABR2" s="55"/>
      <c r="ABS2" s="55"/>
      <c r="ABT2" s="55"/>
      <c r="ABU2" s="55"/>
      <c r="ABV2" s="55"/>
      <c r="ABW2" s="55"/>
      <c r="ABX2" s="55"/>
      <c r="ABY2" s="55"/>
      <c r="ABZ2" s="55"/>
      <c r="ACA2" s="55"/>
      <c r="ACB2" s="55"/>
      <c r="ACC2" s="55"/>
      <c r="ACD2" s="55"/>
      <c r="ACE2" s="55"/>
      <c r="ACF2" s="55"/>
      <c r="ACG2" s="55"/>
      <c r="ACH2" s="55"/>
      <c r="ACI2" s="55"/>
      <c r="ACJ2" s="55"/>
      <c r="ACK2" s="55"/>
      <c r="ACL2" s="55"/>
      <c r="ACM2" s="55"/>
      <c r="ACN2" s="55"/>
      <c r="ACO2" s="55"/>
      <c r="ACP2" s="55"/>
      <c r="ACQ2" s="55"/>
      <c r="ACR2" s="55"/>
      <c r="ACS2" s="55"/>
      <c r="ACT2" s="55"/>
      <c r="ACU2" s="55"/>
      <c r="ACV2" s="55"/>
      <c r="ACW2" s="55"/>
      <c r="ACX2" s="55"/>
      <c r="ACY2" s="55"/>
      <c r="ACZ2" s="55"/>
      <c r="ADA2" s="55"/>
      <c r="ADB2" s="55"/>
      <c r="ADC2" s="55"/>
      <c r="ADD2" s="55"/>
      <c r="ADE2" s="55"/>
      <c r="ADF2" s="55"/>
      <c r="ADG2" s="55"/>
      <c r="ADH2" s="55"/>
      <c r="ADI2" s="55"/>
      <c r="ADJ2" s="55"/>
      <c r="ADK2" s="55"/>
      <c r="ADL2" s="55"/>
      <c r="ADM2" s="55"/>
      <c r="ADN2" s="55"/>
      <c r="ADO2" s="55"/>
      <c r="ADP2" s="55"/>
      <c r="ADQ2" s="55"/>
      <c r="ADR2" s="55"/>
      <c r="ADS2" s="55"/>
      <c r="ADT2" s="55"/>
      <c r="ADU2" s="55"/>
      <c r="ADV2" s="55"/>
      <c r="ADW2" s="55"/>
      <c r="ADX2" s="55"/>
      <c r="ADY2" s="55"/>
      <c r="ADZ2" s="55"/>
      <c r="AEA2" s="55"/>
      <c r="AEB2" s="55"/>
      <c r="AEC2" s="55"/>
      <c r="AED2" s="55"/>
      <c r="AEE2" s="55"/>
      <c r="AEF2" s="55"/>
      <c r="AEG2" s="55"/>
      <c r="AEH2" s="55"/>
      <c r="AEI2" s="55"/>
      <c r="AEJ2" s="55"/>
      <c r="AEK2" s="55"/>
      <c r="AEL2" s="55"/>
      <c r="AEM2" s="55"/>
      <c r="AEN2" s="55"/>
      <c r="AEO2" s="55"/>
      <c r="AEP2" s="55"/>
      <c r="AEQ2" s="55"/>
      <c r="AER2" s="55"/>
      <c r="AES2" s="55"/>
      <c r="AET2" s="55"/>
      <c r="AEU2" s="55"/>
      <c r="AEV2" s="55"/>
      <c r="AEW2" s="55"/>
      <c r="AEX2" s="55"/>
      <c r="AEY2" s="55"/>
      <c r="AEZ2" s="55"/>
      <c r="AFA2" s="55"/>
      <c r="AFB2" s="55"/>
      <c r="AFC2" s="55"/>
      <c r="AFD2" s="55"/>
      <c r="AFE2" s="55"/>
      <c r="AFF2" s="55"/>
      <c r="AFG2" s="55"/>
      <c r="AFH2" s="55"/>
      <c r="AFI2" s="55"/>
      <c r="AFJ2" s="55"/>
      <c r="AFK2" s="55"/>
      <c r="AFL2" s="55"/>
      <c r="AFM2" s="55"/>
      <c r="AFN2" s="55"/>
      <c r="AFO2" s="55"/>
      <c r="AFP2" s="55"/>
      <c r="AFQ2" s="55"/>
      <c r="AFR2" s="55"/>
      <c r="AFS2" s="55"/>
      <c r="AFT2" s="55"/>
      <c r="AFU2" s="55"/>
      <c r="AFV2" s="55"/>
      <c r="AFW2" s="55"/>
      <c r="AFX2" s="55"/>
      <c r="AFY2" s="55"/>
      <c r="AFZ2" s="55"/>
      <c r="AGA2" s="55"/>
      <c r="AGB2" s="55"/>
      <c r="AGC2" s="55"/>
      <c r="AGD2" s="55"/>
      <c r="AGE2" s="55"/>
      <c r="AGF2" s="55"/>
      <c r="AGG2" s="55"/>
      <c r="AGH2" s="55"/>
      <c r="AGI2" s="55"/>
      <c r="AGJ2" s="55"/>
      <c r="AGK2" s="55"/>
      <c r="AGL2" s="55"/>
      <c r="AGM2" s="55"/>
      <c r="AGN2" s="55"/>
      <c r="AGO2" s="55"/>
      <c r="AGP2" s="55"/>
      <c r="AGQ2" s="55"/>
      <c r="AGR2" s="55"/>
      <c r="AGS2" s="55"/>
      <c r="AGT2" s="55"/>
      <c r="AGU2" s="55"/>
      <c r="AGV2" s="55"/>
      <c r="AGW2" s="55"/>
      <c r="AGX2" s="55"/>
      <c r="AGY2" s="55"/>
      <c r="AGZ2" s="55"/>
      <c r="AHA2" s="55"/>
      <c r="AHB2" s="55"/>
      <c r="AHC2" s="55"/>
      <c r="AHD2" s="55"/>
      <c r="AHE2" s="55"/>
      <c r="AHF2" s="55"/>
      <c r="AHG2" s="55"/>
      <c r="AHH2" s="55"/>
      <c r="AHI2" s="55"/>
      <c r="AHJ2" s="55"/>
      <c r="AHK2" s="55"/>
      <c r="AHL2" s="55"/>
      <c r="AHM2" s="55"/>
      <c r="AHN2" s="55"/>
      <c r="AHO2" s="55"/>
      <c r="AHP2" s="55"/>
      <c r="AHQ2" s="55"/>
      <c r="AHR2" s="55"/>
      <c r="AHS2" s="55"/>
      <c r="AHT2" s="55"/>
      <c r="AHU2" s="55"/>
      <c r="AHV2" s="55"/>
      <c r="AHW2" s="55"/>
      <c r="AHX2" s="55"/>
      <c r="AHY2" s="55"/>
      <c r="AHZ2" s="55"/>
      <c r="AIA2" s="55"/>
      <c r="AIB2" s="55"/>
      <c r="AIC2" s="55"/>
      <c r="AID2" s="55"/>
      <c r="AIE2" s="55"/>
      <c r="AIF2" s="55"/>
      <c r="AIG2" s="55"/>
      <c r="AIH2" s="55"/>
      <c r="AII2" s="55"/>
      <c r="AIJ2" s="55"/>
      <c r="AIK2" s="55"/>
      <c r="AIL2" s="55"/>
      <c r="AIM2" s="55"/>
      <c r="AIN2" s="55"/>
      <c r="AIO2" s="55"/>
      <c r="AIP2" s="55"/>
      <c r="AIQ2" s="55"/>
      <c r="AIR2" s="55"/>
      <c r="AIS2" s="55"/>
      <c r="AIT2" s="55"/>
      <c r="AIU2" s="55"/>
      <c r="AIV2" s="55"/>
      <c r="AIW2" s="55"/>
      <c r="AIX2" s="55"/>
      <c r="AIY2" s="55"/>
      <c r="AIZ2" s="55"/>
      <c r="AJA2" s="55"/>
      <c r="AJB2" s="55"/>
      <c r="AJC2" s="55"/>
      <c r="AJD2" s="55"/>
      <c r="AJE2" s="55"/>
      <c r="AJF2" s="55"/>
      <c r="AJG2" s="55"/>
      <c r="AJH2" s="55"/>
      <c r="AJI2" s="55"/>
      <c r="AJJ2" s="55"/>
      <c r="AJK2" s="55"/>
      <c r="AJL2" s="55"/>
      <c r="AJM2" s="55"/>
      <c r="AJN2" s="55"/>
      <c r="AJO2" s="55"/>
      <c r="AJP2" s="55"/>
      <c r="AJQ2" s="55"/>
      <c r="AJR2" s="55"/>
      <c r="AJS2" s="55"/>
      <c r="AJT2" s="55"/>
      <c r="AJU2" s="55"/>
      <c r="AJV2" s="55"/>
      <c r="AJW2" s="55"/>
      <c r="AJX2" s="55"/>
      <c r="AJY2" s="55"/>
      <c r="AJZ2" s="55"/>
      <c r="AKA2" s="55"/>
      <c r="AKB2" s="55"/>
      <c r="AKC2" s="55"/>
      <c r="AKD2" s="55"/>
      <c r="AKE2" s="55"/>
      <c r="AKF2" s="55"/>
      <c r="AKG2" s="55"/>
      <c r="AKH2" s="55"/>
      <c r="AKI2" s="55"/>
      <c r="AKJ2" s="55"/>
      <c r="AKK2" s="55"/>
      <c r="AKL2" s="55"/>
      <c r="AKM2" s="55"/>
      <c r="AKN2" s="55"/>
      <c r="AKO2" s="55"/>
      <c r="AKP2" s="55"/>
      <c r="AKQ2" s="55"/>
      <c r="AKR2" s="55"/>
      <c r="AKS2" s="55"/>
      <c r="AKT2" s="55"/>
      <c r="AKU2" s="55"/>
      <c r="AKV2" s="55"/>
      <c r="AKW2" s="55"/>
      <c r="AKX2" s="55"/>
      <c r="AKY2" s="55"/>
      <c r="AKZ2" s="55"/>
      <c r="ALA2" s="55"/>
      <c r="ALB2" s="55"/>
      <c r="ALC2" s="55"/>
      <c r="ALD2" s="55"/>
      <c r="ALE2" s="55"/>
      <c r="ALF2" s="55"/>
      <c r="ALG2" s="55"/>
      <c r="ALH2" s="55"/>
      <c r="ALI2" s="55"/>
      <c r="ALJ2" s="55"/>
      <c r="ALK2" s="55"/>
      <c r="ALL2" s="55"/>
      <c r="ALM2" s="55"/>
      <c r="ALN2" s="55"/>
      <c r="ALO2" s="55"/>
      <c r="ALP2" s="55"/>
      <c r="ALQ2" s="55"/>
      <c r="ALR2" s="55"/>
      <c r="ALS2" s="55"/>
      <c r="ALT2" s="55"/>
      <c r="ALU2" s="55"/>
      <c r="ALV2" s="55"/>
      <c r="ALW2" s="55"/>
      <c r="ALX2" s="55"/>
      <c r="ALY2" s="55"/>
      <c r="ALZ2" s="55"/>
      <c r="AMA2" s="55"/>
      <c r="AMB2" s="55"/>
      <c r="AMC2" s="55"/>
      <c r="AMD2" s="55"/>
      <c r="AME2" s="55"/>
      <c r="AMF2" s="55"/>
      <c r="AMG2" s="55"/>
      <c r="AMH2" s="55"/>
      <c r="AMI2" s="55"/>
      <c r="AMJ2" s="55"/>
    </row>
    <row r="3" spans="1:1025" ht="25.5" customHeight="1">
      <c r="A3" s="65" t="s">
        <v>12</v>
      </c>
      <c r="B3" s="88" t="s">
        <v>245</v>
      </c>
      <c r="C3" s="88" t="s">
        <v>246</v>
      </c>
      <c r="D3" s="65" t="s">
        <v>99</v>
      </c>
      <c r="E3" s="65" t="s">
        <v>100</v>
      </c>
      <c r="F3" s="65" t="s">
        <v>101</v>
      </c>
      <c r="G3" s="114" t="s">
        <v>247</v>
      </c>
      <c r="H3" s="114" t="s">
        <v>248</v>
      </c>
      <c r="I3" s="114" t="s">
        <v>249</v>
      </c>
      <c r="J3" s="114" t="s">
        <v>250</v>
      </c>
    </row>
    <row r="4" spans="1:1025">
      <c r="A4" s="115" t="str">
        <f>CONCATENATE('VDI Requirements'!$B$6, " VM(s)")</f>
        <v>Developer VM(s)</v>
      </c>
      <c r="B4" s="115"/>
      <c r="C4" s="277"/>
      <c r="D4" s="277"/>
      <c r="E4" s="277"/>
      <c r="F4" s="277"/>
      <c r="G4" s="277"/>
      <c r="H4" s="277"/>
      <c r="I4" s="277"/>
      <c r="J4" s="277"/>
      <c r="K4" s="277"/>
      <c r="L4" s="277"/>
      <c r="M4" s="277"/>
      <c r="N4" s="277"/>
      <c r="O4" s="277"/>
      <c r="P4" s="277"/>
    </row>
    <row r="5" spans="1:1025" ht="60" customHeight="1">
      <c r="A5" s="116"/>
      <c r="B5" s="117">
        <f>'VDI Requirements'!B9</f>
        <v>24</v>
      </c>
      <c r="C5" s="118">
        <f>'VDI Requirements'!B12</f>
        <v>260.71428571428572</v>
      </c>
      <c r="D5" s="116"/>
      <c r="E5" s="119"/>
      <c r="F5" s="120" t="s">
        <v>251</v>
      </c>
      <c r="G5" s="121"/>
      <c r="H5" s="122">
        <v>0</v>
      </c>
      <c r="I5" s="123">
        <f>SUM(G5:H5) * 1.12</f>
        <v>0</v>
      </c>
      <c r="J5" s="124">
        <f>I5*12</f>
        <v>0</v>
      </c>
    </row>
    <row r="6" spans="1:1025" ht="60" customHeight="1">
      <c r="A6" s="116"/>
      <c r="B6" s="116"/>
      <c r="C6" s="118">
        <f>'VDI Requirements'!B12</f>
        <v>260.71428571428572</v>
      </c>
      <c r="D6" s="116"/>
      <c r="E6" s="119"/>
      <c r="F6" s="120" t="s">
        <v>251</v>
      </c>
      <c r="G6" s="121"/>
      <c r="H6" s="122"/>
      <c r="I6" s="123">
        <f>SUM(G6:H6) * 1.12</f>
        <v>0</v>
      </c>
      <c r="J6" s="124">
        <f>I6*12</f>
        <v>0</v>
      </c>
    </row>
    <row r="7" spans="1:1025" ht="60" customHeight="1">
      <c r="A7" s="125"/>
      <c r="B7" s="116"/>
      <c r="C7" s="118">
        <f>'VDI Requirements'!B12</f>
        <v>260.71428571428572</v>
      </c>
      <c r="D7" s="125"/>
      <c r="E7" s="126"/>
      <c r="F7" s="120" t="s">
        <v>251</v>
      </c>
      <c r="G7" s="127"/>
      <c r="H7" s="128"/>
      <c r="I7" s="123">
        <f>SUM(G7:H7) * 1.12</f>
        <v>0</v>
      </c>
      <c r="J7" s="97">
        <f>I7*12</f>
        <v>0</v>
      </c>
    </row>
    <row r="8" spans="1:1025" s="129" customFormat="1">
      <c r="A8" s="115" t="str">
        <f>CONCATENATE('VDI Requirements'!$B$32, " VM(s)")</f>
        <v>Tester VM(s)</v>
      </c>
      <c r="B8" s="115"/>
      <c r="C8" s="277"/>
      <c r="D8" s="277"/>
      <c r="E8" s="277"/>
      <c r="F8" s="277"/>
      <c r="G8" s="277"/>
      <c r="H8" s="277"/>
      <c r="I8" s="277"/>
      <c r="J8" s="277"/>
      <c r="K8" s="277"/>
      <c r="L8" s="277"/>
      <c r="M8" s="277"/>
      <c r="N8" s="277"/>
      <c r="O8" s="277"/>
      <c r="P8" s="277"/>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c r="BG8" s="52"/>
      <c r="BH8" s="52"/>
      <c r="BI8" s="52"/>
      <c r="BJ8" s="52"/>
      <c r="BK8" s="52"/>
      <c r="BL8" s="52"/>
      <c r="BM8" s="52"/>
      <c r="BN8" s="52"/>
      <c r="BO8" s="52"/>
      <c r="BP8" s="52"/>
      <c r="BQ8" s="52"/>
      <c r="BR8" s="52"/>
      <c r="BS8" s="52"/>
      <c r="BT8" s="52"/>
      <c r="BU8" s="52"/>
      <c r="BV8" s="52"/>
      <c r="BW8" s="52"/>
      <c r="BX8" s="52"/>
      <c r="BY8" s="52"/>
      <c r="BZ8" s="52"/>
      <c r="CA8" s="52"/>
      <c r="CB8" s="52"/>
      <c r="CC8" s="52"/>
      <c r="CD8" s="52"/>
      <c r="CE8" s="52"/>
      <c r="CF8" s="52"/>
      <c r="CG8" s="52"/>
      <c r="CH8" s="52"/>
      <c r="CI8" s="52"/>
      <c r="CJ8" s="52"/>
      <c r="CK8" s="52"/>
      <c r="CL8" s="52"/>
      <c r="CM8" s="52"/>
      <c r="CN8" s="52"/>
      <c r="CO8" s="52"/>
      <c r="CP8" s="52"/>
      <c r="CQ8" s="52"/>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c r="EA8" s="52"/>
      <c r="EB8" s="52"/>
      <c r="EC8" s="52"/>
      <c r="ED8" s="52"/>
      <c r="EE8" s="52"/>
      <c r="EF8" s="52"/>
      <c r="EG8" s="52"/>
      <c r="EH8" s="52"/>
      <c r="EI8" s="52"/>
      <c r="EJ8" s="52"/>
      <c r="EK8" s="52"/>
      <c r="EL8" s="52"/>
      <c r="EM8" s="52"/>
      <c r="EN8" s="52"/>
      <c r="EO8" s="52"/>
      <c r="EP8" s="52"/>
      <c r="EQ8" s="52"/>
      <c r="ER8" s="52"/>
      <c r="ES8" s="52"/>
      <c r="ET8" s="52"/>
      <c r="EU8" s="52"/>
      <c r="EV8" s="52"/>
      <c r="EW8" s="52"/>
      <c r="EX8" s="52"/>
      <c r="EY8" s="52"/>
      <c r="EZ8" s="52"/>
      <c r="FA8" s="52"/>
      <c r="FB8" s="52"/>
      <c r="FC8" s="52"/>
      <c r="FD8" s="52"/>
      <c r="FE8" s="52"/>
      <c r="FF8" s="52"/>
      <c r="FG8" s="52"/>
      <c r="FH8" s="52"/>
      <c r="FI8" s="52"/>
      <c r="FJ8" s="52"/>
      <c r="FK8" s="52"/>
      <c r="FL8" s="52"/>
      <c r="FM8" s="52"/>
      <c r="FN8" s="52"/>
      <c r="FO8" s="52"/>
      <c r="FP8" s="52"/>
      <c r="FQ8" s="52"/>
      <c r="FR8" s="52"/>
      <c r="FS8" s="52"/>
      <c r="FT8" s="52"/>
      <c r="FU8" s="52"/>
      <c r="FV8" s="52"/>
      <c r="FW8" s="52"/>
      <c r="FX8" s="52"/>
      <c r="FY8" s="52"/>
      <c r="FZ8" s="52"/>
      <c r="GA8" s="52"/>
      <c r="GB8" s="52"/>
      <c r="GC8" s="52"/>
      <c r="GD8" s="52"/>
      <c r="GE8" s="52"/>
      <c r="GF8" s="52"/>
      <c r="GG8" s="52"/>
      <c r="GH8" s="52"/>
      <c r="GI8" s="52"/>
      <c r="GJ8" s="52"/>
      <c r="GK8" s="52"/>
      <c r="GL8" s="52"/>
      <c r="GM8" s="52"/>
      <c r="GN8" s="52"/>
      <c r="GO8" s="52"/>
      <c r="GP8" s="52"/>
      <c r="GQ8" s="52"/>
      <c r="GR8" s="52"/>
      <c r="GS8" s="52"/>
      <c r="GT8" s="52"/>
      <c r="GU8" s="52"/>
      <c r="GV8" s="52"/>
      <c r="GW8" s="52"/>
      <c r="GX8" s="52"/>
      <c r="GY8" s="52"/>
      <c r="GZ8" s="52"/>
      <c r="HA8" s="52"/>
      <c r="HB8" s="52"/>
      <c r="HC8" s="52"/>
      <c r="HD8" s="52"/>
      <c r="HE8" s="52"/>
      <c r="HF8" s="52"/>
      <c r="HG8" s="52"/>
      <c r="HH8" s="52"/>
      <c r="HI8" s="52"/>
      <c r="HJ8" s="52"/>
      <c r="HK8" s="52"/>
      <c r="HL8" s="52"/>
      <c r="HM8" s="52"/>
      <c r="HN8" s="52"/>
      <c r="HO8" s="52"/>
      <c r="HP8" s="52"/>
      <c r="HQ8" s="52"/>
      <c r="HR8" s="52"/>
      <c r="HS8" s="52"/>
      <c r="HT8" s="52"/>
      <c r="HU8" s="52"/>
      <c r="HV8" s="52"/>
      <c r="HW8" s="52"/>
      <c r="HX8" s="52"/>
      <c r="HY8" s="52"/>
      <c r="HZ8" s="52"/>
      <c r="IA8" s="52"/>
      <c r="IB8" s="52"/>
      <c r="IC8" s="52"/>
      <c r="ID8" s="52"/>
      <c r="IE8" s="52"/>
      <c r="IF8" s="52"/>
      <c r="IG8" s="52"/>
      <c r="IH8" s="52"/>
      <c r="II8" s="52"/>
      <c r="IJ8" s="52"/>
      <c r="IK8" s="52"/>
      <c r="IL8" s="52"/>
      <c r="IM8" s="52"/>
      <c r="IN8" s="52"/>
      <c r="IO8" s="52"/>
      <c r="IP8" s="52"/>
      <c r="IQ8" s="52"/>
      <c r="IR8" s="52"/>
      <c r="IS8" s="52"/>
      <c r="IT8" s="52"/>
      <c r="IU8" s="52"/>
      <c r="IV8" s="52"/>
      <c r="IW8" s="52"/>
      <c r="IX8" s="52"/>
      <c r="IY8" s="52"/>
      <c r="IZ8" s="52"/>
      <c r="JA8" s="52"/>
      <c r="JB8" s="52"/>
      <c r="JC8" s="52"/>
      <c r="JD8" s="52"/>
      <c r="JE8" s="52"/>
      <c r="JF8" s="52"/>
      <c r="JG8" s="52"/>
      <c r="JH8" s="52"/>
      <c r="JI8" s="52"/>
      <c r="JJ8" s="52"/>
      <c r="JK8" s="52"/>
      <c r="JL8" s="52"/>
      <c r="JM8" s="52"/>
      <c r="JN8" s="52"/>
      <c r="JO8" s="52"/>
      <c r="JP8" s="52"/>
      <c r="JQ8" s="52"/>
      <c r="JR8" s="52"/>
      <c r="JS8" s="52"/>
      <c r="JT8" s="52"/>
      <c r="JU8" s="52"/>
      <c r="JV8" s="52"/>
      <c r="JW8" s="52"/>
      <c r="JX8" s="52"/>
      <c r="JY8" s="52"/>
      <c r="JZ8" s="52"/>
      <c r="KA8" s="52"/>
      <c r="KB8" s="52"/>
      <c r="KC8" s="52"/>
      <c r="KD8" s="52"/>
      <c r="KE8" s="52"/>
      <c r="KF8" s="52"/>
      <c r="KG8" s="52"/>
      <c r="KH8" s="52"/>
      <c r="KI8" s="52"/>
      <c r="KJ8" s="52"/>
      <c r="KK8" s="52"/>
      <c r="KL8" s="52"/>
      <c r="KM8" s="52"/>
      <c r="KN8" s="52"/>
      <c r="KO8" s="52"/>
      <c r="KP8" s="52"/>
      <c r="KQ8" s="52"/>
      <c r="KR8" s="52"/>
      <c r="KS8" s="52"/>
      <c r="KT8" s="52"/>
      <c r="KU8" s="52"/>
      <c r="KV8" s="52"/>
      <c r="KW8" s="52"/>
      <c r="KX8" s="52"/>
      <c r="KY8" s="52"/>
      <c r="KZ8" s="52"/>
      <c r="LA8" s="52"/>
      <c r="LB8" s="52"/>
      <c r="LC8" s="52"/>
      <c r="LD8" s="52"/>
      <c r="LE8" s="52"/>
      <c r="LF8" s="52"/>
      <c r="LG8" s="52"/>
      <c r="LH8" s="52"/>
      <c r="LI8" s="52"/>
      <c r="LJ8" s="52"/>
      <c r="LK8" s="52"/>
      <c r="LL8" s="52"/>
      <c r="LM8" s="52"/>
      <c r="LN8" s="52"/>
      <c r="LO8" s="52"/>
      <c r="LP8" s="52"/>
      <c r="LQ8" s="52"/>
      <c r="LR8" s="52"/>
      <c r="LS8" s="52"/>
      <c r="LT8" s="52"/>
      <c r="LU8" s="52"/>
      <c r="LV8" s="52"/>
      <c r="LW8" s="52"/>
      <c r="LX8" s="52"/>
      <c r="LY8" s="52"/>
      <c r="LZ8" s="52"/>
      <c r="MA8" s="52"/>
      <c r="MB8" s="52"/>
      <c r="MC8" s="52"/>
      <c r="MD8" s="52"/>
      <c r="ME8" s="52"/>
      <c r="MF8" s="52"/>
      <c r="MG8" s="52"/>
      <c r="MH8" s="52"/>
      <c r="MI8" s="52"/>
      <c r="MJ8" s="52"/>
      <c r="MK8" s="52"/>
      <c r="ML8" s="52"/>
      <c r="MM8" s="52"/>
      <c r="MN8" s="52"/>
      <c r="MO8" s="52"/>
      <c r="MP8" s="52"/>
      <c r="MQ8" s="52"/>
      <c r="MR8" s="52"/>
      <c r="MS8" s="52"/>
      <c r="MT8" s="52"/>
      <c r="MU8" s="52"/>
      <c r="MV8" s="52"/>
      <c r="MW8" s="52"/>
      <c r="MX8" s="52"/>
      <c r="MY8" s="52"/>
      <c r="MZ8" s="52"/>
      <c r="NA8" s="52"/>
      <c r="NB8" s="52"/>
      <c r="NC8" s="52"/>
      <c r="ND8" s="52"/>
      <c r="NE8" s="52"/>
      <c r="NF8" s="52"/>
      <c r="NG8" s="52"/>
      <c r="NH8" s="52"/>
      <c r="NI8" s="52"/>
      <c r="NJ8" s="52"/>
      <c r="NK8" s="52"/>
      <c r="NL8" s="52"/>
      <c r="NM8" s="52"/>
      <c r="NN8" s="52"/>
      <c r="NO8" s="52"/>
      <c r="NP8" s="52"/>
      <c r="NQ8" s="52"/>
      <c r="NR8" s="52"/>
      <c r="NS8" s="52"/>
      <c r="NT8" s="52"/>
      <c r="NU8" s="52"/>
      <c r="NV8" s="52"/>
      <c r="NW8" s="52"/>
      <c r="NX8" s="52"/>
      <c r="NY8" s="52"/>
      <c r="NZ8" s="52"/>
      <c r="OA8" s="52"/>
      <c r="OB8" s="52"/>
      <c r="OC8" s="52"/>
      <c r="OD8" s="52"/>
      <c r="OE8" s="52"/>
      <c r="OF8" s="52"/>
      <c r="OG8" s="52"/>
      <c r="OH8" s="52"/>
      <c r="OI8" s="52"/>
      <c r="OJ8" s="52"/>
      <c r="OK8" s="52"/>
      <c r="OL8" s="52"/>
      <c r="OM8" s="52"/>
      <c r="ON8" s="52"/>
      <c r="OO8" s="52"/>
      <c r="OP8" s="52"/>
      <c r="OQ8" s="52"/>
      <c r="OR8" s="52"/>
      <c r="OS8" s="52"/>
      <c r="OT8" s="52"/>
      <c r="OU8" s="52"/>
      <c r="OV8" s="52"/>
      <c r="OW8" s="52"/>
      <c r="OX8" s="52"/>
      <c r="OY8" s="52"/>
      <c r="OZ8" s="52"/>
      <c r="PA8" s="52"/>
      <c r="PB8" s="52"/>
      <c r="PC8" s="52"/>
      <c r="PD8" s="52"/>
      <c r="PE8" s="52"/>
      <c r="PF8" s="52"/>
      <c r="PG8" s="52"/>
      <c r="PH8" s="52"/>
      <c r="PI8" s="52"/>
      <c r="PJ8" s="52"/>
      <c r="PK8" s="52"/>
      <c r="PL8" s="52"/>
      <c r="PM8" s="52"/>
      <c r="PN8" s="52"/>
      <c r="PO8" s="52"/>
      <c r="PP8" s="52"/>
      <c r="PQ8" s="52"/>
      <c r="PR8" s="52"/>
      <c r="PS8" s="52"/>
      <c r="PT8" s="52"/>
      <c r="PU8" s="52"/>
      <c r="PV8" s="52"/>
      <c r="PW8" s="52"/>
      <c r="PX8" s="52"/>
      <c r="PY8" s="52"/>
      <c r="PZ8" s="52"/>
      <c r="QA8" s="52"/>
      <c r="QB8" s="52"/>
      <c r="QC8" s="52"/>
      <c r="QD8" s="52"/>
      <c r="QE8" s="52"/>
      <c r="QF8" s="52"/>
      <c r="QG8" s="52"/>
      <c r="QH8" s="52"/>
      <c r="QI8" s="52"/>
      <c r="QJ8" s="52"/>
      <c r="QK8" s="52"/>
      <c r="QL8" s="52"/>
      <c r="QM8" s="52"/>
      <c r="QN8" s="52"/>
      <c r="QO8" s="52"/>
      <c r="QP8" s="52"/>
      <c r="QQ8" s="52"/>
      <c r="QR8" s="52"/>
      <c r="QS8" s="52"/>
      <c r="QT8" s="52"/>
      <c r="QU8" s="52"/>
      <c r="QV8" s="52"/>
      <c r="QW8" s="52"/>
      <c r="QX8" s="52"/>
      <c r="QY8" s="52"/>
      <c r="QZ8" s="52"/>
      <c r="RA8" s="52"/>
      <c r="RB8" s="52"/>
      <c r="RC8" s="52"/>
      <c r="RD8" s="52"/>
      <c r="RE8" s="52"/>
      <c r="RF8" s="52"/>
      <c r="RG8" s="52"/>
      <c r="RH8" s="52"/>
      <c r="RI8" s="52"/>
      <c r="RJ8" s="52"/>
      <c r="RK8" s="52"/>
      <c r="RL8" s="52"/>
      <c r="RM8" s="52"/>
      <c r="RN8" s="52"/>
      <c r="RO8" s="52"/>
      <c r="RP8" s="52"/>
      <c r="RQ8" s="52"/>
      <c r="RR8" s="52"/>
      <c r="RS8" s="52"/>
      <c r="RT8" s="52"/>
      <c r="RU8" s="52"/>
      <c r="RV8" s="52"/>
      <c r="RW8" s="52"/>
      <c r="RX8" s="52"/>
      <c r="RY8" s="52"/>
      <c r="RZ8" s="52"/>
      <c r="SA8" s="52"/>
      <c r="SB8" s="52"/>
      <c r="SC8" s="52"/>
      <c r="SD8" s="52"/>
      <c r="SE8" s="52"/>
      <c r="SF8" s="52"/>
      <c r="SG8" s="52"/>
      <c r="SH8" s="52"/>
      <c r="SI8" s="52"/>
      <c r="SJ8" s="52"/>
      <c r="SK8" s="52"/>
      <c r="SL8" s="52"/>
      <c r="SM8" s="52"/>
      <c r="SN8" s="52"/>
      <c r="SO8" s="52"/>
      <c r="SP8" s="52"/>
      <c r="SQ8" s="52"/>
      <c r="SR8" s="52"/>
      <c r="SS8" s="52"/>
      <c r="ST8" s="52"/>
      <c r="SU8" s="52"/>
      <c r="SV8" s="52"/>
      <c r="SW8" s="52"/>
      <c r="SX8" s="52"/>
      <c r="SY8" s="52"/>
      <c r="SZ8" s="52"/>
      <c r="TA8" s="52"/>
      <c r="TB8" s="52"/>
      <c r="TC8" s="52"/>
      <c r="TD8" s="52"/>
      <c r="TE8" s="52"/>
      <c r="TF8" s="52"/>
      <c r="TG8" s="52"/>
      <c r="TH8" s="52"/>
      <c r="TI8" s="52"/>
      <c r="TJ8" s="52"/>
      <c r="TK8" s="52"/>
      <c r="TL8" s="52"/>
      <c r="TM8" s="52"/>
      <c r="TN8" s="52"/>
      <c r="TO8" s="52"/>
      <c r="TP8" s="52"/>
      <c r="TQ8" s="52"/>
      <c r="TR8" s="52"/>
      <c r="TS8" s="52"/>
      <c r="TT8" s="52"/>
      <c r="TU8" s="52"/>
      <c r="TV8" s="52"/>
      <c r="TW8" s="52"/>
      <c r="TX8" s="52"/>
      <c r="TY8" s="52"/>
      <c r="TZ8" s="52"/>
      <c r="UA8" s="52"/>
      <c r="UB8" s="52"/>
      <c r="UC8" s="52"/>
      <c r="UD8" s="52"/>
      <c r="UE8" s="52"/>
      <c r="UF8" s="52"/>
      <c r="UG8" s="52"/>
      <c r="UH8" s="52"/>
      <c r="UI8" s="52"/>
      <c r="UJ8" s="52"/>
      <c r="UK8" s="52"/>
      <c r="UL8" s="52"/>
      <c r="UM8" s="52"/>
      <c r="UN8" s="52"/>
      <c r="UO8" s="52"/>
      <c r="UP8" s="52"/>
      <c r="UQ8" s="52"/>
      <c r="UR8" s="52"/>
      <c r="US8" s="52"/>
      <c r="UT8" s="52"/>
      <c r="UU8" s="52"/>
      <c r="UV8" s="52"/>
      <c r="UW8" s="52"/>
      <c r="UX8" s="52"/>
      <c r="UY8" s="52"/>
      <c r="UZ8" s="52"/>
      <c r="VA8" s="52"/>
      <c r="VB8" s="52"/>
      <c r="VC8" s="52"/>
      <c r="VD8" s="52"/>
      <c r="VE8" s="52"/>
      <c r="VF8" s="52"/>
      <c r="VG8" s="52"/>
      <c r="VH8" s="52"/>
      <c r="VI8" s="52"/>
      <c r="VJ8" s="52"/>
      <c r="VK8" s="52"/>
      <c r="VL8" s="52"/>
      <c r="VM8" s="52"/>
      <c r="VN8" s="52"/>
      <c r="VO8" s="52"/>
      <c r="VP8" s="52"/>
      <c r="VQ8" s="52"/>
      <c r="VR8" s="52"/>
      <c r="VS8" s="52"/>
      <c r="VT8" s="52"/>
      <c r="VU8" s="52"/>
      <c r="VV8" s="52"/>
      <c r="VW8" s="52"/>
      <c r="VX8" s="52"/>
      <c r="VY8" s="52"/>
      <c r="VZ8" s="52"/>
      <c r="WA8" s="52"/>
      <c r="WB8" s="52"/>
      <c r="WC8" s="52"/>
      <c r="WD8" s="52"/>
      <c r="WE8" s="52"/>
      <c r="WF8" s="52"/>
      <c r="WG8" s="52"/>
      <c r="WH8" s="52"/>
      <c r="WI8" s="52"/>
      <c r="WJ8" s="52"/>
      <c r="WK8" s="52"/>
      <c r="WL8" s="52"/>
      <c r="WM8" s="52"/>
      <c r="WN8" s="52"/>
      <c r="WO8" s="52"/>
      <c r="WP8" s="52"/>
      <c r="WQ8" s="52"/>
      <c r="WR8" s="52"/>
      <c r="WS8" s="52"/>
      <c r="WT8" s="52"/>
      <c r="WU8" s="52"/>
      <c r="WV8" s="52"/>
      <c r="WW8" s="52"/>
      <c r="WX8" s="52"/>
      <c r="WY8" s="52"/>
      <c r="WZ8" s="52"/>
      <c r="XA8" s="52"/>
      <c r="XB8" s="52"/>
      <c r="XC8" s="52"/>
      <c r="XD8" s="52"/>
      <c r="XE8" s="52"/>
      <c r="XF8" s="52"/>
      <c r="XG8" s="52"/>
      <c r="XH8" s="52"/>
      <c r="XI8" s="52"/>
      <c r="XJ8" s="52"/>
      <c r="XK8" s="52"/>
      <c r="XL8" s="52"/>
      <c r="XM8" s="52"/>
      <c r="XN8" s="52"/>
      <c r="XO8" s="52"/>
      <c r="XP8" s="52"/>
      <c r="XQ8" s="52"/>
      <c r="XR8" s="52"/>
      <c r="XS8" s="52"/>
      <c r="XT8" s="52"/>
      <c r="XU8" s="52"/>
      <c r="XV8" s="52"/>
      <c r="XW8" s="52"/>
      <c r="XX8" s="52"/>
      <c r="XY8" s="52"/>
      <c r="XZ8" s="52"/>
      <c r="YA8" s="52"/>
      <c r="YB8" s="52"/>
      <c r="YC8" s="52"/>
      <c r="YD8" s="52"/>
      <c r="YE8" s="52"/>
      <c r="YF8" s="52"/>
      <c r="YG8" s="52"/>
      <c r="YH8" s="52"/>
      <c r="YI8" s="52"/>
      <c r="YJ8" s="52"/>
      <c r="YK8" s="52"/>
      <c r="YL8" s="52"/>
      <c r="YM8" s="52"/>
      <c r="YN8" s="52"/>
      <c r="YO8" s="52"/>
      <c r="YP8" s="52"/>
      <c r="YQ8" s="52"/>
      <c r="YR8" s="52"/>
      <c r="YS8" s="52"/>
      <c r="YT8" s="52"/>
      <c r="YU8" s="52"/>
      <c r="YV8" s="52"/>
      <c r="YW8" s="52"/>
      <c r="YX8" s="52"/>
      <c r="YY8" s="52"/>
      <c r="YZ8" s="52"/>
      <c r="ZA8" s="52"/>
      <c r="ZB8" s="52"/>
      <c r="ZC8" s="52"/>
      <c r="ZD8" s="52"/>
      <c r="ZE8" s="52"/>
      <c r="ZF8" s="52"/>
      <c r="ZG8" s="52"/>
      <c r="ZH8" s="52"/>
      <c r="ZI8" s="52"/>
      <c r="ZJ8" s="52"/>
      <c r="ZK8" s="52"/>
      <c r="ZL8" s="52"/>
      <c r="ZM8" s="52"/>
      <c r="ZN8" s="52"/>
      <c r="ZO8" s="52"/>
      <c r="ZP8" s="52"/>
      <c r="ZQ8" s="52"/>
      <c r="ZR8" s="52"/>
      <c r="ZS8" s="52"/>
      <c r="ZT8" s="52"/>
      <c r="ZU8" s="52"/>
      <c r="ZV8" s="52"/>
      <c r="ZW8" s="52"/>
      <c r="ZX8" s="52"/>
      <c r="ZY8" s="52"/>
      <c r="ZZ8" s="52"/>
      <c r="AAA8" s="52"/>
      <c r="AAB8" s="52"/>
      <c r="AAC8" s="52"/>
      <c r="AAD8" s="52"/>
      <c r="AAE8" s="52"/>
      <c r="AAF8" s="52"/>
      <c r="AAG8" s="52"/>
      <c r="AAH8" s="52"/>
      <c r="AAI8" s="52"/>
      <c r="AAJ8" s="52"/>
      <c r="AAK8" s="52"/>
      <c r="AAL8" s="52"/>
      <c r="AAM8" s="52"/>
      <c r="AAN8" s="52"/>
      <c r="AAO8" s="52"/>
      <c r="AAP8" s="52"/>
      <c r="AAQ8" s="52"/>
      <c r="AAR8" s="52"/>
      <c r="AAS8" s="52"/>
      <c r="AAT8" s="52"/>
      <c r="AAU8" s="52"/>
      <c r="AAV8" s="52"/>
      <c r="AAW8" s="52"/>
      <c r="AAX8" s="52"/>
      <c r="AAY8" s="52"/>
      <c r="AAZ8" s="52"/>
      <c r="ABA8" s="52"/>
      <c r="ABB8" s="52"/>
      <c r="ABC8" s="52"/>
      <c r="ABD8" s="52"/>
      <c r="ABE8" s="52"/>
      <c r="ABF8" s="52"/>
      <c r="ABG8" s="52"/>
      <c r="ABH8" s="52"/>
      <c r="ABI8" s="52"/>
      <c r="ABJ8" s="52"/>
      <c r="ABK8" s="52"/>
      <c r="ABL8" s="52"/>
      <c r="ABM8" s="52"/>
      <c r="ABN8" s="52"/>
      <c r="ABO8" s="52"/>
      <c r="ABP8" s="52"/>
      <c r="ABQ8" s="52"/>
      <c r="ABR8" s="52"/>
      <c r="ABS8" s="52"/>
      <c r="ABT8" s="52"/>
      <c r="ABU8" s="52"/>
      <c r="ABV8" s="52"/>
      <c r="ABW8" s="52"/>
      <c r="ABX8" s="52"/>
      <c r="ABY8" s="52"/>
      <c r="ABZ8" s="52"/>
      <c r="ACA8" s="52"/>
      <c r="ACB8" s="52"/>
      <c r="ACC8" s="52"/>
      <c r="ACD8" s="52"/>
      <c r="ACE8" s="52"/>
      <c r="ACF8" s="52"/>
      <c r="ACG8" s="52"/>
      <c r="ACH8" s="52"/>
      <c r="ACI8" s="52"/>
      <c r="ACJ8" s="52"/>
      <c r="ACK8" s="52"/>
      <c r="ACL8" s="52"/>
      <c r="ACM8" s="52"/>
      <c r="ACN8" s="52"/>
      <c r="ACO8" s="52"/>
      <c r="ACP8" s="52"/>
      <c r="ACQ8" s="52"/>
      <c r="ACR8" s="52"/>
      <c r="ACS8" s="52"/>
      <c r="ACT8" s="52"/>
      <c r="ACU8" s="52"/>
      <c r="ACV8" s="52"/>
      <c r="ACW8" s="52"/>
      <c r="ACX8" s="52"/>
      <c r="ACY8" s="52"/>
      <c r="ACZ8" s="52"/>
      <c r="ADA8" s="52"/>
      <c r="ADB8" s="52"/>
      <c r="ADC8" s="52"/>
      <c r="ADD8" s="52"/>
      <c r="ADE8" s="52"/>
      <c r="ADF8" s="52"/>
      <c r="ADG8" s="52"/>
      <c r="ADH8" s="52"/>
      <c r="ADI8" s="52"/>
      <c r="ADJ8" s="52"/>
      <c r="ADK8" s="52"/>
      <c r="ADL8" s="52"/>
      <c r="ADM8" s="52"/>
      <c r="ADN8" s="52"/>
      <c r="ADO8" s="52"/>
      <c r="ADP8" s="52"/>
      <c r="ADQ8" s="52"/>
      <c r="ADR8" s="52"/>
      <c r="ADS8" s="52"/>
      <c r="ADT8" s="52"/>
      <c r="ADU8" s="52"/>
      <c r="ADV8" s="52"/>
      <c r="ADW8" s="52"/>
      <c r="ADX8" s="52"/>
      <c r="ADY8" s="52"/>
      <c r="ADZ8" s="52"/>
      <c r="AEA8" s="52"/>
      <c r="AEB8" s="52"/>
      <c r="AEC8" s="52"/>
      <c r="AED8" s="52"/>
      <c r="AEE8" s="52"/>
      <c r="AEF8" s="52"/>
      <c r="AEG8" s="52"/>
      <c r="AEH8" s="52"/>
      <c r="AEI8" s="52"/>
      <c r="AEJ8" s="52"/>
      <c r="AEK8" s="52"/>
      <c r="AEL8" s="52"/>
      <c r="AEM8" s="52"/>
      <c r="AEN8" s="52"/>
      <c r="AEO8" s="52"/>
      <c r="AEP8" s="52"/>
      <c r="AEQ8" s="52"/>
      <c r="AER8" s="52"/>
      <c r="AES8" s="52"/>
      <c r="AET8" s="52"/>
      <c r="AEU8" s="52"/>
      <c r="AEV8" s="52"/>
      <c r="AEW8" s="52"/>
      <c r="AEX8" s="52"/>
      <c r="AEY8" s="52"/>
      <c r="AEZ8" s="52"/>
      <c r="AFA8" s="52"/>
      <c r="AFB8" s="52"/>
      <c r="AFC8" s="52"/>
      <c r="AFD8" s="52"/>
      <c r="AFE8" s="52"/>
      <c r="AFF8" s="52"/>
      <c r="AFG8" s="52"/>
      <c r="AFH8" s="52"/>
      <c r="AFI8" s="52"/>
      <c r="AFJ8" s="52"/>
      <c r="AFK8" s="52"/>
      <c r="AFL8" s="52"/>
      <c r="AFM8" s="52"/>
      <c r="AFN8" s="52"/>
      <c r="AFO8" s="52"/>
      <c r="AFP8" s="52"/>
      <c r="AFQ8" s="52"/>
      <c r="AFR8" s="52"/>
      <c r="AFS8" s="52"/>
      <c r="AFT8" s="52"/>
      <c r="AFU8" s="52"/>
      <c r="AFV8" s="52"/>
      <c r="AFW8" s="52"/>
      <c r="AFX8" s="52"/>
      <c r="AFY8" s="52"/>
      <c r="AFZ8" s="52"/>
      <c r="AGA8" s="52"/>
      <c r="AGB8" s="52"/>
      <c r="AGC8" s="52"/>
      <c r="AGD8" s="52"/>
      <c r="AGE8" s="52"/>
      <c r="AGF8" s="52"/>
      <c r="AGG8" s="52"/>
      <c r="AGH8" s="52"/>
      <c r="AGI8" s="52"/>
      <c r="AGJ8" s="52"/>
      <c r="AGK8" s="52"/>
      <c r="AGL8" s="52"/>
      <c r="AGM8" s="52"/>
      <c r="AGN8" s="52"/>
      <c r="AGO8" s="52"/>
      <c r="AGP8" s="52"/>
      <c r="AGQ8" s="52"/>
      <c r="AGR8" s="52"/>
      <c r="AGS8" s="52"/>
      <c r="AGT8" s="52"/>
      <c r="AGU8" s="52"/>
      <c r="AGV8" s="52"/>
      <c r="AGW8" s="52"/>
      <c r="AGX8" s="52"/>
      <c r="AGY8" s="52"/>
      <c r="AGZ8" s="52"/>
      <c r="AHA8" s="52"/>
      <c r="AHB8" s="52"/>
      <c r="AHC8" s="52"/>
      <c r="AHD8" s="52"/>
      <c r="AHE8" s="52"/>
      <c r="AHF8" s="52"/>
      <c r="AHG8" s="52"/>
      <c r="AHH8" s="52"/>
      <c r="AHI8" s="52"/>
      <c r="AHJ8" s="52"/>
      <c r="AHK8" s="52"/>
      <c r="AHL8" s="52"/>
      <c r="AHM8" s="52"/>
      <c r="AHN8" s="52"/>
      <c r="AHO8" s="52"/>
      <c r="AHP8" s="52"/>
      <c r="AHQ8" s="52"/>
      <c r="AHR8" s="52"/>
      <c r="AHS8" s="52"/>
      <c r="AHT8" s="52"/>
      <c r="AHU8" s="52"/>
      <c r="AHV8" s="52"/>
      <c r="AHW8" s="52"/>
      <c r="AHX8" s="52"/>
      <c r="AHY8" s="52"/>
      <c r="AHZ8" s="52"/>
      <c r="AIA8" s="52"/>
      <c r="AIB8" s="52"/>
      <c r="AIC8" s="52"/>
      <c r="AID8" s="52"/>
      <c r="AIE8" s="52"/>
      <c r="AIF8" s="52"/>
      <c r="AIG8" s="52"/>
      <c r="AIH8" s="52"/>
      <c r="AII8" s="52"/>
      <c r="AIJ8" s="52"/>
      <c r="AIK8" s="52"/>
      <c r="AIL8" s="52"/>
      <c r="AIM8" s="52"/>
      <c r="AIN8" s="52"/>
      <c r="AIO8" s="52"/>
      <c r="AIP8" s="52"/>
      <c r="AIQ8" s="52"/>
      <c r="AIR8" s="52"/>
      <c r="AIS8" s="52"/>
      <c r="AIT8" s="52"/>
      <c r="AIU8" s="52"/>
      <c r="AIV8" s="52"/>
      <c r="AIW8" s="52"/>
      <c r="AIX8" s="52"/>
      <c r="AIY8" s="52"/>
      <c r="AIZ8" s="52"/>
      <c r="AJA8" s="52"/>
      <c r="AJB8" s="52"/>
      <c r="AJC8" s="52"/>
      <c r="AJD8" s="52"/>
      <c r="AJE8" s="52"/>
      <c r="AJF8" s="52"/>
      <c r="AJG8" s="52"/>
      <c r="AJH8" s="52"/>
      <c r="AJI8" s="52"/>
      <c r="AJJ8" s="52"/>
      <c r="AJK8" s="52"/>
      <c r="AJL8" s="52"/>
      <c r="AJM8" s="52"/>
      <c r="AJN8" s="52"/>
      <c r="AJO8" s="52"/>
      <c r="AJP8" s="52"/>
      <c r="AJQ8" s="52"/>
      <c r="AJR8" s="52"/>
      <c r="AJS8" s="52"/>
      <c r="AJT8" s="52"/>
      <c r="AJU8" s="52"/>
      <c r="AJV8" s="52"/>
      <c r="AJW8" s="52"/>
      <c r="AJX8" s="52"/>
      <c r="AJY8" s="52"/>
      <c r="AJZ8" s="52"/>
      <c r="AKA8" s="52"/>
      <c r="AKB8" s="52"/>
      <c r="AKC8" s="52"/>
      <c r="AKD8" s="52"/>
      <c r="AKE8" s="52"/>
      <c r="AKF8" s="52"/>
      <c r="AKG8" s="52"/>
      <c r="AKH8" s="52"/>
      <c r="AKI8" s="52"/>
      <c r="AKJ8" s="52"/>
      <c r="AKK8" s="52"/>
      <c r="AKL8" s="52"/>
      <c r="AKM8" s="52"/>
      <c r="AKN8" s="52"/>
      <c r="AKO8" s="52"/>
      <c r="AKP8" s="52"/>
      <c r="AKQ8" s="52"/>
      <c r="AKR8" s="52"/>
      <c r="AKS8" s="52"/>
      <c r="AKT8" s="52"/>
      <c r="AKU8" s="52"/>
      <c r="AKV8" s="52"/>
      <c r="AKW8" s="52"/>
      <c r="AKX8" s="52"/>
      <c r="AKY8" s="52"/>
      <c r="AKZ8" s="52"/>
      <c r="ALA8" s="52"/>
      <c r="ALB8" s="52"/>
      <c r="ALC8" s="52"/>
      <c r="ALD8" s="52"/>
      <c r="ALE8" s="52"/>
      <c r="ALF8" s="52"/>
      <c r="ALG8" s="52"/>
      <c r="ALH8" s="52"/>
      <c r="ALI8" s="52"/>
      <c r="ALJ8" s="52"/>
      <c r="ALK8" s="52"/>
      <c r="ALL8" s="52"/>
      <c r="ALM8" s="52"/>
      <c r="ALN8" s="52"/>
      <c r="ALO8" s="52"/>
      <c r="ALP8" s="52"/>
      <c r="ALQ8" s="52"/>
      <c r="ALR8" s="52"/>
      <c r="ALS8" s="52"/>
      <c r="ALT8" s="52"/>
      <c r="ALU8" s="52"/>
      <c r="ALV8" s="52"/>
      <c r="ALW8" s="52"/>
      <c r="ALX8" s="52"/>
      <c r="ALY8" s="52"/>
      <c r="ALZ8" s="52"/>
      <c r="AMA8" s="52"/>
      <c r="AMB8" s="52"/>
      <c r="AMC8" s="52"/>
      <c r="AMD8" s="52"/>
      <c r="AME8" s="52"/>
      <c r="AMF8" s="52"/>
      <c r="AMG8" s="52"/>
      <c r="AMH8" s="52"/>
      <c r="AMI8" s="52"/>
      <c r="AMJ8" s="52"/>
      <c r="AMK8" s="52"/>
    </row>
    <row r="9" spans="1:1025" ht="60" customHeight="1">
      <c r="A9" s="125"/>
      <c r="B9" s="117">
        <f>'VDI Requirements'!B35</f>
        <v>18</v>
      </c>
      <c r="C9" s="118">
        <f>'VDI Requirements'!B38</f>
        <v>260.71428571428572</v>
      </c>
      <c r="D9" s="116"/>
      <c r="E9" s="119"/>
      <c r="F9" s="120" t="s">
        <v>251</v>
      </c>
      <c r="G9" s="121"/>
      <c r="H9" s="122"/>
      <c r="I9" s="123">
        <f>SUM(G9:H9) * 1.12</f>
        <v>0</v>
      </c>
      <c r="J9" s="124">
        <f>I9*12</f>
        <v>0</v>
      </c>
    </row>
    <row r="10" spans="1:1025" ht="60" customHeight="1">
      <c r="A10" s="125"/>
      <c r="B10" s="116"/>
      <c r="C10" s="118">
        <f>'VDI Requirements'!B38</f>
        <v>260.71428571428572</v>
      </c>
      <c r="D10" s="116"/>
      <c r="E10" s="119"/>
      <c r="F10" s="120" t="s">
        <v>251</v>
      </c>
      <c r="G10" s="121"/>
      <c r="H10" s="122"/>
      <c r="I10" s="123">
        <f>SUM(G10:H10) * 1.12</f>
        <v>0</v>
      </c>
      <c r="J10" s="124">
        <f>I10*12</f>
        <v>0</v>
      </c>
    </row>
    <row r="11" spans="1:1025" ht="60" customHeight="1">
      <c r="A11" s="125"/>
      <c r="B11" s="125"/>
      <c r="C11" s="130">
        <f>'VDI Requirements'!B38</f>
        <v>260.71428571428572</v>
      </c>
      <c r="D11" s="125"/>
      <c r="E11" s="126"/>
      <c r="F11" s="120" t="s">
        <v>251</v>
      </c>
      <c r="G11" s="127"/>
      <c r="H11" s="128"/>
      <c r="I11" s="123">
        <f>SUM(G11:H11) * 1.12</f>
        <v>0</v>
      </c>
      <c r="J11" s="97">
        <f>I11*12</f>
        <v>0</v>
      </c>
    </row>
    <row r="12" spans="1:1025" s="129" customFormat="1">
      <c r="A12" s="115" t="str">
        <f>CONCATENATE('VDI Requirements'!$B$58, " VM(s)")</f>
        <v>Prod Support VM(s)</v>
      </c>
      <c r="B12" s="115"/>
      <c r="C12" s="277"/>
      <c r="D12" s="277"/>
      <c r="E12" s="277"/>
      <c r="F12" s="277"/>
      <c r="G12" s="277"/>
      <c r="H12" s="277"/>
      <c r="I12" s="277"/>
      <c r="J12" s="277"/>
      <c r="K12" s="277"/>
      <c r="L12" s="277"/>
      <c r="M12" s="277"/>
      <c r="N12" s="277"/>
      <c r="O12" s="277"/>
      <c r="P12" s="277"/>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c r="BY12" s="52"/>
      <c r="BZ12" s="52"/>
      <c r="CA12" s="52"/>
      <c r="CB12" s="52"/>
      <c r="CC12" s="52"/>
      <c r="CD12" s="52"/>
      <c r="CE12" s="52"/>
      <c r="CF12" s="52"/>
      <c r="CG12" s="52"/>
      <c r="CH12" s="52"/>
      <c r="CI12" s="52"/>
      <c r="CJ12" s="52"/>
      <c r="CK12" s="52"/>
      <c r="CL12" s="52"/>
      <c r="CM12" s="52"/>
      <c r="CN12" s="52"/>
      <c r="CO12" s="52"/>
      <c r="CP12" s="52"/>
      <c r="CQ12" s="52"/>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c r="EA12" s="52"/>
      <c r="EB12" s="52"/>
      <c r="EC12" s="52"/>
      <c r="ED12" s="52"/>
      <c r="EE12" s="52"/>
      <c r="EF12" s="52"/>
      <c r="EG12" s="52"/>
      <c r="EH12" s="52"/>
      <c r="EI12" s="52"/>
      <c r="EJ12" s="52"/>
      <c r="EK12" s="52"/>
      <c r="EL12" s="52"/>
      <c r="EM12" s="52"/>
      <c r="EN12" s="52"/>
      <c r="EO12" s="52"/>
      <c r="EP12" s="52"/>
      <c r="EQ12" s="52"/>
      <c r="ER12" s="52"/>
      <c r="ES12" s="52"/>
      <c r="ET12" s="52"/>
      <c r="EU12" s="52"/>
      <c r="EV12" s="52"/>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c r="GN12" s="52"/>
      <c r="GO12" s="52"/>
      <c r="GP12" s="52"/>
      <c r="GQ12" s="52"/>
      <c r="GR12" s="52"/>
      <c r="GS12" s="52"/>
      <c r="GT12" s="52"/>
      <c r="GU12" s="52"/>
      <c r="GV12" s="52"/>
      <c r="GW12" s="52"/>
      <c r="GX12" s="52"/>
      <c r="GY12" s="52"/>
      <c r="GZ12" s="52"/>
      <c r="HA12" s="52"/>
      <c r="HB12" s="52"/>
      <c r="HC12" s="52"/>
      <c r="HD12" s="52"/>
      <c r="HE12" s="52"/>
      <c r="HF12" s="52"/>
      <c r="HG12" s="52"/>
      <c r="HH12" s="52"/>
      <c r="HI12" s="52"/>
      <c r="HJ12" s="52"/>
      <c r="HK12" s="52"/>
      <c r="HL12" s="52"/>
      <c r="HM12" s="52"/>
      <c r="HN12" s="52"/>
      <c r="HO12" s="52"/>
      <c r="HP12" s="52"/>
      <c r="HQ12" s="52"/>
      <c r="HR12" s="52"/>
      <c r="HS12" s="52"/>
      <c r="HT12" s="52"/>
      <c r="HU12" s="52"/>
      <c r="HV12" s="52"/>
      <c r="HW12" s="52"/>
      <c r="HX12" s="52"/>
      <c r="HY12" s="52"/>
      <c r="HZ12" s="52"/>
      <c r="IA12" s="52"/>
      <c r="IB12" s="52"/>
      <c r="IC12" s="52"/>
      <c r="ID12" s="52"/>
      <c r="IE12" s="52"/>
      <c r="IF12" s="52"/>
      <c r="IG12" s="52"/>
      <c r="IH12" s="52"/>
      <c r="II12" s="52"/>
      <c r="IJ12" s="52"/>
      <c r="IK12" s="52"/>
      <c r="IL12" s="52"/>
      <c r="IM12" s="52"/>
      <c r="IN12" s="52"/>
      <c r="IO12" s="52"/>
      <c r="IP12" s="52"/>
      <c r="IQ12" s="52"/>
      <c r="IR12" s="52"/>
      <c r="IS12" s="52"/>
      <c r="IT12" s="52"/>
      <c r="IU12" s="52"/>
      <c r="IV12" s="52"/>
      <c r="IW12" s="52"/>
      <c r="IX12" s="52"/>
      <c r="IY12" s="52"/>
      <c r="IZ12" s="52"/>
      <c r="JA12" s="52"/>
      <c r="JB12" s="52"/>
      <c r="JC12" s="52"/>
      <c r="JD12" s="52"/>
      <c r="JE12" s="52"/>
      <c r="JF12" s="52"/>
      <c r="JG12" s="52"/>
      <c r="JH12" s="52"/>
      <c r="JI12" s="52"/>
      <c r="JJ12" s="52"/>
      <c r="JK12" s="52"/>
      <c r="JL12" s="52"/>
      <c r="JM12" s="52"/>
      <c r="JN12" s="52"/>
      <c r="JO12" s="52"/>
      <c r="JP12" s="52"/>
      <c r="JQ12" s="52"/>
      <c r="JR12" s="52"/>
      <c r="JS12" s="52"/>
      <c r="JT12" s="52"/>
      <c r="JU12" s="52"/>
      <c r="JV12" s="52"/>
      <c r="JW12" s="52"/>
      <c r="JX12" s="52"/>
      <c r="JY12" s="52"/>
      <c r="JZ12" s="52"/>
      <c r="KA12" s="52"/>
      <c r="KB12" s="52"/>
      <c r="KC12" s="52"/>
      <c r="KD12" s="52"/>
      <c r="KE12" s="52"/>
      <c r="KF12" s="52"/>
      <c r="KG12" s="52"/>
      <c r="KH12" s="52"/>
      <c r="KI12" s="52"/>
      <c r="KJ12" s="52"/>
      <c r="KK12" s="52"/>
      <c r="KL12" s="52"/>
      <c r="KM12" s="52"/>
      <c r="KN12" s="52"/>
      <c r="KO12" s="52"/>
      <c r="KP12" s="52"/>
      <c r="KQ12" s="52"/>
      <c r="KR12" s="52"/>
      <c r="KS12" s="52"/>
      <c r="KT12" s="52"/>
      <c r="KU12" s="52"/>
      <c r="KV12" s="52"/>
      <c r="KW12" s="52"/>
      <c r="KX12" s="52"/>
      <c r="KY12" s="52"/>
      <c r="KZ12" s="52"/>
      <c r="LA12" s="52"/>
      <c r="LB12" s="52"/>
      <c r="LC12" s="52"/>
      <c r="LD12" s="52"/>
      <c r="LE12" s="52"/>
      <c r="LF12" s="52"/>
      <c r="LG12" s="52"/>
      <c r="LH12" s="52"/>
      <c r="LI12" s="52"/>
      <c r="LJ12" s="52"/>
      <c r="LK12" s="52"/>
      <c r="LL12" s="52"/>
      <c r="LM12" s="52"/>
      <c r="LN12" s="52"/>
      <c r="LO12" s="52"/>
      <c r="LP12" s="52"/>
      <c r="LQ12" s="52"/>
      <c r="LR12" s="52"/>
      <c r="LS12" s="52"/>
      <c r="LT12" s="52"/>
      <c r="LU12" s="52"/>
      <c r="LV12" s="52"/>
      <c r="LW12" s="52"/>
      <c r="LX12" s="52"/>
      <c r="LY12" s="52"/>
      <c r="LZ12" s="52"/>
      <c r="MA12" s="52"/>
      <c r="MB12" s="52"/>
      <c r="MC12" s="52"/>
      <c r="MD12" s="52"/>
      <c r="ME12" s="52"/>
      <c r="MF12" s="52"/>
      <c r="MG12" s="52"/>
      <c r="MH12" s="52"/>
      <c r="MI12" s="52"/>
      <c r="MJ12" s="52"/>
      <c r="MK12" s="52"/>
      <c r="ML12" s="52"/>
      <c r="MM12" s="52"/>
      <c r="MN12" s="52"/>
      <c r="MO12" s="52"/>
      <c r="MP12" s="52"/>
      <c r="MQ12" s="52"/>
      <c r="MR12" s="52"/>
      <c r="MS12" s="52"/>
      <c r="MT12" s="52"/>
      <c r="MU12" s="52"/>
      <c r="MV12" s="52"/>
      <c r="MW12" s="52"/>
      <c r="MX12" s="52"/>
      <c r="MY12" s="52"/>
      <c r="MZ12" s="52"/>
      <c r="NA12" s="52"/>
      <c r="NB12" s="52"/>
      <c r="NC12" s="52"/>
      <c r="ND12" s="52"/>
      <c r="NE12" s="52"/>
      <c r="NF12" s="52"/>
      <c r="NG12" s="52"/>
      <c r="NH12" s="52"/>
      <c r="NI12" s="52"/>
      <c r="NJ12" s="52"/>
      <c r="NK12" s="52"/>
      <c r="NL12" s="52"/>
      <c r="NM12" s="52"/>
      <c r="NN12" s="52"/>
      <c r="NO12" s="52"/>
      <c r="NP12" s="52"/>
      <c r="NQ12" s="52"/>
      <c r="NR12" s="52"/>
      <c r="NS12" s="52"/>
      <c r="NT12" s="52"/>
      <c r="NU12" s="52"/>
      <c r="NV12" s="52"/>
      <c r="NW12" s="52"/>
      <c r="NX12" s="52"/>
      <c r="NY12" s="52"/>
      <c r="NZ12" s="52"/>
      <c r="OA12" s="52"/>
      <c r="OB12" s="52"/>
      <c r="OC12" s="52"/>
      <c r="OD12" s="52"/>
      <c r="OE12" s="52"/>
      <c r="OF12" s="52"/>
      <c r="OG12" s="52"/>
      <c r="OH12" s="52"/>
      <c r="OI12" s="52"/>
      <c r="OJ12" s="52"/>
      <c r="OK12" s="52"/>
      <c r="OL12" s="52"/>
      <c r="OM12" s="52"/>
      <c r="ON12" s="52"/>
      <c r="OO12" s="52"/>
      <c r="OP12" s="52"/>
      <c r="OQ12" s="52"/>
      <c r="OR12" s="52"/>
      <c r="OS12" s="52"/>
      <c r="OT12" s="52"/>
      <c r="OU12" s="52"/>
      <c r="OV12" s="52"/>
      <c r="OW12" s="52"/>
      <c r="OX12" s="52"/>
      <c r="OY12" s="52"/>
      <c r="OZ12" s="52"/>
      <c r="PA12" s="52"/>
      <c r="PB12" s="52"/>
      <c r="PC12" s="52"/>
      <c r="PD12" s="52"/>
      <c r="PE12" s="52"/>
      <c r="PF12" s="52"/>
      <c r="PG12" s="52"/>
      <c r="PH12" s="52"/>
      <c r="PI12" s="52"/>
      <c r="PJ12" s="52"/>
      <c r="PK12" s="52"/>
      <c r="PL12" s="52"/>
      <c r="PM12" s="52"/>
      <c r="PN12" s="52"/>
      <c r="PO12" s="52"/>
      <c r="PP12" s="52"/>
      <c r="PQ12" s="52"/>
      <c r="PR12" s="52"/>
      <c r="PS12" s="52"/>
      <c r="PT12" s="52"/>
      <c r="PU12" s="52"/>
      <c r="PV12" s="52"/>
      <c r="PW12" s="52"/>
      <c r="PX12" s="52"/>
      <c r="PY12" s="52"/>
      <c r="PZ12" s="52"/>
      <c r="QA12" s="52"/>
      <c r="QB12" s="52"/>
      <c r="QC12" s="52"/>
      <c r="QD12" s="52"/>
      <c r="QE12" s="52"/>
      <c r="QF12" s="52"/>
      <c r="QG12" s="52"/>
      <c r="QH12" s="52"/>
      <c r="QI12" s="52"/>
      <c r="QJ12" s="52"/>
      <c r="QK12" s="52"/>
      <c r="QL12" s="52"/>
      <c r="QM12" s="52"/>
      <c r="QN12" s="52"/>
      <c r="QO12" s="52"/>
      <c r="QP12" s="52"/>
      <c r="QQ12" s="52"/>
      <c r="QR12" s="52"/>
      <c r="QS12" s="52"/>
      <c r="QT12" s="52"/>
      <c r="QU12" s="52"/>
      <c r="QV12" s="52"/>
      <c r="QW12" s="52"/>
      <c r="QX12" s="52"/>
      <c r="QY12" s="52"/>
      <c r="QZ12" s="52"/>
      <c r="RA12" s="52"/>
      <c r="RB12" s="52"/>
      <c r="RC12" s="52"/>
      <c r="RD12" s="52"/>
      <c r="RE12" s="52"/>
      <c r="RF12" s="52"/>
      <c r="RG12" s="52"/>
      <c r="RH12" s="52"/>
      <c r="RI12" s="52"/>
      <c r="RJ12" s="52"/>
      <c r="RK12" s="52"/>
      <c r="RL12" s="52"/>
      <c r="RM12" s="52"/>
      <c r="RN12" s="52"/>
      <c r="RO12" s="52"/>
      <c r="RP12" s="52"/>
      <c r="RQ12" s="52"/>
      <c r="RR12" s="52"/>
      <c r="RS12" s="52"/>
      <c r="RT12" s="52"/>
      <c r="RU12" s="52"/>
      <c r="RV12" s="52"/>
      <c r="RW12" s="52"/>
      <c r="RX12" s="52"/>
      <c r="RY12" s="52"/>
      <c r="RZ12" s="52"/>
      <c r="SA12" s="52"/>
      <c r="SB12" s="52"/>
      <c r="SC12" s="52"/>
      <c r="SD12" s="52"/>
      <c r="SE12" s="52"/>
      <c r="SF12" s="52"/>
      <c r="SG12" s="52"/>
      <c r="SH12" s="52"/>
      <c r="SI12" s="52"/>
      <c r="SJ12" s="52"/>
      <c r="SK12" s="52"/>
      <c r="SL12" s="52"/>
      <c r="SM12" s="52"/>
      <c r="SN12" s="52"/>
      <c r="SO12" s="52"/>
      <c r="SP12" s="52"/>
      <c r="SQ12" s="52"/>
      <c r="SR12" s="52"/>
      <c r="SS12" s="52"/>
      <c r="ST12" s="52"/>
      <c r="SU12" s="52"/>
      <c r="SV12" s="52"/>
      <c r="SW12" s="52"/>
      <c r="SX12" s="52"/>
      <c r="SY12" s="52"/>
      <c r="SZ12" s="52"/>
      <c r="TA12" s="52"/>
      <c r="TB12" s="52"/>
      <c r="TC12" s="52"/>
      <c r="TD12" s="52"/>
      <c r="TE12" s="52"/>
      <c r="TF12" s="52"/>
      <c r="TG12" s="52"/>
      <c r="TH12" s="52"/>
      <c r="TI12" s="52"/>
      <c r="TJ12" s="52"/>
      <c r="TK12" s="52"/>
      <c r="TL12" s="52"/>
      <c r="TM12" s="52"/>
      <c r="TN12" s="52"/>
      <c r="TO12" s="52"/>
      <c r="TP12" s="52"/>
      <c r="TQ12" s="52"/>
      <c r="TR12" s="52"/>
      <c r="TS12" s="52"/>
      <c r="TT12" s="52"/>
      <c r="TU12" s="52"/>
      <c r="TV12" s="52"/>
      <c r="TW12" s="52"/>
      <c r="TX12" s="52"/>
      <c r="TY12" s="52"/>
      <c r="TZ12" s="52"/>
      <c r="UA12" s="52"/>
      <c r="UB12" s="52"/>
      <c r="UC12" s="52"/>
      <c r="UD12" s="52"/>
      <c r="UE12" s="52"/>
      <c r="UF12" s="52"/>
      <c r="UG12" s="52"/>
      <c r="UH12" s="52"/>
      <c r="UI12" s="52"/>
      <c r="UJ12" s="52"/>
      <c r="UK12" s="52"/>
      <c r="UL12" s="52"/>
      <c r="UM12" s="52"/>
      <c r="UN12" s="52"/>
      <c r="UO12" s="52"/>
      <c r="UP12" s="52"/>
      <c r="UQ12" s="52"/>
      <c r="UR12" s="52"/>
      <c r="US12" s="52"/>
      <c r="UT12" s="52"/>
      <c r="UU12" s="52"/>
      <c r="UV12" s="52"/>
      <c r="UW12" s="52"/>
      <c r="UX12" s="52"/>
      <c r="UY12" s="52"/>
      <c r="UZ12" s="52"/>
      <c r="VA12" s="52"/>
      <c r="VB12" s="52"/>
      <c r="VC12" s="52"/>
      <c r="VD12" s="52"/>
      <c r="VE12" s="52"/>
      <c r="VF12" s="52"/>
      <c r="VG12" s="52"/>
      <c r="VH12" s="52"/>
      <c r="VI12" s="52"/>
      <c r="VJ12" s="52"/>
      <c r="VK12" s="52"/>
      <c r="VL12" s="52"/>
      <c r="VM12" s="52"/>
      <c r="VN12" s="52"/>
      <c r="VO12" s="52"/>
      <c r="VP12" s="52"/>
      <c r="VQ12" s="52"/>
      <c r="VR12" s="52"/>
      <c r="VS12" s="52"/>
      <c r="VT12" s="52"/>
      <c r="VU12" s="52"/>
      <c r="VV12" s="52"/>
      <c r="VW12" s="52"/>
      <c r="VX12" s="52"/>
      <c r="VY12" s="52"/>
      <c r="VZ12" s="52"/>
      <c r="WA12" s="52"/>
      <c r="WB12" s="52"/>
      <c r="WC12" s="52"/>
      <c r="WD12" s="52"/>
      <c r="WE12" s="52"/>
      <c r="WF12" s="52"/>
      <c r="WG12" s="52"/>
      <c r="WH12" s="52"/>
      <c r="WI12" s="52"/>
      <c r="WJ12" s="52"/>
      <c r="WK12" s="52"/>
      <c r="WL12" s="52"/>
      <c r="WM12" s="52"/>
      <c r="WN12" s="52"/>
      <c r="WO12" s="52"/>
      <c r="WP12" s="52"/>
      <c r="WQ12" s="52"/>
      <c r="WR12" s="52"/>
      <c r="WS12" s="52"/>
      <c r="WT12" s="52"/>
      <c r="WU12" s="52"/>
      <c r="WV12" s="52"/>
      <c r="WW12" s="52"/>
      <c r="WX12" s="52"/>
      <c r="WY12" s="52"/>
      <c r="WZ12" s="52"/>
      <c r="XA12" s="52"/>
      <c r="XB12" s="52"/>
      <c r="XC12" s="52"/>
      <c r="XD12" s="52"/>
      <c r="XE12" s="52"/>
      <c r="XF12" s="52"/>
      <c r="XG12" s="52"/>
      <c r="XH12" s="52"/>
      <c r="XI12" s="52"/>
      <c r="XJ12" s="52"/>
      <c r="XK12" s="52"/>
      <c r="XL12" s="52"/>
      <c r="XM12" s="52"/>
      <c r="XN12" s="52"/>
      <c r="XO12" s="52"/>
      <c r="XP12" s="52"/>
      <c r="XQ12" s="52"/>
      <c r="XR12" s="52"/>
      <c r="XS12" s="52"/>
      <c r="XT12" s="52"/>
      <c r="XU12" s="52"/>
      <c r="XV12" s="52"/>
      <c r="XW12" s="52"/>
      <c r="XX12" s="52"/>
      <c r="XY12" s="52"/>
      <c r="XZ12" s="52"/>
      <c r="YA12" s="52"/>
      <c r="YB12" s="52"/>
      <c r="YC12" s="52"/>
      <c r="YD12" s="52"/>
      <c r="YE12" s="52"/>
      <c r="YF12" s="52"/>
      <c r="YG12" s="52"/>
      <c r="YH12" s="52"/>
      <c r="YI12" s="52"/>
      <c r="YJ12" s="52"/>
      <c r="YK12" s="52"/>
      <c r="YL12" s="52"/>
      <c r="YM12" s="52"/>
      <c r="YN12" s="52"/>
      <c r="YO12" s="52"/>
      <c r="YP12" s="52"/>
      <c r="YQ12" s="52"/>
      <c r="YR12" s="52"/>
      <c r="YS12" s="52"/>
      <c r="YT12" s="52"/>
      <c r="YU12" s="52"/>
      <c r="YV12" s="52"/>
      <c r="YW12" s="52"/>
      <c r="YX12" s="52"/>
      <c r="YY12" s="52"/>
      <c r="YZ12" s="52"/>
      <c r="ZA12" s="52"/>
      <c r="ZB12" s="52"/>
      <c r="ZC12" s="52"/>
      <c r="ZD12" s="52"/>
      <c r="ZE12" s="52"/>
      <c r="ZF12" s="52"/>
      <c r="ZG12" s="52"/>
      <c r="ZH12" s="52"/>
      <c r="ZI12" s="52"/>
      <c r="ZJ12" s="52"/>
      <c r="ZK12" s="52"/>
      <c r="ZL12" s="52"/>
      <c r="ZM12" s="52"/>
      <c r="ZN12" s="52"/>
      <c r="ZO12" s="52"/>
      <c r="ZP12" s="52"/>
      <c r="ZQ12" s="52"/>
      <c r="ZR12" s="52"/>
      <c r="ZS12" s="52"/>
      <c r="ZT12" s="52"/>
      <c r="ZU12" s="52"/>
      <c r="ZV12" s="52"/>
      <c r="ZW12" s="52"/>
      <c r="ZX12" s="52"/>
      <c r="ZY12" s="52"/>
      <c r="ZZ12" s="52"/>
      <c r="AAA12" s="52"/>
      <c r="AAB12" s="52"/>
      <c r="AAC12" s="52"/>
      <c r="AAD12" s="52"/>
      <c r="AAE12" s="52"/>
      <c r="AAF12" s="52"/>
      <c r="AAG12" s="52"/>
      <c r="AAH12" s="52"/>
      <c r="AAI12" s="52"/>
      <c r="AAJ12" s="52"/>
      <c r="AAK12" s="52"/>
      <c r="AAL12" s="52"/>
      <c r="AAM12" s="52"/>
      <c r="AAN12" s="52"/>
      <c r="AAO12" s="52"/>
      <c r="AAP12" s="52"/>
      <c r="AAQ12" s="52"/>
      <c r="AAR12" s="52"/>
      <c r="AAS12" s="52"/>
      <c r="AAT12" s="52"/>
      <c r="AAU12" s="52"/>
      <c r="AAV12" s="52"/>
      <c r="AAW12" s="52"/>
      <c r="AAX12" s="52"/>
      <c r="AAY12" s="52"/>
      <c r="AAZ12" s="52"/>
      <c r="ABA12" s="52"/>
      <c r="ABB12" s="52"/>
      <c r="ABC12" s="52"/>
      <c r="ABD12" s="52"/>
      <c r="ABE12" s="52"/>
      <c r="ABF12" s="52"/>
      <c r="ABG12" s="52"/>
      <c r="ABH12" s="52"/>
      <c r="ABI12" s="52"/>
      <c r="ABJ12" s="52"/>
      <c r="ABK12" s="52"/>
      <c r="ABL12" s="52"/>
      <c r="ABM12" s="52"/>
      <c r="ABN12" s="52"/>
      <c r="ABO12" s="52"/>
      <c r="ABP12" s="52"/>
      <c r="ABQ12" s="52"/>
      <c r="ABR12" s="52"/>
      <c r="ABS12" s="52"/>
      <c r="ABT12" s="52"/>
      <c r="ABU12" s="52"/>
      <c r="ABV12" s="52"/>
      <c r="ABW12" s="52"/>
      <c r="ABX12" s="52"/>
      <c r="ABY12" s="52"/>
      <c r="ABZ12" s="52"/>
      <c r="ACA12" s="52"/>
      <c r="ACB12" s="52"/>
      <c r="ACC12" s="52"/>
      <c r="ACD12" s="52"/>
      <c r="ACE12" s="52"/>
      <c r="ACF12" s="52"/>
      <c r="ACG12" s="52"/>
      <c r="ACH12" s="52"/>
      <c r="ACI12" s="52"/>
      <c r="ACJ12" s="52"/>
      <c r="ACK12" s="52"/>
      <c r="ACL12" s="52"/>
      <c r="ACM12" s="52"/>
      <c r="ACN12" s="52"/>
      <c r="ACO12" s="52"/>
      <c r="ACP12" s="52"/>
      <c r="ACQ12" s="52"/>
      <c r="ACR12" s="52"/>
      <c r="ACS12" s="52"/>
      <c r="ACT12" s="52"/>
      <c r="ACU12" s="52"/>
      <c r="ACV12" s="52"/>
      <c r="ACW12" s="52"/>
      <c r="ACX12" s="52"/>
      <c r="ACY12" s="52"/>
      <c r="ACZ12" s="52"/>
      <c r="ADA12" s="52"/>
      <c r="ADB12" s="52"/>
      <c r="ADC12" s="52"/>
      <c r="ADD12" s="52"/>
      <c r="ADE12" s="52"/>
      <c r="ADF12" s="52"/>
      <c r="ADG12" s="52"/>
      <c r="ADH12" s="52"/>
      <c r="ADI12" s="52"/>
      <c r="ADJ12" s="52"/>
      <c r="ADK12" s="52"/>
      <c r="ADL12" s="52"/>
      <c r="ADM12" s="52"/>
      <c r="ADN12" s="52"/>
      <c r="ADO12" s="52"/>
      <c r="ADP12" s="52"/>
      <c r="ADQ12" s="52"/>
      <c r="ADR12" s="52"/>
      <c r="ADS12" s="52"/>
      <c r="ADT12" s="52"/>
      <c r="ADU12" s="52"/>
      <c r="ADV12" s="52"/>
      <c r="ADW12" s="52"/>
      <c r="ADX12" s="52"/>
      <c r="ADY12" s="52"/>
      <c r="ADZ12" s="52"/>
      <c r="AEA12" s="52"/>
      <c r="AEB12" s="52"/>
      <c r="AEC12" s="52"/>
      <c r="AED12" s="52"/>
      <c r="AEE12" s="52"/>
      <c r="AEF12" s="52"/>
      <c r="AEG12" s="52"/>
      <c r="AEH12" s="52"/>
      <c r="AEI12" s="52"/>
      <c r="AEJ12" s="52"/>
      <c r="AEK12" s="52"/>
      <c r="AEL12" s="52"/>
      <c r="AEM12" s="52"/>
      <c r="AEN12" s="52"/>
      <c r="AEO12" s="52"/>
      <c r="AEP12" s="52"/>
      <c r="AEQ12" s="52"/>
      <c r="AER12" s="52"/>
      <c r="AES12" s="52"/>
      <c r="AET12" s="52"/>
      <c r="AEU12" s="52"/>
      <c r="AEV12" s="52"/>
      <c r="AEW12" s="52"/>
      <c r="AEX12" s="52"/>
      <c r="AEY12" s="52"/>
      <c r="AEZ12" s="52"/>
      <c r="AFA12" s="52"/>
      <c r="AFB12" s="52"/>
      <c r="AFC12" s="52"/>
      <c r="AFD12" s="52"/>
      <c r="AFE12" s="52"/>
      <c r="AFF12" s="52"/>
      <c r="AFG12" s="52"/>
      <c r="AFH12" s="52"/>
      <c r="AFI12" s="52"/>
      <c r="AFJ12" s="52"/>
      <c r="AFK12" s="52"/>
      <c r="AFL12" s="52"/>
      <c r="AFM12" s="52"/>
      <c r="AFN12" s="52"/>
      <c r="AFO12" s="52"/>
      <c r="AFP12" s="52"/>
      <c r="AFQ12" s="52"/>
      <c r="AFR12" s="52"/>
      <c r="AFS12" s="52"/>
      <c r="AFT12" s="52"/>
      <c r="AFU12" s="52"/>
      <c r="AFV12" s="52"/>
      <c r="AFW12" s="52"/>
      <c r="AFX12" s="52"/>
      <c r="AFY12" s="52"/>
      <c r="AFZ12" s="52"/>
      <c r="AGA12" s="52"/>
      <c r="AGB12" s="52"/>
      <c r="AGC12" s="52"/>
      <c r="AGD12" s="52"/>
      <c r="AGE12" s="52"/>
      <c r="AGF12" s="52"/>
      <c r="AGG12" s="52"/>
      <c r="AGH12" s="52"/>
      <c r="AGI12" s="52"/>
      <c r="AGJ12" s="52"/>
      <c r="AGK12" s="52"/>
      <c r="AGL12" s="52"/>
      <c r="AGM12" s="52"/>
      <c r="AGN12" s="52"/>
      <c r="AGO12" s="52"/>
      <c r="AGP12" s="52"/>
      <c r="AGQ12" s="52"/>
      <c r="AGR12" s="52"/>
      <c r="AGS12" s="52"/>
      <c r="AGT12" s="52"/>
      <c r="AGU12" s="52"/>
      <c r="AGV12" s="52"/>
      <c r="AGW12" s="52"/>
      <c r="AGX12" s="52"/>
      <c r="AGY12" s="52"/>
      <c r="AGZ12" s="52"/>
      <c r="AHA12" s="52"/>
      <c r="AHB12" s="52"/>
      <c r="AHC12" s="52"/>
      <c r="AHD12" s="52"/>
      <c r="AHE12" s="52"/>
      <c r="AHF12" s="52"/>
      <c r="AHG12" s="52"/>
      <c r="AHH12" s="52"/>
      <c r="AHI12" s="52"/>
      <c r="AHJ12" s="52"/>
      <c r="AHK12" s="52"/>
      <c r="AHL12" s="52"/>
      <c r="AHM12" s="52"/>
      <c r="AHN12" s="52"/>
      <c r="AHO12" s="52"/>
      <c r="AHP12" s="52"/>
      <c r="AHQ12" s="52"/>
      <c r="AHR12" s="52"/>
      <c r="AHS12" s="52"/>
      <c r="AHT12" s="52"/>
      <c r="AHU12" s="52"/>
      <c r="AHV12" s="52"/>
      <c r="AHW12" s="52"/>
      <c r="AHX12" s="52"/>
      <c r="AHY12" s="52"/>
      <c r="AHZ12" s="52"/>
      <c r="AIA12" s="52"/>
      <c r="AIB12" s="52"/>
      <c r="AIC12" s="52"/>
      <c r="AID12" s="52"/>
      <c r="AIE12" s="52"/>
      <c r="AIF12" s="52"/>
      <c r="AIG12" s="52"/>
      <c r="AIH12" s="52"/>
      <c r="AII12" s="52"/>
      <c r="AIJ12" s="52"/>
      <c r="AIK12" s="52"/>
      <c r="AIL12" s="52"/>
      <c r="AIM12" s="52"/>
      <c r="AIN12" s="52"/>
      <c r="AIO12" s="52"/>
      <c r="AIP12" s="52"/>
      <c r="AIQ12" s="52"/>
      <c r="AIR12" s="52"/>
      <c r="AIS12" s="52"/>
      <c r="AIT12" s="52"/>
      <c r="AIU12" s="52"/>
      <c r="AIV12" s="52"/>
      <c r="AIW12" s="52"/>
      <c r="AIX12" s="52"/>
      <c r="AIY12" s="52"/>
      <c r="AIZ12" s="52"/>
      <c r="AJA12" s="52"/>
      <c r="AJB12" s="52"/>
      <c r="AJC12" s="52"/>
      <c r="AJD12" s="52"/>
      <c r="AJE12" s="52"/>
      <c r="AJF12" s="52"/>
      <c r="AJG12" s="52"/>
      <c r="AJH12" s="52"/>
      <c r="AJI12" s="52"/>
      <c r="AJJ12" s="52"/>
      <c r="AJK12" s="52"/>
      <c r="AJL12" s="52"/>
      <c r="AJM12" s="52"/>
      <c r="AJN12" s="52"/>
      <c r="AJO12" s="52"/>
      <c r="AJP12" s="52"/>
      <c r="AJQ12" s="52"/>
      <c r="AJR12" s="52"/>
      <c r="AJS12" s="52"/>
      <c r="AJT12" s="52"/>
      <c r="AJU12" s="52"/>
      <c r="AJV12" s="52"/>
      <c r="AJW12" s="52"/>
      <c r="AJX12" s="52"/>
      <c r="AJY12" s="52"/>
      <c r="AJZ12" s="52"/>
      <c r="AKA12" s="52"/>
      <c r="AKB12" s="52"/>
      <c r="AKC12" s="52"/>
      <c r="AKD12" s="52"/>
      <c r="AKE12" s="52"/>
      <c r="AKF12" s="52"/>
      <c r="AKG12" s="52"/>
      <c r="AKH12" s="52"/>
      <c r="AKI12" s="52"/>
      <c r="AKJ12" s="52"/>
      <c r="AKK12" s="52"/>
      <c r="AKL12" s="52"/>
      <c r="AKM12" s="52"/>
      <c r="AKN12" s="52"/>
      <c r="AKO12" s="52"/>
      <c r="AKP12" s="52"/>
      <c r="AKQ12" s="52"/>
      <c r="AKR12" s="52"/>
      <c r="AKS12" s="52"/>
      <c r="AKT12" s="52"/>
      <c r="AKU12" s="52"/>
      <c r="AKV12" s="52"/>
      <c r="AKW12" s="52"/>
      <c r="AKX12" s="52"/>
      <c r="AKY12" s="52"/>
      <c r="AKZ12" s="52"/>
      <c r="ALA12" s="52"/>
      <c r="ALB12" s="52"/>
      <c r="ALC12" s="52"/>
      <c r="ALD12" s="52"/>
      <c r="ALE12" s="52"/>
      <c r="ALF12" s="52"/>
      <c r="ALG12" s="52"/>
      <c r="ALH12" s="52"/>
      <c r="ALI12" s="52"/>
      <c r="ALJ12" s="52"/>
      <c r="ALK12" s="52"/>
      <c r="ALL12" s="52"/>
      <c r="ALM12" s="52"/>
      <c r="ALN12" s="52"/>
      <c r="ALO12" s="52"/>
      <c r="ALP12" s="52"/>
      <c r="ALQ12" s="52"/>
      <c r="ALR12" s="52"/>
      <c r="ALS12" s="52"/>
      <c r="ALT12" s="52"/>
      <c r="ALU12" s="52"/>
      <c r="ALV12" s="52"/>
      <c r="ALW12" s="52"/>
      <c r="ALX12" s="52"/>
      <c r="ALY12" s="52"/>
      <c r="ALZ12" s="52"/>
      <c r="AMA12" s="52"/>
      <c r="AMB12" s="52"/>
      <c r="AMC12" s="52"/>
      <c r="AMD12" s="52"/>
      <c r="AME12" s="52"/>
      <c r="AMF12" s="52"/>
      <c r="AMG12" s="52"/>
      <c r="AMH12" s="52"/>
      <c r="AMI12" s="52"/>
      <c r="AMJ12" s="52"/>
      <c r="AMK12" s="52"/>
    </row>
    <row r="13" spans="1:1025" ht="60" customHeight="1">
      <c r="A13" s="116"/>
      <c r="B13" s="117">
        <f>'VDI Requirements'!B61</f>
        <v>60</v>
      </c>
      <c r="C13" s="118">
        <f>'VDI Requirements'!B64</f>
        <v>260.71428571428572</v>
      </c>
      <c r="D13" s="116"/>
      <c r="E13" s="119"/>
      <c r="F13" s="120" t="s">
        <v>251</v>
      </c>
      <c r="G13" s="121"/>
      <c r="H13" s="122"/>
      <c r="I13" s="123">
        <f>SUM(G13:H13) * 1.12</f>
        <v>0</v>
      </c>
      <c r="J13" s="124">
        <f>I13*12</f>
        <v>0</v>
      </c>
    </row>
    <row r="14" spans="1:1025" ht="60" customHeight="1">
      <c r="A14" s="116"/>
      <c r="B14" s="116"/>
      <c r="C14" s="118">
        <f>'VDI Requirements'!B64</f>
        <v>260.71428571428572</v>
      </c>
      <c r="D14" s="116"/>
      <c r="E14" s="119"/>
      <c r="F14" s="120" t="s">
        <v>251</v>
      </c>
      <c r="G14" s="121"/>
      <c r="H14" s="122"/>
      <c r="I14" s="123">
        <f>SUM(G14:H14) * 1.12</f>
        <v>0</v>
      </c>
      <c r="J14" s="124">
        <f>I14*12</f>
        <v>0</v>
      </c>
    </row>
    <row r="15" spans="1:1025" s="132" customFormat="1" ht="60" customHeight="1">
      <c r="A15" s="125"/>
      <c r="B15" s="116"/>
      <c r="C15" s="118">
        <f>'VDI Requirements'!B64</f>
        <v>260.71428571428572</v>
      </c>
      <c r="D15" s="125"/>
      <c r="E15" s="126"/>
      <c r="F15" s="120" t="s">
        <v>251</v>
      </c>
      <c r="G15" s="127"/>
      <c r="H15" s="128"/>
      <c r="I15" s="123">
        <f>SUM(G15:H15) * 1.12</f>
        <v>0</v>
      </c>
      <c r="J15" s="124">
        <f>I15*12</f>
        <v>0</v>
      </c>
      <c r="K15" s="131"/>
      <c r="L15" s="131"/>
      <c r="M15" s="131"/>
      <c r="N15" s="131"/>
      <c r="O15" s="131"/>
      <c r="P15" s="131"/>
      <c r="Q15" s="131"/>
      <c r="R15" s="131"/>
      <c r="S15" s="131"/>
      <c r="T15" s="131"/>
      <c r="U15" s="131"/>
      <c r="V15" s="131"/>
      <c r="W15" s="131"/>
      <c r="X15" s="131"/>
      <c r="Y15" s="131"/>
      <c r="Z15" s="131"/>
      <c r="AA15" s="131"/>
      <c r="AB15" s="131"/>
      <c r="AC15" s="131"/>
      <c r="AD15" s="131"/>
      <c r="AE15" s="131"/>
      <c r="AF15" s="131"/>
      <c r="AG15" s="131"/>
      <c r="AH15" s="131"/>
      <c r="AI15" s="131"/>
      <c r="AJ15" s="131"/>
      <c r="AK15" s="131"/>
      <c r="AL15" s="131"/>
      <c r="AM15" s="131"/>
      <c r="AN15" s="131"/>
      <c r="AO15" s="131"/>
      <c r="AP15" s="131"/>
      <c r="AQ15" s="131"/>
      <c r="AR15" s="131"/>
      <c r="AS15" s="131"/>
      <c r="AT15" s="131"/>
      <c r="AU15" s="131"/>
      <c r="AV15" s="131"/>
      <c r="AW15" s="131"/>
      <c r="AX15" s="131"/>
      <c r="AY15" s="131"/>
      <c r="AZ15" s="131"/>
      <c r="BA15" s="131"/>
      <c r="BB15" s="131"/>
      <c r="BC15" s="131"/>
      <c r="BD15" s="131"/>
      <c r="BE15" s="131"/>
      <c r="BF15" s="131"/>
      <c r="BG15" s="131"/>
      <c r="BH15" s="131"/>
      <c r="BI15" s="131"/>
      <c r="BJ15" s="131"/>
      <c r="BK15" s="131"/>
      <c r="BL15" s="131"/>
      <c r="BM15" s="131"/>
      <c r="BN15" s="131"/>
      <c r="BO15" s="131"/>
      <c r="BP15" s="131"/>
      <c r="BQ15" s="131"/>
      <c r="BR15" s="131"/>
      <c r="BS15" s="131"/>
      <c r="BT15" s="131"/>
      <c r="BU15" s="131"/>
      <c r="BV15" s="131"/>
      <c r="BW15" s="131"/>
      <c r="BX15" s="131"/>
      <c r="BY15" s="131"/>
      <c r="BZ15" s="131"/>
      <c r="CA15" s="131"/>
      <c r="CB15" s="131"/>
      <c r="CC15" s="131"/>
      <c r="CD15" s="131"/>
      <c r="CE15" s="131"/>
      <c r="CF15" s="131"/>
      <c r="CG15" s="131"/>
      <c r="CH15" s="131"/>
      <c r="CI15" s="131"/>
      <c r="CJ15" s="131"/>
      <c r="CK15" s="131"/>
      <c r="CL15" s="131"/>
      <c r="CM15" s="131"/>
      <c r="CN15" s="131"/>
      <c r="CO15" s="131"/>
      <c r="CP15" s="131"/>
      <c r="CQ15" s="131"/>
      <c r="CR15" s="131"/>
      <c r="CS15" s="131"/>
      <c r="CT15" s="131"/>
      <c r="CU15" s="131"/>
      <c r="CV15" s="131"/>
      <c r="CW15" s="131"/>
      <c r="CX15" s="131"/>
      <c r="CY15" s="131"/>
      <c r="CZ15" s="131"/>
      <c r="DA15" s="131"/>
      <c r="DB15" s="131"/>
      <c r="DC15" s="131"/>
      <c r="DD15" s="131"/>
      <c r="DE15" s="131"/>
      <c r="DF15" s="131"/>
      <c r="DG15" s="131"/>
      <c r="DH15" s="131"/>
      <c r="DI15" s="131"/>
      <c r="DJ15" s="131"/>
      <c r="DK15" s="131"/>
      <c r="DL15" s="131"/>
      <c r="DM15" s="131"/>
      <c r="DN15" s="131"/>
      <c r="DO15" s="131"/>
      <c r="DP15" s="131"/>
      <c r="DQ15" s="131"/>
      <c r="DR15" s="131"/>
      <c r="DS15" s="131"/>
      <c r="DT15" s="131"/>
      <c r="DU15" s="131"/>
      <c r="DV15" s="131"/>
      <c r="DW15" s="131"/>
      <c r="DX15" s="131"/>
      <c r="DY15" s="131"/>
      <c r="DZ15" s="131"/>
      <c r="EA15" s="131"/>
      <c r="EB15" s="131"/>
      <c r="EC15" s="131"/>
      <c r="ED15" s="131"/>
      <c r="EE15" s="131"/>
      <c r="EF15" s="131"/>
      <c r="EG15" s="131"/>
      <c r="EH15" s="131"/>
      <c r="EI15" s="131"/>
      <c r="EJ15" s="131"/>
      <c r="EK15" s="131"/>
      <c r="EL15" s="131"/>
      <c r="EM15" s="131"/>
      <c r="EN15" s="131"/>
      <c r="EO15" s="131"/>
      <c r="EP15" s="131"/>
      <c r="EQ15" s="131"/>
      <c r="ER15" s="131"/>
      <c r="ES15" s="131"/>
      <c r="ET15" s="131"/>
      <c r="EU15" s="131"/>
      <c r="EV15" s="131"/>
      <c r="EW15" s="131"/>
      <c r="EX15" s="131"/>
      <c r="EY15" s="131"/>
      <c r="EZ15" s="131"/>
      <c r="FA15" s="131"/>
      <c r="FB15" s="131"/>
      <c r="FC15" s="131"/>
      <c r="FD15" s="131"/>
      <c r="FE15" s="131"/>
      <c r="FF15" s="131"/>
      <c r="FG15" s="131"/>
      <c r="FH15" s="131"/>
      <c r="FI15" s="131"/>
      <c r="FJ15" s="131"/>
      <c r="FK15" s="131"/>
      <c r="FL15" s="131"/>
      <c r="FM15" s="131"/>
      <c r="FN15" s="131"/>
      <c r="FO15" s="131"/>
      <c r="FP15" s="131"/>
      <c r="FQ15" s="131"/>
      <c r="FR15" s="131"/>
      <c r="FS15" s="131"/>
      <c r="FT15" s="131"/>
      <c r="FU15" s="131"/>
      <c r="FV15" s="131"/>
      <c r="FW15" s="131"/>
      <c r="FX15" s="131"/>
      <c r="FY15" s="131"/>
      <c r="FZ15" s="131"/>
      <c r="GA15" s="131"/>
      <c r="GB15" s="131"/>
      <c r="GC15" s="131"/>
      <c r="GD15" s="131"/>
      <c r="GE15" s="131"/>
      <c r="GF15" s="131"/>
      <c r="GG15" s="131"/>
      <c r="GH15" s="131"/>
      <c r="GI15" s="131"/>
      <c r="GJ15" s="131"/>
      <c r="GK15" s="131"/>
      <c r="GL15" s="131"/>
      <c r="GM15" s="131"/>
      <c r="GN15" s="131"/>
      <c r="GO15" s="131"/>
      <c r="GP15" s="131"/>
      <c r="GQ15" s="131"/>
      <c r="GR15" s="131"/>
      <c r="GS15" s="131"/>
      <c r="GT15" s="131"/>
      <c r="GU15" s="131"/>
      <c r="GV15" s="131"/>
      <c r="GW15" s="131"/>
      <c r="GX15" s="131"/>
      <c r="GY15" s="131"/>
      <c r="GZ15" s="131"/>
      <c r="HA15" s="131"/>
      <c r="HB15" s="131"/>
      <c r="HC15" s="131"/>
      <c r="HD15" s="131"/>
      <c r="HE15" s="131"/>
      <c r="HF15" s="131"/>
      <c r="HG15" s="131"/>
      <c r="HH15" s="131"/>
      <c r="HI15" s="131"/>
      <c r="HJ15" s="131"/>
      <c r="HK15" s="131"/>
      <c r="HL15" s="131"/>
      <c r="HM15" s="131"/>
      <c r="HN15" s="131"/>
      <c r="HO15" s="131"/>
      <c r="HP15" s="131"/>
      <c r="HQ15" s="131"/>
      <c r="HR15" s="131"/>
      <c r="HS15" s="131"/>
      <c r="HT15" s="131"/>
      <c r="HU15" s="131"/>
      <c r="HV15" s="131"/>
      <c r="HW15" s="131"/>
      <c r="HX15" s="131"/>
      <c r="HY15" s="131"/>
      <c r="HZ15" s="131"/>
      <c r="IA15" s="131"/>
      <c r="IB15" s="131"/>
      <c r="IC15" s="131"/>
      <c r="ID15" s="131"/>
      <c r="IE15" s="131"/>
      <c r="IF15" s="131"/>
      <c r="IG15" s="131"/>
      <c r="IH15" s="131"/>
      <c r="II15" s="131"/>
      <c r="IJ15" s="131"/>
      <c r="IK15" s="131"/>
      <c r="IL15" s="131"/>
      <c r="IM15" s="131"/>
      <c r="IN15" s="131"/>
      <c r="IO15" s="131"/>
      <c r="IP15" s="131"/>
      <c r="IQ15" s="131"/>
      <c r="IR15" s="131"/>
      <c r="IS15" s="131"/>
      <c r="IT15" s="131"/>
      <c r="IU15" s="131"/>
      <c r="IV15" s="131"/>
      <c r="IW15" s="131"/>
      <c r="IX15" s="131"/>
      <c r="IY15" s="131"/>
      <c r="IZ15" s="131"/>
      <c r="JA15" s="131"/>
      <c r="JB15" s="131"/>
      <c r="JC15" s="131"/>
      <c r="JD15" s="131"/>
      <c r="JE15" s="131"/>
      <c r="JF15" s="131"/>
      <c r="JG15" s="131"/>
      <c r="JH15" s="131"/>
      <c r="JI15" s="131"/>
      <c r="JJ15" s="131"/>
      <c r="JK15" s="131"/>
      <c r="JL15" s="131"/>
      <c r="JM15" s="131"/>
      <c r="JN15" s="131"/>
      <c r="JO15" s="131"/>
      <c r="JP15" s="131"/>
      <c r="JQ15" s="131"/>
      <c r="JR15" s="131"/>
      <c r="JS15" s="131"/>
      <c r="JT15" s="131"/>
      <c r="JU15" s="131"/>
      <c r="JV15" s="131"/>
      <c r="JW15" s="131"/>
      <c r="JX15" s="131"/>
      <c r="JY15" s="131"/>
      <c r="JZ15" s="131"/>
      <c r="KA15" s="131"/>
      <c r="KB15" s="131"/>
      <c r="KC15" s="131"/>
      <c r="KD15" s="131"/>
      <c r="KE15" s="131"/>
      <c r="KF15" s="131"/>
      <c r="KG15" s="131"/>
      <c r="KH15" s="131"/>
      <c r="KI15" s="131"/>
      <c r="KJ15" s="131"/>
      <c r="KK15" s="131"/>
      <c r="KL15" s="131"/>
      <c r="KM15" s="131"/>
      <c r="KN15" s="131"/>
      <c r="KO15" s="131"/>
      <c r="KP15" s="131"/>
      <c r="KQ15" s="131"/>
      <c r="KR15" s="131"/>
      <c r="KS15" s="131"/>
      <c r="KT15" s="131"/>
      <c r="KU15" s="131"/>
      <c r="KV15" s="131"/>
      <c r="KW15" s="131"/>
      <c r="KX15" s="131"/>
      <c r="KY15" s="131"/>
      <c r="KZ15" s="131"/>
      <c r="LA15" s="131"/>
      <c r="LB15" s="131"/>
      <c r="LC15" s="131"/>
      <c r="LD15" s="131"/>
      <c r="LE15" s="131"/>
      <c r="LF15" s="131"/>
      <c r="LG15" s="131"/>
      <c r="LH15" s="131"/>
      <c r="LI15" s="131"/>
      <c r="LJ15" s="131"/>
      <c r="LK15" s="131"/>
      <c r="LL15" s="131"/>
      <c r="LM15" s="131"/>
      <c r="LN15" s="131"/>
      <c r="LO15" s="131"/>
      <c r="LP15" s="131"/>
      <c r="LQ15" s="131"/>
      <c r="LR15" s="131"/>
      <c r="LS15" s="131"/>
      <c r="LT15" s="131"/>
      <c r="LU15" s="131"/>
      <c r="LV15" s="131"/>
      <c r="LW15" s="131"/>
      <c r="LX15" s="131"/>
      <c r="LY15" s="131"/>
      <c r="LZ15" s="131"/>
      <c r="MA15" s="131"/>
      <c r="MB15" s="131"/>
      <c r="MC15" s="131"/>
      <c r="MD15" s="131"/>
      <c r="ME15" s="131"/>
      <c r="MF15" s="131"/>
      <c r="MG15" s="131"/>
      <c r="MH15" s="131"/>
      <c r="MI15" s="131"/>
      <c r="MJ15" s="131"/>
      <c r="MK15" s="131"/>
      <c r="ML15" s="131"/>
      <c r="MM15" s="131"/>
      <c r="MN15" s="131"/>
      <c r="MO15" s="131"/>
      <c r="MP15" s="131"/>
      <c r="MQ15" s="131"/>
      <c r="MR15" s="131"/>
      <c r="MS15" s="131"/>
      <c r="MT15" s="131"/>
      <c r="MU15" s="131"/>
      <c r="MV15" s="131"/>
      <c r="MW15" s="131"/>
      <c r="MX15" s="131"/>
      <c r="MY15" s="131"/>
      <c r="MZ15" s="131"/>
      <c r="NA15" s="131"/>
      <c r="NB15" s="131"/>
      <c r="NC15" s="131"/>
      <c r="ND15" s="131"/>
      <c r="NE15" s="131"/>
      <c r="NF15" s="131"/>
      <c r="NG15" s="131"/>
      <c r="NH15" s="131"/>
      <c r="NI15" s="131"/>
      <c r="NJ15" s="131"/>
      <c r="NK15" s="131"/>
      <c r="NL15" s="131"/>
      <c r="NM15" s="131"/>
      <c r="NN15" s="131"/>
      <c r="NO15" s="131"/>
      <c r="NP15" s="131"/>
      <c r="NQ15" s="131"/>
      <c r="NR15" s="131"/>
      <c r="NS15" s="131"/>
      <c r="NT15" s="131"/>
      <c r="NU15" s="131"/>
      <c r="NV15" s="131"/>
      <c r="NW15" s="131"/>
      <c r="NX15" s="131"/>
      <c r="NY15" s="131"/>
      <c r="NZ15" s="131"/>
      <c r="OA15" s="131"/>
      <c r="OB15" s="131"/>
      <c r="OC15" s="131"/>
      <c r="OD15" s="131"/>
      <c r="OE15" s="131"/>
      <c r="OF15" s="131"/>
      <c r="OG15" s="131"/>
      <c r="OH15" s="131"/>
      <c r="OI15" s="131"/>
      <c r="OJ15" s="131"/>
      <c r="OK15" s="131"/>
      <c r="OL15" s="131"/>
      <c r="OM15" s="131"/>
      <c r="ON15" s="131"/>
      <c r="OO15" s="131"/>
      <c r="OP15" s="131"/>
      <c r="OQ15" s="131"/>
      <c r="OR15" s="131"/>
      <c r="OS15" s="131"/>
      <c r="OT15" s="131"/>
      <c r="OU15" s="131"/>
      <c r="OV15" s="131"/>
      <c r="OW15" s="131"/>
      <c r="OX15" s="131"/>
      <c r="OY15" s="131"/>
      <c r="OZ15" s="131"/>
      <c r="PA15" s="131"/>
      <c r="PB15" s="131"/>
      <c r="PC15" s="131"/>
      <c r="PD15" s="131"/>
      <c r="PE15" s="131"/>
      <c r="PF15" s="131"/>
      <c r="PG15" s="131"/>
      <c r="PH15" s="131"/>
      <c r="PI15" s="131"/>
      <c r="PJ15" s="131"/>
      <c r="PK15" s="131"/>
      <c r="PL15" s="131"/>
      <c r="PM15" s="131"/>
      <c r="PN15" s="131"/>
      <c r="PO15" s="131"/>
      <c r="PP15" s="131"/>
      <c r="PQ15" s="131"/>
      <c r="PR15" s="131"/>
      <c r="PS15" s="131"/>
      <c r="PT15" s="131"/>
      <c r="PU15" s="131"/>
      <c r="PV15" s="131"/>
      <c r="PW15" s="131"/>
      <c r="PX15" s="131"/>
      <c r="PY15" s="131"/>
      <c r="PZ15" s="131"/>
      <c r="QA15" s="131"/>
      <c r="QB15" s="131"/>
      <c r="QC15" s="131"/>
      <c r="QD15" s="131"/>
      <c r="QE15" s="131"/>
      <c r="QF15" s="131"/>
      <c r="QG15" s="131"/>
      <c r="QH15" s="131"/>
      <c r="QI15" s="131"/>
      <c r="QJ15" s="131"/>
      <c r="QK15" s="131"/>
      <c r="QL15" s="131"/>
      <c r="QM15" s="131"/>
      <c r="QN15" s="131"/>
      <c r="QO15" s="131"/>
      <c r="QP15" s="131"/>
      <c r="QQ15" s="131"/>
      <c r="QR15" s="131"/>
      <c r="QS15" s="131"/>
      <c r="QT15" s="131"/>
      <c r="QU15" s="131"/>
      <c r="QV15" s="131"/>
      <c r="QW15" s="131"/>
      <c r="QX15" s="131"/>
      <c r="QY15" s="131"/>
      <c r="QZ15" s="131"/>
      <c r="RA15" s="131"/>
      <c r="RB15" s="131"/>
      <c r="RC15" s="131"/>
      <c r="RD15" s="131"/>
      <c r="RE15" s="131"/>
      <c r="RF15" s="131"/>
      <c r="RG15" s="131"/>
      <c r="RH15" s="131"/>
      <c r="RI15" s="131"/>
      <c r="RJ15" s="131"/>
      <c r="RK15" s="131"/>
      <c r="RL15" s="131"/>
      <c r="RM15" s="131"/>
      <c r="RN15" s="131"/>
      <c r="RO15" s="131"/>
      <c r="RP15" s="131"/>
      <c r="RQ15" s="131"/>
      <c r="RR15" s="131"/>
      <c r="RS15" s="131"/>
      <c r="RT15" s="131"/>
      <c r="RU15" s="131"/>
      <c r="RV15" s="131"/>
      <c r="RW15" s="131"/>
      <c r="RX15" s="131"/>
      <c r="RY15" s="131"/>
      <c r="RZ15" s="131"/>
      <c r="SA15" s="131"/>
      <c r="SB15" s="131"/>
      <c r="SC15" s="131"/>
      <c r="SD15" s="131"/>
      <c r="SE15" s="131"/>
      <c r="SF15" s="131"/>
      <c r="SG15" s="131"/>
      <c r="SH15" s="131"/>
      <c r="SI15" s="131"/>
      <c r="SJ15" s="131"/>
      <c r="SK15" s="131"/>
      <c r="SL15" s="131"/>
      <c r="SM15" s="131"/>
      <c r="SN15" s="131"/>
      <c r="SO15" s="131"/>
      <c r="SP15" s="131"/>
      <c r="SQ15" s="131"/>
      <c r="SR15" s="131"/>
      <c r="SS15" s="131"/>
      <c r="ST15" s="131"/>
      <c r="SU15" s="131"/>
      <c r="SV15" s="131"/>
      <c r="SW15" s="131"/>
      <c r="SX15" s="131"/>
      <c r="SY15" s="131"/>
      <c r="SZ15" s="131"/>
      <c r="TA15" s="131"/>
      <c r="TB15" s="131"/>
      <c r="TC15" s="131"/>
      <c r="TD15" s="131"/>
      <c r="TE15" s="131"/>
      <c r="TF15" s="131"/>
      <c r="TG15" s="131"/>
      <c r="TH15" s="131"/>
      <c r="TI15" s="131"/>
      <c r="TJ15" s="131"/>
      <c r="TK15" s="131"/>
      <c r="TL15" s="131"/>
      <c r="TM15" s="131"/>
      <c r="TN15" s="131"/>
      <c r="TO15" s="131"/>
      <c r="TP15" s="131"/>
      <c r="TQ15" s="131"/>
      <c r="TR15" s="131"/>
      <c r="TS15" s="131"/>
      <c r="TT15" s="131"/>
      <c r="TU15" s="131"/>
      <c r="TV15" s="131"/>
      <c r="TW15" s="131"/>
      <c r="TX15" s="131"/>
      <c r="TY15" s="131"/>
      <c r="TZ15" s="131"/>
      <c r="UA15" s="131"/>
      <c r="UB15" s="131"/>
      <c r="UC15" s="131"/>
      <c r="UD15" s="131"/>
      <c r="UE15" s="131"/>
      <c r="UF15" s="131"/>
      <c r="UG15" s="131"/>
      <c r="UH15" s="131"/>
      <c r="UI15" s="131"/>
      <c r="UJ15" s="131"/>
      <c r="UK15" s="131"/>
      <c r="UL15" s="131"/>
      <c r="UM15" s="131"/>
      <c r="UN15" s="131"/>
      <c r="UO15" s="131"/>
      <c r="UP15" s="131"/>
      <c r="UQ15" s="131"/>
      <c r="UR15" s="131"/>
      <c r="US15" s="131"/>
      <c r="UT15" s="131"/>
      <c r="UU15" s="131"/>
      <c r="UV15" s="131"/>
      <c r="UW15" s="131"/>
      <c r="UX15" s="131"/>
      <c r="UY15" s="131"/>
      <c r="UZ15" s="131"/>
      <c r="VA15" s="131"/>
      <c r="VB15" s="131"/>
      <c r="VC15" s="131"/>
      <c r="VD15" s="131"/>
      <c r="VE15" s="131"/>
      <c r="VF15" s="131"/>
      <c r="VG15" s="131"/>
      <c r="VH15" s="131"/>
      <c r="VI15" s="131"/>
      <c r="VJ15" s="131"/>
      <c r="VK15" s="131"/>
      <c r="VL15" s="131"/>
      <c r="VM15" s="131"/>
      <c r="VN15" s="131"/>
      <c r="VO15" s="131"/>
      <c r="VP15" s="131"/>
      <c r="VQ15" s="131"/>
      <c r="VR15" s="131"/>
      <c r="VS15" s="131"/>
      <c r="VT15" s="131"/>
      <c r="VU15" s="131"/>
      <c r="VV15" s="131"/>
      <c r="VW15" s="131"/>
      <c r="VX15" s="131"/>
      <c r="VY15" s="131"/>
      <c r="VZ15" s="131"/>
      <c r="WA15" s="131"/>
      <c r="WB15" s="131"/>
      <c r="WC15" s="131"/>
      <c r="WD15" s="131"/>
      <c r="WE15" s="131"/>
      <c r="WF15" s="131"/>
      <c r="WG15" s="131"/>
      <c r="WH15" s="131"/>
      <c r="WI15" s="131"/>
      <c r="WJ15" s="131"/>
      <c r="WK15" s="131"/>
      <c r="WL15" s="131"/>
      <c r="WM15" s="131"/>
      <c r="WN15" s="131"/>
      <c r="WO15" s="131"/>
      <c r="WP15" s="131"/>
      <c r="WQ15" s="131"/>
      <c r="WR15" s="131"/>
      <c r="WS15" s="131"/>
      <c r="WT15" s="131"/>
      <c r="WU15" s="131"/>
      <c r="WV15" s="131"/>
      <c r="WW15" s="131"/>
      <c r="WX15" s="131"/>
      <c r="WY15" s="131"/>
      <c r="WZ15" s="131"/>
      <c r="XA15" s="131"/>
      <c r="XB15" s="131"/>
      <c r="XC15" s="131"/>
      <c r="XD15" s="131"/>
      <c r="XE15" s="131"/>
      <c r="XF15" s="131"/>
      <c r="XG15" s="131"/>
      <c r="XH15" s="131"/>
      <c r="XI15" s="131"/>
      <c r="XJ15" s="131"/>
      <c r="XK15" s="131"/>
      <c r="XL15" s="131"/>
      <c r="XM15" s="131"/>
      <c r="XN15" s="131"/>
      <c r="XO15" s="131"/>
      <c r="XP15" s="131"/>
      <c r="XQ15" s="131"/>
      <c r="XR15" s="131"/>
      <c r="XS15" s="131"/>
      <c r="XT15" s="131"/>
      <c r="XU15" s="131"/>
      <c r="XV15" s="131"/>
      <c r="XW15" s="131"/>
      <c r="XX15" s="131"/>
      <c r="XY15" s="131"/>
      <c r="XZ15" s="131"/>
      <c r="YA15" s="131"/>
      <c r="YB15" s="131"/>
      <c r="YC15" s="131"/>
      <c r="YD15" s="131"/>
      <c r="YE15" s="131"/>
      <c r="YF15" s="131"/>
      <c r="YG15" s="131"/>
      <c r="YH15" s="131"/>
      <c r="YI15" s="131"/>
      <c r="YJ15" s="131"/>
      <c r="YK15" s="131"/>
      <c r="YL15" s="131"/>
      <c r="YM15" s="131"/>
      <c r="YN15" s="131"/>
      <c r="YO15" s="131"/>
      <c r="YP15" s="131"/>
      <c r="YQ15" s="131"/>
      <c r="YR15" s="131"/>
      <c r="YS15" s="131"/>
      <c r="YT15" s="131"/>
      <c r="YU15" s="131"/>
      <c r="YV15" s="131"/>
      <c r="YW15" s="131"/>
      <c r="YX15" s="131"/>
      <c r="YY15" s="131"/>
      <c r="YZ15" s="131"/>
      <c r="ZA15" s="131"/>
      <c r="ZB15" s="131"/>
      <c r="ZC15" s="131"/>
      <c r="ZD15" s="131"/>
      <c r="ZE15" s="131"/>
      <c r="ZF15" s="131"/>
      <c r="ZG15" s="131"/>
      <c r="ZH15" s="131"/>
      <c r="ZI15" s="131"/>
      <c r="ZJ15" s="131"/>
      <c r="ZK15" s="131"/>
      <c r="ZL15" s="131"/>
      <c r="ZM15" s="131"/>
      <c r="ZN15" s="131"/>
      <c r="ZO15" s="131"/>
      <c r="ZP15" s="131"/>
      <c r="ZQ15" s="131"/>
      <c r="ZR15" s="131"/>
      <c r="ZS15" s="131"/>
      <c r="ZT15" s="131"/>
      <c r="ZU15" s="131"/>
      <c r="ZV15" s="131"/>
      <c r="ZW15" s="131"/>
      <c r="ZX15" s="131"/>
      <c r="ZY15" s="131"/>
      <c r="ZZ15" s="131"/>
      <c r="AAA15" s="131"/>
      <c r="AAB15" s="131"/>
      <c r="AAC15" s="131"/>
      <c r="AAD15" s="131"/>
      <c r="AAE15" s="131"/>
      <c r="AAF15" s="131"/>
      <c r="AAG15" s="131"/>
      <c r="AAH15" s="131"/>
      <c r="AAI15" s="131"/>
      <c r="AAJ15" s="131"/>
      <c r="AAK15" s="131"/>
      <c r="AAL15" s="131"/>
      <c r="AAM15" s="131"/>
      <c r="AAN15" s="131"/>
      <c r="AAO15" s="131"/>
      <c r="AAP15" s="131"/>
      <c r="AAQ15" s="131"/>
      <c r="AAR15" s="131"/>
      <c r="AAS15" s="131"/>
      <c r="AAT15" s="131"/>
      <c r="AAU15" s="131"/>
      <c r="AAV15" s="131"/>
      <c r="AAW15" s="131"/>
      <c r="AAX15" s="131"/>
      <c r="AAY15" s="131"/>
      <c r="AAZ15" s="131"/>
      <c r="ABA15" s="131"/>
      <c r="ABB15" s="131"/>
      <c r="ABC15" s="131"/>
      <c r="ABD15" s="131"/>
      <c r="ABE15" s="131"/>
      <c r="ABF15" s="131"/>
      <c r="ABG15" s="131"/>
      <c r="ABH15" s="131"/>
      <c r="ABI15" s="131"/>
      <c r="ABJ15" s="131"/>
      <c r="ABK15" s="131"/>
      <c r="ABL15" s="131"/>
      <c r="ABM15" s="131"/>
      <c r="ABN15" s="131"/>
      <c r="ABO15" s="131"/>
      <c r="ABP15" s="131"/>
      <c r="ABQ15" s="131"/>
      <c r="ABR15" s="131"/>
      <c r="ABS15" s="131"/>
      <c r="ABT15" s="131"/>
      <c r="ABU15" s="131"/>
      <c r="ABV15" s="131"/>
      <c r="ABW15" s="131"/>
      <c r="ABX15" s="131"/>
      <c r="ABY15" s="131"/>
      <c r="ABZ15" s="131"/>
      <c r="ACA15" s="131"/>
      <c r="ACB15" s="131"/>
      <c r="ACC15" s="131"/>
      <c r="ACD15" s="131"/>
      <c r="ACE15" s="131"/>
      <c r="ACF15" s="131"/>
      <c r="ACG15" s="131"/>
      <c r="ACH15" s="131"/>
      <c r="ACI15" s="131"/>
      <c r="ACJ15" s="131"/>
      <c r="ACK15" s="131"/>
      <c r="ACL15" s="131"/>
      <c r="ACM15" s="131"/>
      <c r="ACN15" s="131"/>
      <c r="ACO15" s="131"/>
      <c r="ACP15" s="131"/>
      <c r="ACQ15" s="131"/>
      <c r="ACR15" s="131"/>
      <c r="ACS15" s="131"/>
      <c r="ACT15" s="131"/>
      <c r="ACU15" s="131"/>
      <c r="ACV15" s="131"/>
      <c r="ACW15" s="131"/>
      <c r="ACX15" s="131"/>
      <c r="ACY15" s="131"/>
      <c r="ACZ15" s="131"/>
      <c r="ADA15" s="131"/>
      <c r="ADB15" s="131"/>
      <c r="ADC15" s="131"/>
      <c r="ADD15" s="131"/>
      <c r="ADE15" s="131"/>
      <c r="ADF15" s="131"/>
      <c r="ADG15" s="131"/>
      <c r="ADH15" s="131"/>
      <c r="ADI15" s="131"/>
      <c r="ADJ15" s="131"/>
      <c r="ADK15" s="131"/>
      <c r="ADL15" s="131"/>
      <c r="ADM15" s="131"/>
      <c r="ADN15" s="131"/>
      <c r="ADO15" s="131"/>
      <c r="ADP15" s="131"/>
      <c r="ADQ15" s="131"/>
      <c r="ADR15" s="131"/>
      <c r="ADS15" s="131"/>
      <c r="ADT15" s="131"/>
      <c r="ADU15" s="131"/>
      <c r="ADV15" s="131"/>
      <c r="ADW15" s="131"/>
      <c r="ADX15" s="131"/>
      <c r="ADY15" s="131"/>
      <c r="ADZ15" s="131"/>
      <c r="AEA15" s="131"/>
      <c r="AEB15" s="131"/>
      <c r="AEC15" s="131"/>
      <c r="AED15" s="131"/>
      <c r="AEE15" s="131"/>
      <c r="AEF15" s="131"/>
      <c r="AEG15" s="131"/>
      <c r="AEH15" s="131"/>
      <c r="AEI15" s="131"/>
      <c r="AEJ15" s="131"/>
      <c r="AEK15" s="131"/>
      <c r="AEL15" s="131"/>
      <c r="AEM15" s="131"/>
      <c r="AEN15" s="131"/>
      <c r="AEO15" s="131"/>
      <c r="AEP15" s="131"/>
      <c r="AEQ15" s="131"/>
      <c r="AER15" s="131"/>
      <c r="AES15" s="131"/>
      <c r="AET15" s="131"/>
      <c r="AEU15" s="131"/>
      <c r="AEV15" s="131"/>
      <c r="AEW15" s="131"/>
      <c r="AEX15" s="131"/>
      <c r="AEY15" s="131"/>
      <c r="AEZ15" s="131"/>
      <c r="AFA15" s="131"/>
      <c r="AFB15" s="131"/>
      <c r="AFC15" s="131"/>
      <c r="AFD15" s="131"/>
      <c r="AFE15" s="131"/>
      <c r="AFF15" s="131"/>
      <c r="AFG15" s="131"/>
      <c r="AFH15" s="131"/>
      <c r="AFI15" s="131"/>
      <c r="AFJ15" s="131"/>
      <c r="AFK15" s="131"/>
      <c r="AFL15" s="131"/>
      <c r="AFM15" s="131"/>
      <c r="AFN15" s="131"/>
      <c r="AFO15" s="131"/>
      <c r="AFP15" s="131"/>
      <c r="AFQ15" s="131"/>
      <c r="AFR15" s="131"/>
      <c r="AFS15" s="131"/>
      <c r="AFT15" s="131"/>
      <c r="AFU15" s="131"/>
      <c r="AFV15" s="131"/>
      <c r="AFW15" s="131"/>
      <c r="AFX15" s="131"/>
      <c r="AFY15" s="131"/>
      <c r="AFZ15" s="131"/>
      <c r="AGA15" s="131"/>
      <c r="AGB15" s="131"/>
      <c r="AGC15" s="131"/>
      <c r="AGD15" s="131"/>
      <c r="AGE15" s="131"/>
      <c r="AGF15" s="131"/>
      <c r="AGG15" s="131"/>
      <c r="AGH15" s="131"/>
      <c r="AGI15" s="131"/>
      <c r="AGJ15" s="131"/>
      <c r="AGK15" s="131"/>
      <c r="AGL15" s="131"/>
      <c r="AGM15" s="131"/>
      <c r="AGN15" s="131"/>
      <c r="AGO15" s="131"/>
      <c r="AGP15" s="131"/>
      <c r="AGQ15" s="131"/>
      <c r="AGR15" s="131"/>
      <c r="AGS15" s="131"/>
      <c r="AGT15" s="131"/>
      <c r="AGU15" s="131"/>
      <c r="AGV15" s="131"/>
      <c r="AGW15" s="131"/>
      <c r="AGX15" s="131"/>
      <c r="AGY15" s="131"/>
      <c r="AGZ15" s="131"/>
      <c r="AHA15" s="131"/>
      <c r="AHB15" s="131"/>
      <c r="AHC15" s="131"/>
      <c r="AHD15" s="131"/>
      <c r="AHE15" s="131"/>
      <c r="AHF15" s="131"/>
      <c r="AHG15" s="131"/>
      <c r="AHH15" s="131"/>
      <c r="AHI15" s="131"/>
      <c r="AHJ15" s="131"/>
      <c r="AHK15" s="131"/>
      <c r="AHL15" s="131"/>
      <c r="AHM15" s="131"/>
      <c r="AHN15" s="131"/>
      <c r="AHO15" s="131"/>
      <c r="AHP15" s="131"/>
      <c r="AHQ15" s="131"/>
      <c r="AHR15" s="131"/>
      <c r="AHS15" s="131"/>
      <c r="AHT15" s="131"/>
      <c r="AHU15" s="131"/>
      <c r="AHV15" s="131"/>
      <c r="AHW15" s="131"/>
      <c r="AHX15" s="131"/>
      <c r="AHY15" s="131"/>
      <c r="AHZ15" s="131"/>
      <c r="AIA15" s="131"/>
      <c r="AIB15" s="131"/>
      <c r="AIC15" s="131"/>
      <c r="AID15" s="131"/>
      <c r="AIE15" s="131"/>
      <c r="AIF15" s="131"/>
      <c r="AIG15" s="131"/>
      <c r="AIH15" s="131"/>
      <c r="AII15" s="131"/>
      <c r="AIJ15" s="131"/>
      <c r="AIK15" s="131"/>
      <c r="AIL15" s="131"/>
      <c r="AIM15" s="131"/>
      <c r="AIN15" s="131"/>
      <c r="AIO15" s="131"/>
      <c r="AIP15" s="131"/>
      <c r="AIQ15" s="131"/>
      <c r="AIR15" s="131"/>
      <c r="AIS15" s="131"/>
      <c r="AIT15" s="131"/>
      <c r="AIU15" s="131"/>
      <c r="AIV15" s="131"/>
      <c r="AIW15" s="131"/>
      <c r="AIX15" s="131"/>
      <c r="AIY15" s="131"/>
      <c r="AIZ15" s="131"/>
      <c r="AJA15" s="131"/>
      <c r="AJB15" s="131"/>
      <c r="AJC15" s="131"/>
      <c r="AJD15" s="131"/>
      <c r="AJE15" s="131"/>
      <c r="AJF15" s="131"/>
      <c r="AJG15" s="131"/>
      <c r="AJH15" s="131"/>
      <c r="AJI15" s="131"/>
      <c r="AJJ15" s="131"/>
      <c r="AJK15" s="131"/>
      <c r="AJL15" s="131"/>
      <c r="AJM15" s="131"/>
      <c r="AJN15" s="131"/>
      <c r="AJO15" s="131"/>
      <c r="AJP15" s="131"/>
      <c r="AJQ15" s="131"/>
      <c r="AJR15" s="131"/>
      <c r="AJS15" s="131"/>
      <c r="AJT15" s="131"/>
      <c r="AJU15" s="131"/>
      <c r="AJV15" s="131"/>
      <c r="AJW15" s="131"/>
      <c r="AJX15" s="131"/>
      <c r="AJY15" s="131"/>
      <c r="AJZ15" s="131"/>
      <c r="AKA15" s="131"/>
      <c r="AKB15" s="131"/>
      <c r="AKC15" s="131"/>
      <c r="AKD15" s="131"/>
      <c r="AKE15" s="131"/>
      <c r="AKF15" s="131"/>
      <c r="AKG15" s="131"/>
      <c r="AKH15" s="131"/>
      <c r="AKI15" s="131"/>
      <c r="AKJ15" s="131"/>
      <c r="AKK15" s="131"/>
      <c r="AKL15" s="131"/>
      <c r="AKM15" s="131"/>
      <c r="AKN15" s="131"/>
      <c r="AKO15" s="131"/>
      <c r="AKP15" s="131"/>
      <c r="AKQ15" s="131"/>
      <c r="AKR15" s="131"/>
      <c r="AKS15" s="131"/>
      <c r="AKT15" s="131"/>
      <c r="AKU15" s="131"/>
      <c r="AKV15" s="131"/>
      <c r="AKW15" s="131"/>
      <c r="AKX15" s="131"/>
      <c r="AKY15" s="131"/>
      <c r="AKZ15" s="131"/>
      <c r="ALA15" s="131"/>
      <c r="ALB15" s="131"/>
      <c r="ALC15" s="131"/>
      <c r="ALD15" s="131"/>
      <c r="ALE15" s="131"/>
      <c r="ALF15" s="131"/>
      <c r="ALG15" s="131"/>
      <c r="ALH15" s="131"/>
      <c r="ALI15" s="131"/>
      <c r="ALJ15" s="131"/>
      <c r="ALK15" s="131"/>
      <c r="ALL15" s="131"/>
      <c r="ALM15" s="131"/>
      <c r="ALN15" s="131"/>
      <c r="ALO15" s="131"/>
      <c r="ALP15" s="131"/>
      <c r="ALQ15" s="131"/>
      <c r="ALR15" s="131"/>
      <c r="ALS15" s="131"/>
      <c r="ALT15" s="131"/>
      <c r="ALU15" s="131"/>
      <c r="ALV15" s="131"/>
      <c r="ALW15" s="131"/>
      <c r="ALX15" s="131"/>
      <c r="ALY15" s="131"/>
      <c r="ALZ15" s="131"/>
      <c r="AMA15" s="131"/>
      <c r="AMB15" s="131"/>
      <c r="AMC15" s="131"/>
      <c r="AMD15" s="131"/>
      <c r="AME15" s="131"/>
      <c r="AMF15" s="131"/>
      <c r="AMG15" s="131"/>
      <c r="AMH15" s="131"/>
      <c r="AMI15" s="131"/>
      <c r="AMJ15" s="131"/>
      <c r="AMK15" s="131"/>
    </row>
    <row r="16" spans="1:1025">
      <c r="A16" s="278" t="s">
        <v>252</v>
      </c>
      <c r="B16" s="278"/>
      <c r="C16" s="278"/>
      <c r="D16" s="278"/>
      <c r="E16" s="278"/>
      <c r="F16" s="278"/>
      <c r="G16" s="278"/>
      <c r="H16" s="278"/>
      <c r="I16" s="133">
        <f>SUM(I5:I15)</f>
        <v>0</v>
      </c>
      <c r="J16" s="133">
        <f>SUM(J5:J15)</f>
        <v>0</v>
      </c>
    </row>
  </sheetData>
  <mergeCells count="5">
    <mergeCell ref="A1:J1"/>
    <mergeCell ref="C4:P4"/>
    <mergeCell ref="C8:P8"/>
    <mergeCell ref="C12:P12"/>
    <mergeCell ref="A16:H16"/>
  </mergeCells>
  <dataValidations count="2">
    <dataValidation operator="equal" allowBlank="1" showErrorMessage="1" sqref="C2:C3 A3:B3 D3:J3" xr:uid="{00000000-0002-0000-0800-000000000000}">
      <formula1>0</formula1>
      <formula2>0</formula2>
    </dataValidation>
    <dataValidation type="list" operator="equal" allowBlank="1" showErrorMessage="1" sqref="K3:AMM3 Q4:AMM4" xr:uid="{00000000-0002-0000-0800-000001000000}">
      <formula1>"Yes,No"</formula1>
      <formula2>0</formula2>
    </dataValidation>
  </dataValidations>
  <pageMargins left="0.7" right="0.7" top="0.75" bottom="0.75" header="0.511811023622047" footer="0.511811023622047"/>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sheetPr>
  <dimension ref="A1:L26"/>
  <sheetViews>
    <sheetView zoomScale="69" zoomScaleNormal="69" workbookViewId="0">
      <selection activeCell="E25" sqref="E25"/>
    </sheetView>
  </sheetViews>
  <sheetFormatPr defaultColWidth="8.7109375" defaultRowHeight="14.25"/>
  <cols>
    <col min="1" max="1" width="13.140625" customWidth="1"/>
    <col min="2" max="2" width="32.85546875" customWidth="1"/>
    <col min="3" max="4" width="24.5703125" customWidth="1"/>
    <col min="5" max="5" width="20.140625" customWidth="1"/>
    <col min="6" max="6" width="13.42578125" customWidth="1"/>
    <col min="7" max="7" width="13.5703125" customWidth="1"/>
    <col min="8" max="8" width="13.140625" customWidth="1"/>
    <col min="9" max="9" width="14" customWidth="1"/>
    <col min="10" max="10" width="14.140625" customWidth="1"/>
    <col min="11" max="11" width="16" customWidth="1"/>
    <col min="12" max="12" width="16.5703125" customWidth="1"/>
  </cols>
  <sheetData>
    <row r="1" spans="1:12" ht="25.5" customHeight="1">
      <c r="A1" s="257" t="s">
        <v>253</v>
      </c>
      <c r="B1" s="257"/>
      <c r="C1" s="257"/>
      <c r="D1" s="257"/>
      <c r="E1" s="257"/>
      <c r="F1" s="257"/>
      <c r="G1" s="257"/>
      <c r="H1" s="257"/>
      <c r="I1" s="257"/>
      <c r="J1" s="257"/>
      <c r="K1" s="257"/>
      <c r="L1" s="257"/>
    </row>
    <row r="2" spans="1:12" ht="36" customHeight="1">
      <c r="A2" s="279" t="s">
        <v>98</v>
      </c>
      <c r="B2" s="280" t="s">
        <v>254</v>
      </c>
      <c r="C2" s="280" t="s">
        <v>255</v>
      </c>
      <c r="D2" s="280" t="s">
        <v>256</v>
      </c>
      <c r="E2" s="281" t="s">
        <v>257</v>
      </c>
      <c r="F2" s="282" t="s">
        <v>258</v>
      </c>
      <c r="G2" s="282" t="s">
        <v>259</v>
      </c>
      <c r="H2" s="282"/>
      <c r="I2" s="282"/>
      <c r="J2" s="282"/>
      <c r="K2" s="282"/>
      <c r="L2" s="282"/>
    </row>
    <row r="3" spans="1:12" ht="20.25" customHeight="1">
      <c r="A3" s="279"/>
      <c r="B3" s="279"/>
      <c r="C3" s="279"/>
      <c r="D3" s="279"/>
      <c r="E3" s="279"/>
      <c r="F3" s="279"/>
      <c r="G3" s="134" t="s">
        <v>260</v>
      </c>
      <c r="H3" s="134" t="s">
        <v>261</v>
      </c>
      <c r="I3" s="134" t="s">
        <v>262</v>
      </c>
      <c r="J3" s="134" t="s">
        <v>263</v>
      </c>
      <c r="K3" s="134" t="s">
        <v>264</v>
      </c>
      <c r="L3" s="134" t="s">
        <v>265</v>
      </c>
    </row>
    <row r="4" spans="1:12">
      <c r="A4" s="135"/>
      <c r="B4" s="135"/>
      <c r="C4" s="136"/>
      <c r="D4" s="137"/>
      <c r="E4" s="137"/>
      <c r="F4" s="137">
        <f>ROUNDUP(E4*D4,0)</f>
        <v>0</v>
      </c>
      <c r="G4" s="135">
        <f>F4</f>
        <v>0</v>
      </c>
      <c r="H4" s="135">
        <f>G4</f>
        <v>0</v>
      </c>
      <c r="I4" s="135">
        <f>H4</f>
        <v>0</v>
      </c>
      <c r="J4" s="135">
        <f>I4</f>
        <v>0</v>
      </c>
      <c r="K4" s="135">
        <f>J4</f>
        <v>0</v>
      </c>
      <c r="L4" s="138">
        <f>SUM(G4:K4)</f>
        <v>0</v>
      </c>
    </row>
    <row r="5" spans="1:12">
      <c r="A5" s="135"/>
      <c r="B5" s="135"/>
      <c r="C5" s="136"/>
      <c r="D5" s="137"/>
      <c r="E5" s="139"/>
      <c r="F5" s="137">
        <f>ROUNDUP(E5*D5,0)</f>
        <v>0</v>
      </c>
      <c r="G5" s="135">
        <f>F5</f>
        <v>0</v>
      </c>
      <c r="H5" s="135">
        <f>G5</f>
        <v>0</v>
      </c>
      <c r="I5" s="135">
        <f>H5</f>
        <v>0</v>
      </c>
      <c r="J5" s="135">
        <f>I5</f>
        <v>0</v>
      </c>
      <c r="K5" s="135">
        <f>J5</f>
        <v>0</v>
      </c>
      <c r="L5" s="138">
        <f>SUM(G5:K5)</f>
        <v>0</v>
      </c>
    </row>
    <row r="6" spans="1:12">
      <c r="A6" s="135"/>
      <c r="B6" s="135"/>
      <c r="C6" s="136"/>
      <c r="D6" s="137"/>
      <c r="E6" s="139"/>
      <c r="F6" s="137">
        <f>ROUNDUP(E6*D6,0)</f>
        <v>0</v>
      </c>
      <c r="G6" s="135">
        <f>F6</f>
        <v>0</v>
      </c>
      <c r="H6" s="135">
        <f>G6</f>
        <v>0</v>
      </c>
      <c r="I6" s="135">
        <f>H6</f>
        <v>0</v>
      </c>
      <c r="J6" s="135">
        <f>I6</f>
        <v>0</v>
      </c>
      <c r="K6" s="135">
        <f>J6</f>
        <v>0</v>
      </c>
      <c r="L6" s="138">
        <f>SUM(G6:K6)</f>
        <v>0</v>
      </c>
    </row>
    <row r="7" spans="1:12">
      <c r="A7" s="135"/>
      <c r="B7" s="135"/>
      <c r="C7" s="136"/>
      <c r="D7" s="137"/>
      <c r="E7" s="139"/>
      <c r="F7" s="137">
        <f>ROUNDUP(E7*D7,0)</f>
        <v>0</v>
      </c>
      <c r="G7" s="135">
        <f>F7</f>
        <v>0</v>
      </c>
      <c r="H7" s="135">
        <f>G7</f>
        <v>0</v>
      </c>
      <c r="I7" s="135">
        <f>H7</f>
        <v>0</v>
      </c>
      <c r="J7" s="135">
        <f>I7</f>
        <v>0</v>
      </c>
      <c r="K7" s="135">
        <f>J7</f>
        <v>0</v>
      </c>
      <c r="L7" s="138">
        <f>SUM(G7:K7)</f>
        <v>0</v>
      </c>
    </row>
    <row r="8" spans="1:12">
      <c r="A8" s="135"/>
      <c r="B8" s="135"/>
      <c r="C8" s="136"/>
      <c r="D8" s="137"/>
      <c r="E8" s="139"/>
      <c r="F8" s="137">
        <f>ROUNDUP(E8*D8,0)</f>
        <v>0</v>
      </c>
      <c r="G8" s="135">
        <f>F8</f>
        <v>0</v>
      </c>
      <c r="H8" s="135">
        <f>G8</f>
        <v>0</v>
      </c>
      <c r="I8" s="135">
        <f>H8</f>
        <v>0</v>
      </c>
      <c r="J8" s="135">
        <f>I8</f>
        <v>0</v>
      </c>
      <c r="K8" s="135">
        <f>J8</f>
        <v>0</v>
      </c>
      <c r="L8" s="138">
        <f>SUM(G8:K8)</f>
        <v>0</v>
      </c>
    </row>
    <row r="9" spans="1:12">
      <c r="A9" s="135"/>
      <c r="B9" s="135"/>
      <c r="C9" s="136"/>
      <c r="D9" s="137"/>
      <c r="E9" s="139"/>
      <c r="F9" s="137">
        <f>ROUNDUP(E9*D9,0)</f>
        <v>0</v>
      </c>
      <c r="G9" s="135">
        <f>F9</f>
        <v>0</v>
      </c>
      <c r="H9" s="135">
        <f>G9</f>
        <v>0</v>
      </c>
      <c r="I9" s="135">
        <f>H9</f>
        <v>0</v>
      </c>
      <c r="J9" s="135">
        <f>I9</f>
        <v>0</v>
      </c>
      <c r="K9" s="135">
        <f>J9</f>
        <v>0</v>
      </c>
      <c r="L9" s="138">
        <f>SUM(G9:K9)</f>
        <v>0</v>
      </c>
    </row>
    <row r="10" spans="1:12">
      <c r="A10" s="135"/>
      <c r="B10" s="135"/>
      <c r="C10" s="136"/>
      <c r="D10" s="137"/>
      <c r="E10" s="139"/>
      <c r="F10" s="137">
        <f>ROUNDUP(E10*D10,0)</f>
        <v>0</v>
      </c>
      <c r="G10" s="135">
        <f>F10</f>
        <v>0</v>
      </c>
      <c r="H10" s="135">
        <f>G10</f>
        <v>0</v>
      </c>
      <c r="I10" s="135">
        <f>H10</f>
        <v>0</v>
      </c>
      <c r="J10" s="135">
        <f>I10</f>
        <v>0</v>
      </c>
      <c r="K10" s="135">
        <f>J10</f>
        <v>0</v>
      </c>
      <c r="L10" s="138">
        <f>SUM(G10:K10)</f>
        <v>0</v>
      </c>
    </row>
    <row r="11" spans="1:12">
      <c r="A11" s="135"/>
      <c r="B11" s="135"/>
      <c r="C11" s="136"/>
      <c r="D11" s="137"/>
      <c r="E11" s="139"/>
      <c r="F11" s="137">
        <f>ROUNDUP(E11*D11,0)</f>
        <v>0</v>
      </c>
      <c r="G11" s="135">
        <f>F11</f>
        <v>0</v>
      </c>
      <c r="H11" s="135">
        <f>G11</f>
        <v>0</v>
      </c>
      <c r="I11" s="135">
        <f>H11</f>
        <v>0</v>
      </c>
      <c r="J11" s="135">
        <f>I11</f>
        <v>0</v>
      </c>
      <c r="K11" s="135">
        <f>J11</f>
        <v>0</v>
      </c>
      <c r="L11" s="138">
        <f>SUM(G11:K11)</f>
        <v>0</v>
      </c>
    </row>
    <row r="12" spans="1:12">
      <c r="A12" s="135"/>
      <c r="B12" s="135"/>
      <c r="C12" s="136"/>
      <c r="D12" s="137"/>
      <c r="E12" s="139"/>
      <c r="F12" s="137">
        <f>ROUNDUP(E12*D12,0)</f>
        <v>0</v>
      </c>
      <c r="G12" s="135">
        <f>F12</f>
        <v>0</v>
      </c>
      <c r="H12" s="135">
        <f>G12</f>
        <v>0</v>
      </c>
      <c r="I12" s="135">
        <f>H12</f>
        <v>0</v>
      </c>
      <c r="J12" s="135">
        <f>I12</f>
        <v>0</v>
      </c>
      <c r="K12" s="135">
        <f>J12</f>
        <v>0</v>
      </c>
      <c r="L12" s="138">
        <f>SUM(G12:K12)</f>
        <v>0</v>
      </c>
    </row>
    <row r="13" spans="1:12">
      <c r="A13" s="135"/>
      <c r="B13" s="135"/>
      <c r="C13" s="136"/>
      <c r="D13" s="137"/>
      <c r="E13" s="139"/>
      <c r="F13" s="137">
        <f>ROUNDUP(E13*D13,0)</f>
        <v>0</v>
      </c>
      <c r="G13" s="135">
        <f>F13</f>
        <v>0</v>
      </c>
      <c r="H13" s="135">
        <f>G13</f>
        <v>0</v>
      </c>
      <c r="I13" s="135">
        <f>H13</f>
        <v>0</v>
      </c>
      <c r="J13" s="135">
        <f>I13</f>
        <v>0</v>
      </c>
      <c r="K13" s="135">
        <f>J13</f>
        <v>0</v>
      </c>
      <c r="L13" s="138">
        <f>SUM(G13:K13)</f>
        <v>0</v>
      </c>
    </row>
    <row r="14" spans="1:12">
      <c r="A14" s="135"/>
      <c r="B14" s="135"/>
      <c r="C14" s="136"/>
      <c r="D14" s="137"/>
      <c r="E14" s="139"/>
      <c r="F14" s="137">
        <f>ROUNDUP(E14*D14,0)</f>
        <v>0</v>
      </c>
      <c r="G14" s="135">
        <f>F14</f>
        <v>0</v>
      </c>
      <c r="H14" s="135">
        <f>G14</f>
        <v>0</v>
      </c>
      <c r="I14" s="135">
        <f>H14</f>
        <v>0</v>
      </c>
      <c r="J14" s="135">
        <f>I14</f>
        <v>0</v>
      </c>
      <c r="K14" s="135">
        <f>J14</f>
        <v>0</v>
      </c>
      <c r="L14" s="138">
        <f>SUM(G14:K14)</f>
        <v>0</v>
      </c>
    </row>
    <row r="15" spans="1:12">
      <c r="A15" s="135"/>
      <c r="B15" s="135"/>
      <c r="C15" s="136"/>
      <c r="D15" s="137"/>
      <c r="E15" s="139"/>
      <c r="F15" s="137">
        <f>ROUNDUP(E15*D15,0)</f>
        <v>0</v>
      </c>
      <c r="G15" s="135">
        <f>F15</f>
        <v>0</v>
      </c>
      <c r="H15" s="135">
        <f>G15</f>
        <v>0</v>
      </c>
      <c r="I15" s="135">
        <f>H15</f>
        <v>0</v>
      </c>
      <c r="J15" s="135">
        <f>I15</f>
        <v>0</v>
      </c>
      <c r="K15" s="135">
        <f>J15</f>
        <v>0</v>
      </c>
      <c r="L15" s="138">
        <f>SUM(G15:K15)</f>
        <v>0</v>
      </c>
    </row>
    <row r="16" spans="1:12">
      <c r="A16" s="135"/>
      <c r="B16" s="135"/>
      <c r="C16" s="136"/>
      <c r="D16" s="137"/>
      <c r="E16" s="139"/>
      <c r="F16" s="137">
        <f>ROUNDUP(E16*D16,0)</f>
        <v>0</v>
      </c>
      <c r="G16" s="135">
        <f>F16</f>
        <v>0</v>
      </c>
      <c r="H16" s="135">
        <f>G16</f>
        <v>0</v>
      </c>
      <c r="I16" s="135">
        <f>H16</f>
        <v>0</v>
      </c>
      <c r="J16" s="135">
        <f>I16</f>
        <v>0</v>
      </c>
      <c r="K16" s="135">
        <f>J16</f>
        <v>0</v>
      </c>
      <c r="L16" s="138">
        <f>SUM(G16:K16)</f>
        <v>0</v>
      </c>
    </row>
    <row r="17" spans="1:12">
      <c r="A17" s="135"/>
      <c r="B17" s="135"/>
      <c r="C17" s="136"/>
      <c r="D17" s="137"/>
      <c r="E17" s="139"/>
      <c r="F17" s="137">
        <f>ROUNDUP(E17*D17,0)</f>
        <v>0</v>
      </c>
      <c r="G17" s="135">
        <f>F17</f>
        <v>0</v>
      </c>
      <c r="H17" s="135">
        <f>G17</f>
        <v>0</v>
      </c>
      <c r="I17" s="135">
        <f>H17</f>
        <v>0</v>
      </c>
      <c r="J17" s="135">
        <f>I17</f>
        <v>0</v>
      </c>
      <c r="K17" s="135">
        <f>J17</f>
        <v>0</v>
      </c>
      <c r="L17" s="138">
        <f>SUM(G17:K17)</f>
        <v>0</v>
      </c>
    </row>
    <row r="18" spans="1:12">
      <c r="A18" s="135"/>
      <c r="B18" s="135"/>
      <c r="C18" s="136"/>
      <c r="D18" s="137"/>
      <c r="E18" s="139"/>
      <c r="F18" s="137">
        <f>ROUNDUP(E18*D18,0)</f>
        <v>0</v>
      </c>
      <c r="G18" s="135">
        <f>F18</f>
        <v>0</v>
      </c>
      <c r="H18" s="135">
        <f>G18</f>
        <v>0</v>
      </c>
      <c r="I18" s="135">
        <f>H18</f>
        <v>0</v>
      </c>
      <c r="J18" s="135">
        <f>I18</f>
        <v>0</v>
      </c>
      <c r="K18" s="135">
        <f>J18</f>
        <v>0</v>
      </c>
      <c r="L18" s="138">
        <f>SUM(G18:K18)</f>
        <v>0</v>
      </c>
    </row>
    <row r="19" spans="1:12">
      <c r="A19" s="283" t="s">
        <v>266</v>
      </c>
      <c r="B19" s="283"/>
      <c r="C19" s="283"/>
      <c r="D19" s="283"/>
      <c r="E19" s="283"/>
      <c r="F19" s="140">
        <f>SUM(F4:F18)</f>
        <v>0</v>
      </c>
      <c r="G19" s="140">
        <f>SUM(G4:G18)</f>
        <v>0</v>
      </c>
      <c r="H19" s="140">
        <f>SUM(H4:H18)</f>
        <v>0</v>
      </c>
      <c r="I19" s="140">
        <f>SUM(I4:I18)</f>
        <v>0</v>
      </c>
      <c r="J19" s="140">
        <f>SUM(J4:J18)</f>
        <v>0</v>
      </c>
      <c r="K19" s="140">
        <f>SUM(K4:K18)</f>
        <v>0</v>
      </c>
      <c r="L19" s="140">
        <f>SUM(L4:L18)</f>
        <v>0</v>
      </c>
    </row>
    <row r="20" spans="1:12">
      <c r="A20" s="53"/>
      <c r="B20" s="113"/>
      <c r="C20" s="5"/>
      <c r="D20" s="5"/>
      <c r="E20" s="5"/>
      <c r="F20" s="5"/>
      <c r="G20" s="113"/>
      <c r="H20" s="5"/>
      <c r="I20" s="5"/>
      <c r="J20" s="5"/>
      <c r="K20" s="5"/>
      <c r="L20" s="52"/>
    </row>
    <row r="21" spans="1:12">
      <c r="A21" s="53"/>
      <c r="B21" s="113"/>
      <c r="C21" s="5"/>
      <c r="D21" s="5"/>
      <c r="E21" s="5"/>
      <c r="F21" s="5"/>
      <c r="G21" s="113"/>
      <c r="H21" s="5"/>
      <c r="I21" s="5"/>
      <c r="J21" s="5"/>
      <c r="K21" s="5"/>
      <c r="L21" s="52"/>
    </row>
    <row r="22" spans="1:12" ht="15" customHeight="1">
      <c r="A22" s="53"/>
      <c r="B22" s="113"/>
      <c r="C22" s="5"/>
      <c r="D22" s="5"/>
      <c r="E22" s="5"/>
      <c r="F22" s="5"/>
      <c r="G22" s="113"/>
      <c r="H22" s="5"/>
      <c r="I22" s="5"/>
      <c r="J22" s="5"/>
      <c r="K22" s="5"/>
      <c r="L22" s="52"/>
    </row>
    <row r="23" spans="1:12" ht="19.5" customHeight="1">
      <c r="A23" s="284" t="s">
        <v>267</v>
      </c>
      <c r="B23" s="284"/>
      <c r="C23" s="284"/>
      <c r="D23" s="284"/>
      <c r="E23" s="284"/>
      <c r="F23" s="284"/>
      <c r="G23" s="284"/>
      <c r="H23" s="284"/>
      <c r="I23" s="284"/>
      <c r="J23" s="284"/>
      <c r="K23" s="284"/>
      <c r="L23" s="284"/>
    </row>
    <row r="24" spans="1:12" ht="25.5" customHeight="1">
      <c r="A24" s="285" t="s">
        <v>268</v>
      </c>
      <c r="B24" s="285"/>
      <c r="C24" s="286" t="s">
        <v>269</v>
      </c>
      <c r="D24" s="286"/>
      <c r="E24" s="287" t="s">
        <v>270</v>
      </c>
      <c r="F24" s="287"/>
      <c r="G24" s="141" t="s">
        <v>260</v>
      </c>
      <c r="H24" s="141" t="s">
        <v>261</v>
      </c>
      <c r="I24" s="141" t="s">
        <v>262</v>
      </c>
      <c r="J24" s="141" t="s">
        <v>263</v>
      </c>
      <c r="K24" s="141" t="s">
        <v>264</v>
      </c>
      <c r="L24" s="141" t="s">
        <v>265</v>
      </c>
    </row>
    <row r="25" spans="1:12">
      <c r="A25" s="290">
        <f>'VDI Requirements'!H3</f>
        <v>15</v>
      </c>
      <c r="B25" s="290"/>
      <c r="C25" s="291">
        <v>13</v>
      </c>
      <c r="D25" s="291"/>
      <c r="E25" s="288">
        <f>$A$25*$C$25</f>
        <v>195</v>
      </c>
      <c r="F25" s="288"/>
      <c r="G25" s="288">
        <f>($A$25*$C$25)*12</f>
        <v>2340</v>
      </c>
      <c r="H25" s="288">
        <f>($A$25*$C$25)*12</f>
        <v>2340</v>
      </c>
      <c r="I25" s="288">
        <f>($A$25*$C$25)*12</f>
        <v>2340</v>
      </c>
      <c r="J25" s="288">
        <f>($A$25*$C$25)*12</f>
        <v>2340</v>
      </c>
      <c r="K25" s="288">
        <f>($A$25*$C$25)*12</f>
        <v>2340</v>
      </c>
      <c r="L25" s="289">
        <f>SUM(G25:K26)</f>
        <v>11700</v>
      </c>
    </row>
    <row r="26" spans="1:12">
      <c r="A26" s="290"/>
      <c r="B26" s="290"/>
      <c r="C26" s="291"/>
      <c r="D26" s="291"/>
      <c r="E26" s="288"/>
      <c r="F26" s="288"/>
      <c r="G26" s="288"/>
      <c r="H26" s="288"/>
      <c r="I26" s="288"/>
      <c r="J26" s="288"/>
      <c r="K26" s="288"/>
      <c r="L26" s="288"/>
    </row>
  </sheetData>
  <mergeCells count="22">
    <mergeCell ref="I25:I26"/>
    <mergeCell ref="J25:J26"/>
    <mergeCell ref="K25:K26"/>
    <mergeCell ref="L25:L26"/>
    <mergeCell ref="A25:B26"/>
    <mergeCell ref="C25:D26"/>
    <mergeCell ref="E25:F26"/>
    <mergeCell ref="G25:G26"/>
    <mergeCell ref="H25:H26"/>
    <mergeCell ref="A19:E19"/>
    <mergeCell ref="A23:L23"/>
    <mergeCell ref="A24:B24"/>
    <mergeCell ref="C24:D24"/>
    <mergeCell ref="E24:F24"/>
    <mergeCell ref="A1:L1"/>
    <mergeCell ref="A2:A3"/>
    <mergeCell ref="B2:B3"/>
    <mergeCell ref="C2:C3"/>
    <mergeCell ref="D2:D3"/>
    <mergeCell ref="E2:E3"/>
    <mergeCell ref="F2:F3"/>
    <mergeCell ref="G2:L2"/>
  </mergeCells>
  <conditionalFormatting sqref="G4:L18">
    <cfRule type="cellIs" dxfId="16" priority="2" operator="equal">
      <formula>0</formula>
    </cfRule>
  </conditionalFormatting>
  <dataValidations count="2">
    <dataValidation operator="equal" allowBlank="1" showErrorMessage="1" sqref="B20:B22" xr:uid="{00000000-0002-0000-0900-000000000000}">
      <formula1>0</formula1>
      <formula2>0</formula2>
    </dataValidation>
    <dataValidation type="list" allowBlank="1" showInputMessage="1" showErrorMessage="1" sqref="A4:A18" xr:uid="{00000000-0002-0000-0900-000001000000}">
      <formula1>"DEV,SIT,UAT,PRE-PROD,PROD,PROD DR,DR"</formula1>
      <formula2>0</formula2>
    </dataValidation>
  </dataValidations>
  <pageMargins left="0.7" right="0.7" top="0.75" bottom="0.75" header="0.511811023622047" footer="0.511811023622047"/>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sheetPr>
  <dimension ref="A1:AMK52"/>
  <sheetViews>
    <sheetView topLeftCell="B1" zoomScale="63" zoomScaleNormal="63" workbookViewId="0">
      <selection activeCell="N14" sqref="N14"/>
    </sheetView>
  </sheetViews>
  <sheetFormatPr defaultColWidth="0" defaultRowHeight="13.5"/>
  <cols>
    <col min="1" max="1" width="37.42578125" style="142" customWidth="1"/>
    <col min="2" max="2" width="20.42578125" style="142" customWidth="1"/>
    <col min="3" max="4" width="17.42578125" style="142" customWidth="1"/>
    <col min="5" max="5" width="10.42578125" style="142" customWidth="1"/>
    <col min="6" max="6" width="13.42578125" style="142" customWidth="1"/>
    <col min="7" max="8" width="21.5703125" style="142" customWidth="1"/>
    <col min="9" max="9" width="17.42578125" style="142" customWidth="1"/>
    <col min="10" max="10" width="15.5703125" style="142" customWidth="1"/>
    <col min="11" max="12" width="16.42578125" style="143" customWidth="1"/>
    <col min="13" max="14" width="15.5703125" style="143" customWidth="1"/>
    <col min="15" max="15" width="13.5703125" style="143" customWidth="1"/>
    <col min="16" max="16" width="15" style="143" customWidth="1"/>
    <col min="17" max="1025" width="8.5703125" style="50" hidden="1" customWidth="1"/>
    <col min="1026" max="16384" width="8.5703125" style="23" hidden="1"/>
  </cols>
  <sheetData>
    <row r="1" spans="1:16" ht="25.5" customHeight="1">
      <c r="A1" s="257" t="s">
        <v>271</v>
      </c>
      <c r="B1" s="257"/>
      <c r="C1" s="257"/>
      <c r="D1" s="257"/>
      <c r="E1" s="257"/>
      <c r="F1" s="257"/>
      <c r="G1" s="257"/>
      <c r="H1" s="257"/>
      <c r="I1" s="257"/>
      <c r="J1" s="257"/>
      <c r="K1" s="257"/>
      <c r="L1" s="257"/>
      <c r="M1" s="257"/>
      <c r="N1" s="257"/>
      <c r="O1" s="257"/>
      <c r="P1" s="257"/>
    </row>
    <row r="2" spans="1:16" s="129" customFormat="1">
      <c r="A2" s="144" t="s">
        <v>272</v>
      </c>
      <c r="B2" s="292"/>
      <c r="C2" s="292"/>
      <c r="D2" s="292"/>
      <c r="E2" s="292"/>
      <c r="F2" s="292"/>
      <c r="G2" s="292"/>
      <c r="H2" s="292"/>
      <c r="I2" s="292"/>
      <c r="J2" s="292"/>
      <c r="K2" s="292"/>
      <c r="L2" s="292"/>
      <c r="M2" s="292"/>
      <c r="N2" s="292"/>
      <c r="O2" s="292"/>
      <c r="P2" s="292"/>
    </row>
    <row r="3" spans="1:16" ht="34.5" customHeight="1">
      <c r="A3" s="65" t="s">
        <v>12</v>
      </c>
      <c r="B3" s="65" t="s">
        <v>246</v>
      </c>
      <c r="C3" s="88" t="s">
        <v>273</v>
      </c>
      <c r="D3" s="145" t="s">
        <v>274</v>
      </c>
      <c r="E3" s="65" t="s">
        <v>99</v>
      </c>
      <c r="F3" s="65" t="s">
        <v>100</v>
      </c>
      <c r="G3" s="65" t="s">
        <v>275</v>
      </c>
      <c r="H3" s="293" t="s">
        <v>276</v>
      </c>
      <c r="I3" s="293"/>
      <c r="J3" s="65" t="s">
        <v>277</v>
      </c>
      <c r="K3" s="114" t="s">
        <v>278</v>
      </c>
      <c r="L3" s="114" t="s">
        <v>247</v>
      </c>
      <c r="M3" s="114" t="s">
        <v>279</v>
      </c>
      <c r="N3" s="114" t="s">
        <v>280</v>
      </c>
      <c r="O3" s="114" t="s">
        <v>281</v>
      </c>
      <c r="P3" s="114" t="s">
        <v>250</v>
      </c>
    </row>
    <row r="4" spans="1:16" s="147" customFormat="1" ht="12" customHeight="1">
      <c r="A4" s="294"/>
      <c r="B4" s="290">
        <f>((12*5*4)/(24*7*4))*730</f>
        <v>260.71428571428572</v>
      </c>
      <c r="C4" s="294" t="s">
        <v>282</v>
      </c>
      <c r="D4" s="295"/>
      <c r="E4" s="295"/>
      <c r="F4" s="295"/>
      <c r="G4" s="294" t="s">
        <v>283</v>
      </c>
      <c r="H4" s="32" t="str">
        <f>IF(G4="Windows Server", "C:\", "/")</f>
        <v>C:\</v>
      </c>
      <c r="I4" s="146">
        <f>IF(G4="Windows Server", 150, 20)</f>
        <v>150</v>
      </c>
      <c r="J4" s="296">
        <f>SUM(I4:I7)</f>
        <v>300</v>
      </c>
      <c r="K4" s="297">
        <f>J4 *(IF(C4="AZURE", SUMMARY!C$20, SUMMARY!C$21))</f>
        <v>28.8</v>
      </c>
      <c r="L4" s="298"/>
      <c r="M4" s="299">
        <f>IF(C4="ON PREM", 0, SUMMARY!C$25%)</f>
        <v>0.12</v>
      </c>
      <c r="N4" s="299">
        <f>IF(C4="AWS",SUMMARY!C$26%, 0)</f>
        <v>0.13</v>
      </c>
      <c r="O4" s="300">
        <f>((SUM(K4:L4))-((SUM(K4:L4))*N4))*(1 + M4)</f>
        <v>28.062720000000002</v>
      </c>
      <c r="P4" s="300">
        <f>O4*12</f>
        <v>336.75264000000004</v>
      </c>
    </row>
    <row r="5" spans="1:16" s="147" customFormat="1" ht="12" customHeight="1">
      <c r="A5" s="294"/>
      <c r="B5" s="294"/>
      <c r="C5" s="294"/>
      <c r="D5" s="295"/>
      <c r="E5" s="295"/>
      <c r="F5" s="295"/>
      <c r="G5" s="294"/>
      <c r="H5" s="148" t="str">
        <f>IF(G4="Windows Server", "F:\appdir", "/appdir")</f>
        <v>F:\appdir</v>
      </c>
      <c r="I5" s="149"/>
      <c r="J5" s="296"/>
      <c r="K5" s="296"/>
      <c r="L5" s="296"/>
      <c r="M5" s="296"/>
      <c r="N5" s="296"/>
      <c r="O5" s="296"/>
      <c r="P5" s="296"/>
    </row>
    <row r="6" spans="1:16" s="147" customFormat="1" ht="12" customHeight="1">
      <c r="A6" s="294"/>
      <c r="B6" s="294"/>
      <c r="C6" s="294"/>
      <c r="D6" s="295"/>
      <c r="E6" s="295"/>
      <c r="F6" s="295"/>
      <c r="G6" s="294"/>
      <c r="H6" s="32" t="str">
        <f>IF(G4="Windows Server", "G:\Log", "/var/log")</f>
        <v>G:\Log</v>
      </c>
      <c r="I6" s="146">
        <f>IF(G4="Windows Server", 50, 20)</f>
        <v>50</v>
      </c>
      <c r="J6" s="296"/>
      <c r="K6" s="296"/>
      <c r="L6" s="296"/>
      <c r="M6" s="296"/>
      <c r="N6" s="296"/>
      <c r="O6" s="296"/>
      <c r="P6" s="296"/>
    </row>
    <row r="7" spans="1:16" s="147" customFormat="1" ht="12" customHeight="1">
      <c r="A7" s="294"/>
      <c r="B7" s="294"/>
      <c r="C7" s="294"/>
      <c r="D7" s="295"/>
      <c r="E7" s="295"/>
      <c r="F7" s="295"/>
      <c r="G7" s="294"/>
      <c r="H7" s="32" t="str">
        <f>IF(G4="Windows Server", "H:\Backup", "/backup")</f>
        <v>H:\Backup</v>
      </c>
      <c r="I7" s="146">
        <f>IF(G4="Windows Server", 100, 10)</f>
        <v>100</v>
      </c>
      <c r="J7" s="296"/>
      <c r="K7" s="296"/>
      <c r="L7" s="296"/>
      <c r="M7" s="296"/>
      <c r="N7" s="296"/>
      <c r="O7" s="296"/>
      <c r="P7" s="296"/>
    </row>
    <row r="8" spans="1:16" s="147" customFormat="1" ht="12" customHeight="1">
      <c r="A8" s="294"/>
      <c r="B8" s="290">
        <f>((12*5*4)/(24*7*4))*730</f>
        <v>260.71428571428572</v>
      </c>
      <c r="C8" s="294" t="s">
        <v>282</v>
      </c>
      <c r="D8" s="295"/>
      <c r="E8" s="295"/>
      <c r="F8" s="295"/>
      <c r="G8" s="294" t="s">
        <v>283</v>
      </c>
      <c r="H8" s="32" t="str">
        <f>IF(G8="Windows Server", "C:\", "/")</f>
        <v>C:\</v>
      </c>
      <c r="I8" s="146">
        <f>IF(G8="Windows Server", 150, 20)</f>
        <v>150</v>
      </c>
      <c r="J8" s="296">
        <f>SUM(I8:I11)</f>
        <v>300</v>
      </c>
      <c r="K8" s="297">
        <f>J8 *(IF(C8="AZURE", SUMMARY!C$20, SUMMARY!C$21))</f>
        <v>28.8</v>
      </c>
      <c r="L8" s="298"/>
      <c r="M8" s="299">
        <f>IF(C8="ON PREM", 0, SUMMARY!C$25%)</f>
        <v>0.12</v>
      </c>
      <c r="N8" s="299">
        <f>IF(C8="AWS",SUMMARY!C$26%, 0)</f>
        <v>0.13</v>
      </c>
      <c r="O8" s="300">
        <f>((SUM(K8:L8))-((SUM(K8:L8))*N8))*(1 + M8)</f>
        <v>28.062720000000002</v>
      </c>
      <c r="P8" s="300">
        <f>O8*12</f>
        <v>336.75264000000004</v>
      </c>
    </row>
    <row r="9" spans="1:16" s="147" customFormat="1" ht="12" customHeight="1">
      <c r="A9" s="294"/>
      <c r="B9" s="294"/>
      <c r="C9" s="294"/>
      <c r="D9" s="295"/>
      <c r="E9" s="295"/>
      <c r="F9" s="295"/>
      <c r="G9" s="294"/>
      <c r="H9" s="148" t="str">
        <f>IF(G8="Windows Server", "F:\appdir", "/appdir")</f>
        <v>F:\appdir</v>
      </c>
      <c r="I9" s="149"/>
      <c r="J9" s="296"/>
      <c r="K9" s="296"/>
      <c r="L9" s="296"/>
      <c r="M9" s="296"/>
      <c r="N9" s="296"/>
      <c r="O9" s="296"/>
      <c r="P9" s="296"/>
    </row>
    <row r="10" spans="1:16" s="147" customFormat="1" ht="12" customHeight="1">
      <c r="A10" s="294"/>
      <c r="B10" s="294"/>
      <c r="C10" s="294"/>
      <c r="D10" s="295"/>
      <c r="E10" s="295"/>
      <c r="F10" s="295"/>
      <c r="G10" s="294"/>
      <c r="H10" s="32" t="str">
        <f>IF(G8="Windows Server", "G:\Log", "/var/log")</f>
        <v>G:\Log</v>
      </c>
      <c r="I10" s="146">
        <f>IF(G8="Windows Server", 50, 20)</f>
        <v>50</v>
      </c>
      <c r="J10" s="296"/>
      <c r="K10" s="296"/>
      <c r="L10" s="296"/>
      <c r="M10" s="296"/>
      <c r="N10" s="296"/>
      <c r="O10" s="296"/>
      <c r="P10" s="296"/>
    </row>
    <row r="11" spans="1:16" s="147" customFormat="1" ht="12" customHeight="1">
      <c r="A11" s="294"/>
      <c r="B11" s="294"/>
      <c r="C11" s="294"/>
      <c r="D11" s="295"/>
      <c r="E11" s="295"/>
      <c r="F11" s="295"/>
      <c r="G11" s="294"/>
      <c r="H11" s="32" t="str">
        <f>IF(G8="Windows Server", "H:\Backup", "/backup")</f>
        <v>H:\Backup</v>
      </c>
      <c r="I11" s="146">
        <f>IF(G8="Windows Server", 100, 10)</f>
        <v>100</v>
      </c>
      <c r="J11" s="296"/>
      <c r="K11" s="296"/>
      <c r="L11" s="296"/>
      <c r="M11" s="296"/>
      <c r="N11" s="296"/>
      <c r="O11" s="296"/>
      <c r="P11" s="296"/>
    </row>
    <row r="12" spans="1:16" ht="14.25" customHeight="1">
      <c r="A12" s="3"/>
      <c r="B12" s="3"/>
      <c r="C12" s="3"/>
      <c r="D12" s="3"/>
      <c r="E12" s="3">
        <f>SUM(E4:E11)</f>
        <v>0</v>
      </c>
      <c r="F12" s="3">
        <f>SUM(F4:F11)</f>
        <v>0</v>
      </c>
      <c r="G12" s="3"/>
      <c r="H12" s="3"/>
      <c r="I12" s="3"/>
      <c r="J12" s="3">
        <f>SUM(J4:J11)</f>
        <v>600</v>
      </c>
      <c r="K12" s="133">
        <f>SUM(K4:K11)</f>
        <v>57.6</v>
      </c>
      <c r="L12" s="133">
        <f>SUM(L4:L11)</f>
        <v>0</v>
      </c>
      <c r="M12" s="133"/>
      <c r="N12" s="133"/>
      <c r="O12" s="133">
        <f>SUM(O4:O11)</f>
        <v>56.125440000000005</v>
      </c>
      <c r="P12" s="133">
        <f>SUM(P4:P11)</f>
        <v>673.50528000000008</v>
      </c>
    </row>
    <row r="13" spans="1:16" s="129" customFormat="1">
      <c r="A13" s="144" t="s">
        <v>284</v>
      </c>
      <c r="B13" s="301"/>
      <c r="C13" s="301"/>
      <c r="D13" s="301"/>
      <c r="E13" s="301"/>
      <c r="F13" s="301"/>
      <c r="G13" s="301"/>
      <c r="H13" s="301"/>
      <c r="I13" s="301"/>
      <c r="J13" s="301"/>
      <c r="K13" s="301"/>
      <c r="L13" s="301"/>
      <c r="M13" s="301"/>
      <c r="N13" s="301"/>
      <c r="O13" s="301"/>
      <c r="P13" s="301"/>
    </row>
    <row r="14" spans="1:16" ht="13.5" customHeight="1">
      <c r="A14" s="302"/>
      <c r="B14" s="290">
        <f>((12*5*4)/(24*7*4))*730</f>
        <v>260.71428571428572</v>
      </c>
      <c r="C14" s="303" t="s">
        <v>282</v>
      </c>
      <c r="D14" s="303"/>
      <c r="E14" s="304">
        <f>$E$4</f>
        <v>0</v>
      </c>
      <c r="F14" s="305">
        <f>$F$4</f>
        <v>0</v>
      </c>
      <c r="G14" s="306" t="s">
        <v>283</v>
      </c>
      <c r="H14" s="32" t="str">
        <f>IF(G14="Windows Server", "C:\", "/")</f>
        <v>C:\</v>
      </c>
      <c r="I14" s="146">
        <f>IF(G14="Windows Server", 150, 20)</f>
        <v>150</v>
      </c>
      <c r="J14" s="296">
        <f>SUM(I14:I17)</f>
        <v>300</v>
      </c>
      <c r="K14" s="307">
        <f>J14 *(IF(C14="AZURE", SUMMARY!C$20, SUMMARY!C$21))</f>
        <v>28.8</v>
      </c>
      <c r="L14" s="308"/>
      <c r="M14" s="309">
        <f>IF(C14="ON PREM", 0, SUMMARY!C$25%)</f>
        <v>0.12</v>
      </c>
      <c r="N14" s="299">
        <f>IF(C14="AWS",SUMMARY!C$26%, 0)</f>
        <v>0.13</v>
      </c>
      <c r="O14" s="300">
        <f>((SUM(K14:L14))-((SUM(K14:L14))*N14))*(1 + M14)</f>
        <v>28.062720000000002</v>
      </c>
      <c r="P14" s="300">
        <f>O14*12</f>
        <v>336.75264000000004</v>
      </c>
    </row>
    <row r="15" spans="1:16">
      <c r="A15" s="302"/>
      <c r="B15" s="302"/>
      <c r="C15" s="303"/>
      <c r="D15" s="303"/>
      <c r="E15" s="303"/>
      <c r="F15" s="303"/>
      <c r="G15" s="306"/>
      <c r="H15" s="150" t="str">
        <f>IF(G14="Windows Server", "F:\appdir", "/appdir'")</f>
        <v>F:\appdir</v>
      </c>
      <c r="I15" s="151">
        <f>$I$5</f>
        <v>0</v>
      </c>
      <c r="J15" s="296"/>
      <c r="K15" s="296"/>
      <c r="L15" s="296"/>
      <c r="M15" s="296"/>
      <c r="N15" s="296"/>
      <c r="O15" s="296"/>
      <c r="P15" s="296"/>
    </row>
    <row r="16" spans="1:16">
      <c r="A16" s="302"/>
      <c r="B16" s="302"/>
      <c r="C16" s="303"/>
      <c r="D16" s="303"/>
      <c r="E16" s="303"/>
      <c r="F16" s="303"/>
      <c r="G16" s="306"/>
      <c r="H16" s="32" t="str">
        <f>IF(G14="Windows Server", "G:\Log", "/var/log")</f>
        <v>G:\Log</v>
      </c>
      <c r="I16" s="146">
        <f>IF(G14="Windows Server", 50, 20)</f>
        <v>50</v>
      </c>
      <c r="J16" s="296"/>
      <c r="K16" s="296"/>
      <c r="L16" s="296"/>
      <c r="M16" s="296"/>
      <c r="N16" s="296"/>
      <c r="O16" s="296"/>
      <c r="P16" s="296"/>
    </row>
    <row r="17" spans="1:16">
      <c r="A17" s="302"/>
      <c r="B17" s="302"/>
      <c r="C17" s="303"/>
      <c r="D17" s="303"/>
      <c r="E17" s="303"/>
      <c r="F17" s="303"/>
      <c r="G17" s="306"/>
      <c r="H17" s="32" t="str">
        <f>IF(G14="Windows Server", "H:\Backup", "/backup")</f>
        <v>H:\Backup</v>
      </c>
      <c r="I17" s="146">
        <f>IF(G14="Windows Server", 100, 10)</f>
        <v>100</v>
      </c>
      <c r="J17" s="296"/>
      <c r="K17" s="296"/>
      <c r="L17" s="296"/>
      <c r="M17" s="296"/>
      <c r="N17" s="296"/>
      <c r="O17" s="296"/>
      <c r="P17" s="296"/>
    </row>
    <row r="18" spans="1:16" ht="13.5" customHeight="1">
      <c r="A18" s="302"/>
      <c r="B18" s="290">
        <f>((12*5*4)/(24*7*4))*730</f>
        <v>260.71428571428572</v>
      </c>
      <c r="C18" s="303" t="s">
        <v>282</v>
      </c>
      <c r="D18" s="303"/>
      <c r="E18" s="304">
        <f>$E$8</f>
        <v>0</v>
      </c>
      <c r="F18" s="305">
        <f>$F$8</f>
        <v>0</v>
      </c>
      <c r="G18" s="306" t="s">
        <v>283</v>
      </c>
      <c r="H18" s="32" t="str">
        <f>IF(G18="Windows Server", "C:\", "/")</f>
        <v>C:\</v>
      </c>
      <c r="I18" s="146">
        <f>IF(G18="Windows Server", 150, 20)</f>
        <v>150</v>
      </c>
      <c r="J18" s="296">
        <f>SUM(I18:I21)</f>
        <v>300</v>
      </c>
      <c r="K18" s="307">
        <f>J18 *(IF(C18="AZURE", SUMMARY!C$20, SUMMARY!C$21))</f>
        <v>28.8</v>
      </c>
      <c r="L18" s="308"/>
      <c r="M18" s="309">
        <f>IF(C18="ON PREM", 0, SUMMARY!C$25%)</f>
        <v>0.12</v>
      </c>
      <c r="N18" s="299">
        <f>IF(C18="AWS",SUMMARY!C$26%, 0)</f>
        <v>0.13</v>
      </c>
      <c r="O18" s="300">
        <f>((SUM(K18:L18))-((SUM(K18:L18))*N18))*(1 + M18)</f>
        <v>28.062720000000002</v>
      </c>
      <c r="P18" s="300">
        <f>O18*12</f>
        <v>336.75264000000004</v>
      </c>
    </row>
    <row r="19" spans="1:16">
      <c r="A19" s="302"/>
      <c r="B19" s="302"/>
      <c r="C19" s="303"/>
      <c r="D19" s="303"/>
      <c r="E19" s="303"/>
      <c r="F19" s="303"/>
      <c r="G19" s="306"/>
      <c r="H19" s="150" t="str">
        <f>IF(G18="Windows Server", "F:\appdir", "/appdir")</f>
        <v>F:\appdir</v>
      </c>
      <c r="I19" s="152">
        <f>$I$9</f>
        <v>0</v>
      </c>
      <c r="J19" s="296"/>
      <c r="K19" s="296"/>
      <c r="L19" s="296"/>
      <c r="M19" s="296"/>
      <c r="N19" s="296"/>
      <c r="O19" s="296"/>
      <c r="P19" s="296"/>
    </row>
    <row r="20" spans="1:16">
      <c r="A20" s="302"/>
      <c r="B20" s="302"/>
      <c r="C20" s="303"/>
      <c r="D20" s="303"/>
      <c r="E20" s="303"/>
      <c r="F20" s="303"/>
      <c r="G20" s="306"/>
      <c r="H20" s="32" t="str">
        <f>IF(G18="Windows Server", "G:\Log", "/var/log")</f>
        <v>G:\Log</v>
      </c>
      <c r="I20" s="146">
        <f>IF(G18="Windows Server", 50, 20)</f>
        <v>50</v>
      </c>
      <c r="J20" s="296"/>
      <c r="K20" s="296"/>
      <c r="L20" s="296"/>
      <c r="M20" s="296"/>
      <c r="N20" s="296"/>
      <c r="O20" s="296"/>
      <c r="P20" s="296"/>
    </row>
    <row r="21" spans="1:16">
      <c r="A21" s="302"/>
      <c r="B21" s="302"/>
      <c r="C21" s="303"/>
      <c r="D21" s="303"/>
      <c r="E21" s="303"/>
      <c r="F21" s="303"/>
      <c r="G21" s="306"/>
      <c r="H21" s="32" t="str">
        <f>IF(G18="Windows Server", "H:\Backup", "/backup")</f>
        <v>H:\Backup</v>
      </c>
      <c r="I21" s="146">
        <f>IF(G18="Windows Server", 100, 10)</f>
        <v>100</v>
      </c>
      <c r="J21" s="296"/>
      <c r="K21" s="296"/>
      <c r="L21" s="296"/>
      <c r="M21" s="296"/>
      <c r="N21" s="296"/>
      <c r="O21" s="296"/>
      <c r="P21" s="296"/>
    </row>
    <row r="22" spans="1:16" ht="14.25" customHeight="1">
      <c r="A22" s="3"/>
      <c r="B22" s="3"/>
      <c r="C22" s="3"/>
      <c r="D22" s="3"/>
      <c r="E22" s="3">
        <f>SUM(E14:E21)</f>
        <v>0</v>
      </c>
      <c r="F22" s="3">
        <f>SUM(F14:F21)</f>
        <v>0</v>
      </c>
      <c r="G22" s="3"/>
      <c r="H22" s="3"/>
      <c r="I22" s="3"/>
      <c r="J22" s="3">
        <f>SUM(J14:J21)</f>
        <v>600</v>
      </c>
      <c r="K22" s="133">
        <f>SUM(K14:K21)</f>
        <v>57.6</v>
      </c>
      <c r="L22" s="133">
        <f>SUM(L14:L21)</f>
        <v>0</v>
      </c>
      <c r="M22" s="133"/>
      <c r="N22" s="133"/>
      <c r="O22" s="133">
        <f>SUM(O14:O21)</f>
        <v>56.125440000000005</v>
      </c>
      <c r="P22" s="133">
        <f>SUM(P14:P21)</f>
        <v>673.50528000000008</v>
      </c>
    </row>
    <row r="23" spans="1:16" s="129" customFormat="1">
      <c r="A23" s="144" t="s">
        <v>285</v>
      </c>
      <c r="B23" s="301"/>
      <c r="C23" s="301"/>
      <c r="D23" s="301"/>
      <c r="E23" s="301"/>
      <c r="F23" s="301"/>
      <c r="G23" s="301"/>
      <c r="H23" s="301"/>
      <c r="I23" s="301"/>
      <c r="J23" s="301"/>
      <c r="K23" s="301"/>
      <c r="L23" s="301"/>
      <c r="M23" s="301"/>
      <c r="N23" s="301"/>
      <c r="O23" s="301"/>
      <c r="P23" s="301"/>
    </row>
    <row r="24" spans="1:16">
      <c r="A24" s="294"/>
      <c r="B24" s="290">
        <f>((12*5*4)/(24*7*4))*730</f>
        <v>260.71428571428572</v>
      </c>
      <c r="C24" s="294" t="s">
        <v>286</v>
      </c>
      <c r="D24" s="295"/>
      <c r="E24" s="310">
        <f>$E$4</f>
        <v>0</v>
      </c>
      <c r="F24" s="310">
        <f>$F$4</f>
        <v>0</v>
      </c>
      <c r="G24" s="294" t="s">
        <v>287</v>
      </c>
      <c r="H24" s="32" t="str">
        <f>IF(G24="Windows Server", "C:\", "/")</f>
        <v>/</v>
      </c>
      <c r="I24" s="146">
        <f>IF(G24="Windows Server", 150, 20)</f>
        <v>20</v>
      </c>
      <c r="J24" s="296">
        <f>SUM(I24:I27)</f>
        <v>50</v>
      </c>
      <c r="K24" s="297">
        <f>J24 *(IF(C24="AZURE", SUMMARY!C$20, SUMMARY!C$21))</f>
        <v>4.8</v>
      </c>
      <c r="L24" s="298"/>
      <c r="M24" s="299">
        <f>IF(C24="ON PREM", 0, SUMMARY!C$25%)</f>
        <v>0.12</v>
      </c>
      <c r="N24" s="299">
        <f>IF(C24="AWS",SUMMARY!C$26%, 0)</f>
        <v>0</v>
      </c>
      <c r="O24" s="300">
        <f>((SUM(K24:L24))-((SUM(K24:L24))*N24))*(1 + M24)</f>
        <v>5.3760000000000003</v>
      </c>
      <c r="P24" s="300">
        <f>O24*12</f>
        <v>64.512</v>
      </c>
    </row>
    <row r="25" spans="1:16">
      <c r="A25" s="294"/>
      <c r="B25" s="294"/>
      <c r="C25" s="294"/>
      <c r="D25" s="295"/>
      <c r="E25" s="295"/>
      <c r="F25" s="295"/>
      <c r="G25" s="294"/>
      <c r="H25" s="148" t="str">
        <f>IF(G24="Windows Server", "F:\appdir", "/appdir")</f>
        <v>/appdir</v>
      </c>
      <c r="I25" s="149"/>
      <c r="J25" s="296"/>
      <c r="K25" s="296"/>
      <c r="L25" s="296"/>
      <c r="M25" s="296"/>
      <c r="N25" s="296"/>
      <c r="O25" s="296"/>
      <c r="P25" s="296"/>
    </row>
    <row r="26" spans="1:16">
      <c r="A26" s="294"/>
      <c r="B26" s="294"/>
      <c r="C26" s="294"/>
      <c r="D26" s="295"/>
      <c r="E26" s="295"/>
      <c r="F26" s="295"/>
      <c r="G26" s="294"/>
      <c r="H26" s="32" t="str">
        <f>IF(G24="Windows Server", "G:\Log", "/var/log")</f>
        <v>/var/log</v>
      </c>
      <c r="I26" s="146">
        <f>IF(G24="Windows Server", 50, 20)</f>
        <v>20</v>
      </c>
      <c r="J26" s="296"/>
      <c r="K26" s="296"/>
      <c r="L26" s="296"/>
      <c r="M26" s="296"/>
      <c r="N26" s="296"/>
      <c r="O26" s="296"/>
      <c r="P26" s="296"/>
    </row>
    <row r="27" spans="1:16">
      <c r="A27" s="294"/>
      <c r="B27" s="294"/>
      <c r="C27" s="294"/>
      <c r="D27" s="295"/>
      <c r="E27" s="295"/>
      <c r="F27" s="295"/>
      <c r="G27" s="294"/>
      <c r="H27" s="32" t="str">
        <f>IF(G24="Windows Server", "H:\Backup", "/backup")</f>
        <v>/backup</v>
      </c>
      <c r="I27" s="146">
        <f>IF(G24="Windows Server", 100, 10)</f>
        <v>10</v>
      </c>
      <c r="J27" s="296"/>
      <c r="K27" s="296"/>
      <c r="L27" s="296"/>
      <c r="M27" s="296"/>
      <c r="N27" s="296"/>
      <c r="O27" s="296"/>
      <c r="P27" s="296"/>
    </row>
    <row r="28" spans="1:16" s="147" customFormat="1" ht="12" customHeight="1">
      <c r="A28" s="294"/>
      <c r="B28" s="290">
        <f>((12*5*4)/(24*7*4))*730</f>
        <v>260.71428571428572</v>
      </c>
      <c r="C28" s="294" t="s">
        <v>288</v>
      </c>
      <c r="D28" s="295"/>
      <c r="E28" s="310">
        <f>$E$8</f>
        <v>0</v>
      </c>
      <c r="F28" s="310">
        <f>$F$8</f>
        <v>0</v>
      </c>
      <c r="G28" s="294" t="s">
        <v>287</v>
      </c>
      <c r="H28" s="32" t="str">
        <f>IF(G28="Windows Server", "C:\", "/")</f>
        <v>/</v>
      </c>
      <c r="I28" s="146">
        <f>IF(G28="Windows Server", 150, 20)</f>
        <v>20</v>
      </c>
      <c r="J28" s="296">
        <f>SUM(I28:I31)</f>
        <v>50</v>
      </c>
      <c r="K28" s="297">
        <f>J28 *(IF(C28="AZURE", SUMMARY!C$20, SUMMARY!C$21))</f>
        <v>4.8</v>
      </c>
      <c r="L28" s="298"/>
      <c r="M28" s="299">
        <f>IF(C28="ON PREM", 0, SUMMARY!C$25%)</f>
        <v>0</v>
      </c>
      <c r="N28" s="299">
        <f>IF(C28="AWS",SUMMARY!C$26%, 0)</f>
        <v>0</v>
      </c>
      <c r="O28" s="300">
        <f>((SUM(K28:L28))-((SUM(K28:L28))*N28))*(1 + M28)</f>
        <v>4.8</v>
      </c>
      <c r="P28" s="300">
        <f>O28*12</f>
        <v>57.599999999999994</v>
      </c>
    </row>
    <row r="29" spans="1:16" s="147" customFormat="1" ht="12" customHeight="1">
      <c r="A29" s="294"/>
      <c r="B29" s="294"/>
      <c r="C29" s="294"/>
      <c r="D29" s="295"/>
      <c r="E29" s="295"/>
      <c r="F29" s="295"/>
      <c r="G29" s="294"/>
      <c r="H29" s="148" t="str">
        <f>IF(G28="Windows Server", "F:\appdir", "/appdir")</f>
        <v>/appdir</v>
      </c>
      <c r="I29" s="149"/>
      <c r="J29" s="296"/>
      <c r="K29" s="296"/>
      <c r="L29" s="296"/>
      <c r="M29" s="296"/>
      <c r="N29" s="296"/>
      <c r="O29" s="296"/>
      <c r="P29" s="296"/>
    </row>
    <row r="30" spans="1:16" s="147" customFormat="1" ht="12" customHeight="1">
      <c r="A30" s="294"/>
      <c r="B30" s="294"/>
      <c r="C30" s="294"/>
      <c r="D30" s="295"/>
      <c r="E30" s="295"/>
      <c r="F30" s="295"/>
      <c r="G30" s="294"/>
      <c r="H30" s="32" t="str">
        <f>IF(G28="Windows Server", "G:\Log", "/var/log")</f>
        <v>/var/log</v>
      </c>
      <c r="I30" s="146">
        <f>IF(G28="Windows Server", 50, 20)</f>
        <v>20</v>
      </c>
      <c r="J30" s="296"/>
      <c r="K30" s="296"/>
      <c r="L30" s="296"/>
      <c r="M30" s="296"/>
      <c r="N30" s="296"/>
      <c r="O30" s="296"/>
      <c r="P30" s="296"/>
    </row>
    <row r="31" spans="1:16" s="147" customFormat="1" ht="12" customHeight="1">
      <c r="A31" s="294"/>
      <c r="B31" s="294"/>
      <c r="C31" s="294"/>
      <c r="D31" s="295"/>
      <c r="E31" s="295"/>
      <c r="F31" s="295"/>
      <c r="G31" s="294"/>
      <c r="H31" s="32" t="str">
        <f>IF(G28="Windows Server", "H:\Backup", "/backup")</f>
        <v>/backup</v>
      </c>
      <c r="I31" s="146">
        <f>IF(G28="Windows Server", 100, 10)</f>
        <v>10</v>
      </c>
      <c r="J31" s="296"/>
      <c r="K31" s="296"/>
      <c r="L31" s="296"/>
      <c r="M31" s="296"/>
      <c r="N31" s="296"/>
      <c r="O31" s="296"/>
      <c r="P31" s="296"/>
    </row>
    <row r="32" spans="1:16" ht="14.25" customHeight="1">
      <c r="A32" s="3"/>
      <c r="B32" s="3"/>
      <c r="C32" s="3"/>
      <c r="D32" s="3"/>
      <c r="E32" s="3">
        <f>SUM(E24:E31)</f>
        <v>0</v>
      </c>
      <c r="F32" s="3">
        <f>SUM(F24:F31)</f>
        <v>0</v>
      </c>
      <c r="G32" s="3"/>
      <c r="H32" s="3"/>
      <c r="I32" s="3"/>
      <c r="J32" s="3">
        <f>SUM(J24:J31)</f>
        <v>100</v>
      </c>
      <c r="K32" s="133">
        <f>SUM(K24:K31)</f>
        <v>9.6</v>
      </c>
      <c r="L32" s="133">
        <f>SUM(L24:L31)</f>
        <v>0</v>
      </c>
      <c r="M32" s="133"/>
      <c r="N32" s="133"/>
      <c r="O32" s="133">
        <f>SUM(O24:O31)</f>
        <v>10.176</v>
      </c>
      <c r="P32" s="133">
        <f>SUM(P24:P31)</f>
        <v>122.11199999999999</v>
      </c>
    </row>
    <row r="33" spans="1:16" s="129" customFormat="1">
      <c r="A33" s="144" t="s">
        <v>289</v>
      </c>
      <c r="B33" s="301"/>
      <c r="C33" s="301"/>
      <c r="D33" s="301"/>
      <c r="E33" s="301"/>
      <c r="F33" s="301"/>
      <c r="G33" s="301"/>
      <c r="H33" s="301"/>
      <c r="I33" s="301"/>
      <c r="J33" s="301"/>
      <c r="K33" s="301"/>
      <c r="L33" s="301"/>
      <c r="M33" s="301"/>
      <c r="N33" s="301"/>
      <c r="O33" s="301"/>
      <c r="P33" s="301"/>
    </row>
    <row r="34" spans="1:16" ht="13.5" customHeight="1">
      <c r="A34" s="302"/>
      <c r="B34" s="290">
        <f>((12*5*4)/(24*7*4))*730</f>
        <v>260.71428571428572</v>
      </c>
      <c r="C34" s="303" t="s">
        <v>282</v>
      </c>
      <c r="D34" s="303"/>
      <c r="E34" s="304">
        <f>$E$4</f>
        <v>0</v>
      </c>
      <c r="F34" s="305">
        <f>$F$4</f>
        <v>0</v>
      </c>
      <c r="G34" s="306" t="s">
        <v>283</v>
      </c>
      <c r="H34" s="32" t="str">
        <f>IF(G34="Windows Server", "C:\", "/")</f>
        <v>C:\</v>
      </c>
      <c r="I34" s="146">
        <f>IF(G34="Windows Server", 150, 20)</f>
        <v>150</v>
      </c>
      <c r="J34" s="296">
        <f>SUM(I34:I37)</f>
        <v>300</v>
      </c>
      <c r="K34" s="307">
        <f>J34 *(IF(C34="AZURE", SUMMARY!C$20, SUMMARY!C$21))</f>
        <v>28.8</v>
      </c>
      <c r="L34" s="308"/>
      <c r="M34" s="299">
        <f>IF(C34="ON PREM", 0, SUMMARY!C$25%)</f>
        <v>0.12</v>
      </c>
      <c r="N34" s="299">
        <f>IF(C34="AWS",SUMMARY!C$26%, 0)</f>
        <v>0.13</v>
      </c>
      <c r="O34" s="300">
        <f>((SUM(K34:L34))-((SUM(K34:L34))*N34))*(1 + M34)</f>
        <v>28.062720000000002</v>
      </c>
      <c r="P34" s="300">
        <f>O34*12</f>
        <v>336.75264000000004</v>
      </c>
    </row>
    <row r="35" spans="1:16">
      <c r="A35" s="302"/>
      <c r="B35" s="302"/>
      <c r="C35" s="303"/>
      <c r="D35" s="303"/>
      <c r="E35" s="303"/>
      <c r="F35" s="303"/>
      <c r="G35" s="306"/>
      <c r="H35" s="150" t="str">
        <f>IF(G34="Windows Server", "F:\appdir", "/appdir")</f>
        <v>F:\appdir</v>
      </c>
      <c r="I35" s="151">
        <f>$I$5</f>
        <v>0</v>
      </c>
      <c r="J35" s="296"/>
      <c r="K35" s="296"/>
      <c r="L35" s="296"/>
      <c r="M35" s="296"/>
      <c r="N35" s="296"/>
      <c r="O35" s="296"/>
      <c r="P35" s="296"/>
    </row>
    <row r="36" spans="1:16">
      <c r="A36" s="302"/>
      <c r="B36" s="302"/>
      <c r="C36" s="303"/>
      <c r="D36" s="303"/>
      <c r="E36" s="303"/>
      <c r="F36" s="303"/>
      <c r="G36" s="306"/>
      <c r="H36" s="32" t="str">
        <f>IF(G34="Windows Server", "G:\Log", "/var/log")</f>
        <v>G:\Log</v>
      </c>
      <c r="I36" s="146">
        <f>IF(G34="Windows Server", 50, 20)</f>
        <v>50</v>
      </c>
      <c r="J36" s="296"/>
      <c r="K36" s="296"/>
      <c r="L36" s="296"/>
      <c r="M36" s="296"/>
      <c r="N36" s="296"/>
      <c r="O36" s="296"/>
      <c r="P36" s="296"/>
    </row>
    <row r="37" spans="1:16">
      <c r="A37" s="302"/>
      <c r="B37" s="302"/>
      <c r="C37" s="303"/>
      <c r="D37" s="303"/>
      <c r="E37" s="303"/>
      <c r="F37" s="303"/>
      <c r="G37" s="306"/>
      <c r="H37" s="32" t="str">
        <f>IF(G34="Windows Server", "H:\Backup", "/backup")</f>
        <v>H:\Backup</v>
      </c>
      <c r="I37" s="146">
        <f>IF(G34="Windows Server", 100, 10)</f>
        <v>100</v>
      </c>
      <c r="J37" s="296"/>
      <c r="K37" s="296"/>
      <c r="L37" s="296"/>
      <c r="M37" s="296"/>
      <c r="N37" s="296"/>
      <c r="O37" s="296"/>
      <c r="P37" s="296"/>
    </row>
    <row r="38" spans="1:16" ht="13.5" customHeight="1">
      <c r="A38" s="302"/>
      <c r="B38" s="290">
        <f>((12*5*4)/(24*7*4))*730</f>
        <v>260.71428571428572</v>
      </c>
      <c r="C38" s="303" t="s">
        <v>282</v>
      </c>
      <c r="D38" s="303"/>
      <c r="E38" s="304">
        <f>$E$8</f>
        <v>0</v>
      </c>
      <c r="F38" s="305">
        <f>$F$8</f>
        <v>0</v>
      </c>
      <c r="G38" s="306" t="s">
        <v>287</v>
      </c>
      <c r="H38" s="32" t="str">
        <f>IF(G38="Windows Server", "C:\", "/")</f>
        <v>/</v>
      </c>
      <c r="I38" s="146">
        <f>IF(G38="Windows Server", 150, 20)</f>
        <v>20</v>
      </c>
      <c r="J38" s="296">
        <f>SUM(I38:I41)</f>
        <v>50</v>
      </c>
      <c r="K38" s="307">
        <f>J38 *(IF(C38="AZURE", SUMMARY!C$20, SUMMARY!C$21))</f>
        <v>4.8</v>
      </c>
      <c r="L38" s="308"/>
      <c r="M38" s="299">
        <f>IF(C38="ON PREM", 0, SUMMARY!C$25%)</f>
        <v>0.12</v>
      </c>
      <c r="N38" s="299">
        <f>IF(C38="AWS",SUMMARY!C$26%, 0)</f>
        <v>0.13</v>
      </c>
      <c r="O38" s="300">
        <f>((SUM(K38:L38))-((SUM(K38:L38))*N38))*(1 + M38)</f>
        <v>4.6771200000000004</v>
      </c>
      <c r="P38" s="300">
        <f>O38*12</f>
        <v>56.125440000000005</v>
      </c>
    </row>
    <row r="39" spans="1:16">
      <c r="A39" s="302"/>
      <c r="B39" s="302"/>
      <c r="C39" s="303"/>
      <c r="D39" s="303"/>
      <c r="E39" s="303"/>
      <c r="F39" s="303"/>
      <c r="G39" s="306"/>
      <c r="H39" s="150" t="str">
        <f>IF(G38="Windows Server", "F:\appdir", "/appdir")</f>
        <v>/appdir</v>
      </c>
      <c r="I39" s="152">
        <f>$I$9</f>
        <v>0</v>
      </c>
      <c r="J39" s="296"/>
      <c r="K39" s="296"/>
      <c r="L39" s="296"/>
      <c r="M39" s="296"/>
      <c r="N39" s="296"/>
      <c r="O39" s="296"/>
      <c r="P39" s="296"/>
    </row>
    <row r="40" spans="1:16">
      <c r="A40" s="302"/>
      <c r="B40" s="302"/>
      <c r="C40" s="303"/>
      <c r="D40" s="303"/>
      <c r="E40" s="303"/>
      <c r="F40" s="303"/>
      <c r="G40" s="306"/>
      <c r="H40" s="32" t="str">
        <f>IF(G38="Windows Server", "G:\Log", "/var/log")</f>
        <v>/var/log</v>
      </c>
      <c r="I40" s="146">
        <f>IF(G38="Windows Server", 50, 20)</f>
        <v>20</v>
      </c>
      <c r="J40" s="296"/>
      <c r="K40" s="296"/>
      <c r="L40" s="296"/>
      <c r="M40" s="296"/>
      <c r="N40" s="296"/>
      <c r="O40" s="296"/>
      <c r="P40" s="296"/>
    </row>
    <row r="41" spans="1:16">
      <c r="A41" s="302"/>
      <c r="B41" s="302"/>
      <c r="C41" s="303"/>
      <c r="D41" s="303"/>
      <c r="E41" s="303"/>
      <c r="F41" s="303"/>
      <c r="G41" s="306"/>
      <c r="H41" s="32" t="str">
        <f>IF(G38="Windows Server", "H:\Backup", "/backup")</f>
        <v>/backup</v>
      </c>
      <c r="I41" s="146">
        <f>IF(G38="Windows Server", 100, 10)</f>
        <v>10</v>
      </c>
      <c r="J41" s="296"/>
      <c r="K41" s="296"/>
      <c r="L41" s="296"/>
      <c r="M41" s="296"/>
      <c r="N41" s="296"/>
      <c r="O41" s="296"/>
      <c r="P41" s="296"/>
    </row>
    <row r="42" spans="1:16" ht="14.25" customHeight="1">
      <c r="A42" s="3"/>
      <c r="B42" s="3"/>
      <c r="C42" s="3"/>
      <c r="D42" s="3"/>
      <c r="E42" s="3">
        <f>SUM(E34:E41)</f>
        <v>0</v>
      </c>
      <c r="F42" s="3">
        <f>SUM(F34:F41)</f>
        <v>0</v>
      </c>
      <c r="G42" s="3"/>
      <c r="H42" s="3"/>
      <c r="I42" s="3"/>
      <c r="J42" s="3">
        <f>SUM(J34:J41)</f>
        <v>350</v>
      </c>
      <c r="K42" s="133">
        <f>SUM(K34:K41)</f>
        <v>33.6</v>
      </c>
      <c r="L42" s="133">
        <f>SUM(L34:L41)</f>
        <v>0</v>
      </c>
      <c r="M42" s="133"/>
      <c r="N42" s="133"/>
      <c r="O42" s="133">
        <f>SUM(O34:O41)</f>
        <v>32.739840000000001</v>
      </c>
      <c r="P42" s="133">
        <f>SUM(P34:P41)</f>
        <v>392.87808000000007</v>
      </c>
    </row>
    <row r="43" spans="1:16" s="129" customFormat="1">
      <c r="A43" s="144" t="s">
        <v>290</v>
      </c>
      <c r="B43" s="301"/>
      <c r="C43" s="301"/>
      <c r="D43" s="301"/>
      <c r="E43" s="301"/>
      <c r="F43" s="301"/>
      <c r="G43" s="301"/>
      <c r="H43" s="301"/>
      <c r="I43" s="301"/>
      <c r="J43" s="301"/>
      <c r="K43" s="301"/>
      <c r="L43" s="301"/>
      <c r="M43" s="301"/>
      <c r="N43" s="301"/>
      <c r="O43" s="301"/>
      <c r="P43" s="301"/>
    </row>
    <row r="44" spans="1:16" ht="13.5" customHeight="1">
      <c r="A44" s="294"/>
      <c r="B44" s="290">
        <f>((12*5*4)/(24*7*4))*730</f>
        <v>260.71428571428572</v>
      </c>
      <c r="C44" s="294" t="s">
        <v>286</v>
      </c>
      <c r="D44" s="295"/>
      <c r="E44" s="310">
        <f>$E$4</f>
        <v>0</v>
      </c>
      <c r="F44" s="310">
        <f>$F$4</f>
        <v>0</v>
      </c>
      <c r="G44" s="294" t="s">
        <v>287</v>
      </c>
      <c r="H44" s="32" t="str">
        <f>IF(G44="Windows Server", "C:\", "/")</f>
        <v>/</v>
      </c>
      <c r="I44" s="146">
        <f>IF(G44="Windows Server", 150, 20)</f>
        <v>20</v>
      </c>
      <c r="J44" s="296">
        <f>SUM(I44:I47)</f>
        <v>50</v>
      </c>
      <c r="K44" s="297">
        <f>J44 *(IF(C44="AZURE", SUMMARY!C$20, SUMMARY!C$21))</f>
        <v>4.8</v>
      </c>
      <c r="L44" s="298"/>
      <c r="M44" s="299">
        <f>IF(C44="ON PREM", 0, 12%)</f>
        <v>0.12</v>
      </c>
      <c r="N44" s="299">
        <f>IF(C44="AWS",SUMMARY!C$26%, 0)</f>
        <v>0</v>
      </c>
      <c r="O44" s="300">
        <f>((SUM(K44:L44))-((SUM(K44:L44))*N44))*(1 + M44)</f>
        <v>5.3760000000000003</v>
      </c>
      <c r="P44" s="300">
        <f>O44*12</f>
        <v>64.512</v>
      </c>
    </row>
    <row r="45" spans="1:16">
      <c r="A45" s="294"/>
      <c r="B45" s="294"/>
      <c r="C45" s="294"/>
      <c r="D45" s="295"/>
      <c r="E45" s="295"/>
      <c r="F45" s="295"/>
      <c r="G45" s="294"/>
      <c r="H45" s="148" t="str">
        <f>IF(G44="Windows Server", "F:\appdir", "/appdir")</f>
        <v>/appdir</v>
      </c>
      <c r="I45" s="149"/>
      <c r="J45" s="296"/>
      <c r="K45" s="296"/>
      <c r="L45" s="296"/>
      <c r="M45" s="296"/>
      <c r="N45" s="296"/>
      <c r="O45" s="296"/>
      <c r="P45" s="296"/>
    </row>
    <row r="46" spans="1:16">
      <c r="A46" s="294"/>
      <c r="B46" s="294"/>
      <c r="C46" s="294"/>
      <c r="D46" s="295"/>
      <c r="E46" s="295"/>
      <c r="F46" s="295"/>
      <c r="G46" s="294"/>
      <c r="H46" s="32" t="str">
        <f>IF(G44="Windows Server", "G:\Log", "/var/log")</f>
        <v>/var/log</v>
      </c>
      <c r="I46" s="146">
        <f>IF(G44="Windows Server", 50, 20)</f>
        <v>20</v>
      </c>
      <c r="J46" s="296"/>
      <c r="K46" s="296"/>
      <c r="L46" s="296"/>
      <c r="M46" s="296"/>
      <c r="N46" s="296"/>
      <c r="O46" s="296"/>
      <c r="P46" s="296"/>
    </row>
    <row r="47" spans="1:16">
      <c r="A47" s="294"/>
      <c r="B47" s="294"/>
      <c r="C47" s="294"/>
      <c r="D47" s="295"/>
      <c r="E47" s="295"/>
      <c r="F47" s="295"/>
      <c r="G47" s="294"/>
      <c r="H47" s="32" t="str">
        <f>IF(G44="Windows Server", "H:\Backup", "/backup")</f>
        <v>/backup</v>
      </c>
      <c r="I47" s="146">
        <f>IF(G44="Windows Server", 100, 10)</f>
        <v>10</v>
      </c>
      <c r="J47" s="296"/>
      <c r="K47" s="296"/>
      <c r="L47" s="296"/>
      <c r="M47" s="296"/>
      <c r="N47" s="296"/>
      <c r="O47" s="296"/>
      <c r="P47" s="296"/>
    </row>
    <row r="48" spans="1:16" s="147" customFormat="1" ht="12" customHeight="1">
      <c r="A48" s="294"/>
      <c r="B48" s="290">
        <f>((12*5*4)/(24*7*4))*730</f>
        <v>260.71428571428572</v>
      </c>
      <c r="C48" s="294" t="s">
        <v>286</v>
      </c>
      <c r="D48" s="295"/>
      <c r="E48" s="310">
        <f>$E$8</f>
        <v>0</v>
      </c>
      <c r="F48" s="310">
        <f>$F$8</f>
        <v>0</v>
      </c>
      <c r="G48" s="294" t="s">
        <v>287</v>
      </c>
      <c r="H48" s="32" t="str">
        <f>IF(G48="Windows Server", "C:\", "/")</f>
        <v>/</v>
      </c>
      <c r="I48" s="146">
        <f>IF(G48="Windows Server", 150, 20)</f>
        <v>20</v>
      </c>
      <c r="J48" s="296">
        <f>SUM(I48:I51)</f>
        <v>50</v>
      </c>
      <c r="K48" s="297">
        <f>J48 *(IF(C48="AZURE", SUMMARY!C$20, SUMMARY!C$21))</f>
        <v>4.8</v>
      </c>
      <c r="L48" s="298"/>
      <c r="M48" s="299">
        <f>IF(C48="ON PREM", 0, 12%)</f>
        <v>0.12</v>
      </c>
      <c r="N48" s="299">
        <f>IF(C48="AWS",SUMMARY!C$26%, 0)</f>
        <v>0</v>
      </c>
      <c r="O48" s="300">
        <f>((SUM(K48:L48))-((SUM(K48:L48))*N48))*(1 + M48)</f>
        <v>5.3760000000000003</v>
      </c>
      <c r="P48" s="300">
        <f>O48*12</f>
        <v>64.512</v>
      </c>
    </row>
    <row r="49" spans="1:16" s="147" customFormat="1" ht="12" customHeight="1">
      <c r="A49" s="294"/>
      <c r="B49" s="294"/>
      <c r="C49" s="294"/>
      <c r="D49" s="295"/>
      <c r="E49" s="295"/>
      <c r="F49" s="295"/>
      <c r="G49" s="294"/>
      <c r="H49" s="148" t="str">
        <f>IF(G48="Windows Server", "F:\appdir", "/appdir")</f>
        <v>/appdir</v>
      </c>
      <c r="I49" s="149"/>
      <c r="J49" s="296"/>
      <c r="K49" s="296"/>
      <c r="L49" s="296"/>
      <c r="M49" s="296"/>
      <c r="N49" s="296"/>
      <c r="O49" s="296"/>
      <c r="P49" s="296"/>
    </row>
    <row r="50" spans="1:16" s="147" customFormat="1" ht="12" customHeight="1">
      <c r="A50" s="294"/>
      <c r="B50" s="294"/>
      <c r="C50" s="294"/>
      <c r="D50" s="295"/>
      <c r="E50" s="295"/>
      <c r="F50" s="295"/>
      <c r="G50" s="294"/>
      <c r="H50" s="32" t="str">
        <f>IF(G48="Windows Server", "G:\Log", "/var/log")</f>
        <v>/var/log</v>
      </c>
      <c r="I50" s="146">
        <f>IF(G48="Windows Server", 50, 20)</f>
        <v>20</v>
      </c>
      <c r="J50" s="296"/>
      <c r="K50" s="296"/>
      <c r="L50" s="296"/>
      <c r="M50" s="296"/>
      <c r="N50" s="296"/>
      <c r="O50" s="296"/>
      <c r="P50" s="296"/>
    </row>
    <row r="51" spans="1:16" s="147" customFormat="1" ht="12" customHeight="1">
      <c r="A51" s="294"/>
      <c r="B51" s="294"/>
      <c r="C51" s="294"/>
      <c r="D51" s="295"/>
      <c r="E51" s="295"/>
      <c r="F51" s="295"/>
      <c r="G51" s="294"/>
      <c r="H51" s="32" t="str">
        <f>IF(G48="Windows Server", "H:\Backup", "/backup")</f>
        <v>/backup</v>
      </c>
      <c r="I51" s="146">
        <f>IF(G48="Windows Server", 100, 10)</f>
        <v>10</v>
      </c>
      <c r="J51" s="296"/>
      <c r="K51" s="296"/>
      <c r="L51" s="296"/>
      <c r="M51" s="296"/>
      <c r="N51" s="296"/>
      <c r="O51" s="296"/>
      <c r="P51" s="296"/>
    </row>
    <row r="52" spans="1:16">
      <c r="A52" s="3"/>
      <c r="B52" s="3"/>
      <c r="C52" s="3"/>
      <c r="D52" s="3"/>
      <c r="E52" s="3">
        <f>SUM(E44:E51)</f>
        <v>0</v>
      </c>
      <c r="F52" s="3">
        <f>SUM(F44:F51)</f>
        <v>0</v>
      </c>
      <c r="G52" s="3"/>
      <c r="H52" s="3"/>
      <c r="I52" s="3"/>
      <c r="J52" s="3">
        <f>SUM(J44:J51)</f>
        <v>100</v>
      </c>
      <c r="K52" s="133">
        <f>SUM(K44:K51)</f>
        <v>9.6</v>
      </c>
      <c r="L52" s="133">
        <f>SUM(L44:L51)</f>
        <v>0</v>
      </c>
      <c r="M52" s="133"/>
      <c r="N52" s="133"/>
      <c r="O52" s="133">
        <f>SUM(O44:O51)</f>
        <v>10.752000000000001</v>
      </c>
      <c r="P52" s="133">
        <f>SUM(P44:P51)</f>
        <v>129.024</v>
      </c>
    </row>
  </sheetData>
  <mergeCells count="147">
    <mergeCell ref="L48:L51"/>
    <mergeCell ref="M48:M51"/>
    <mergeCell ref="N48:N51"/>
    <mergeCell ref="O48:O51"/>
    <mergeCell ref="P48:P51"/>
    <mergeCell ref="A48:A51"/>
    <mergeCell ref="B48:B51"/>
    <mergeCell ref="C48:C51"/>
    <mergeCell ref="D48:D51"/>
    <mergeCell ref="E48:E51"/>
    <mergeCell ref="F48:F51"/>
    <mergeCell ref="G48:G51"/>
    <mergeCell ref="J48:J51"/>
    <mergeCell ref="K48:K51"/>
    <mergeCell ref="P38:P41"/>
    <mergeCell ref="B43:P43"/>
    <mergeCell ref="A44:A47"/>
    <mergeCell ref="B44:B47"/>
    <mergeCell ref="C44:C47"/>
    <mergeCell ref="D44:D47"/>
    <mergeCell ref="E44:E47"/>
    <mergeCell ref="F44:F47"/>
    <mergeCell ref="G44:G47"/>
    <mergeCell ref="J44:J47"/>
    <mergeCell ref="K44:K47"/>
    <mergeCell ref="L44:L47"/>
    <mergeCell ref="M44:M47"/>
    <mergeCell ref="N44:N47"/>
    <mergeCell ref="O44:O47"/>
    <mergeCell ref="P44:P47"/>
    <mergeCell ref="A38:A41"/>
    <mergeCell ref="B38:B41"/>
    <mergeCell ref="C38:C41"/>
    <mergeCell ref="D38:D41"/>
    <mergeCell ref="E38:E41"/>
    <mergeCell ref="F38:F41"/>
    <mergeCell ref="G38:G41"/>
    <mergeCell ref="J38:J41"/>
    <mergeCell ref="K38:K41"/>
    <mergeCell ref="L28:L31"/>
    <mergeCell ref="M28:M31"/>
    <mergeCell ref="N28:N31"/>
    <mergeCell ref="O28:O31"/>
    <mergeCell ref="K28:K31"/>
    <mergeCell ref="L38:L41"/>
    <mergeCell ref="M38:M41"/>
    <mergeCell ref="N38:N41"/>
    <mergeCell ref="O38:O41"/>
    <mergeCell ref="P28:P31"/>
    <mergeCell ref="B33:P33"/>
    <mergeCell ref="A34:A37"/>
    <mergeCell ref="B34:B37"/>
    <mergeCell ref="C34:C37"/>
    <mergeCell ref="D34:D37"/>
    <mergeCell ref="E34:E37"/>
    <mergeCell ref="F34:F37"/>
    <mergeCell ref="G34:G37"/>
    <mergeCell ref="J34:J37"/>
    <mergeCell ref="K34:K37"/>
    <mergeCell ref="L34:L37"/>
    <mergeCell ref="M34:M37"/>
    <mergeCell ref="N34:N37"/>
    <mergeCell ref="O34:O37"/>
    <mergeCell ref="P34:P37"/>
    <mergeCell ref="A28:A31"/>
    <mergeCell ref="B28:B31"/>
    <mergeCell ref="C28:C31"/>
    <mergeCell ref="D28:D31"/>
    <mergeCell ref="E28:E31"/>
    <mergeCell ref="F28:F31"/>
    <mergeCell ref="G28:G31"/>
    <mergeCell ref="J28:J31"/>
    <mergeCell ref="P18:P21"/>
    <mergeCell ref="B23:P23"/>
    <mergeCell ref="A24:A27"/>
    <mergeCell ref="B24:B27"/>
    <mergeCell ref="C24:C27"/>
    <mergeCell ref="D24:D27"/>
    <mergeCell ref="E24:E27"/>
    <mergeCell ref="F24:F27"/>
    <mergeCell ref="G24:G27"/>
    <mergeCell ref="J24:J27"/>
    <mergeCell ref="K24:K27"/>
    <mergeCell ref="L24:L27"/>
    <mergeCell ref="M24:M27"/>
    <mergeCell ref="N24:N27"/>
    <mergeCell ref="O24:O27"/>
    <mergeCell ref="P24:P27"/>
    <mergeCell ref="A18:A21"/>
    <mergeCell ref="B18:B21"/>
    <mergeCell ref="C18:C21"/>
    <mergeCell ref="D18:D21"/>
    <mergeCell ref="E18:E21"/>
    <mergeCell ref="F18:F21"/>
    <mergeCell ref="G18:G21"/>
    <mergeCell ref="J18:J21"/>
    <mergeCell ref="K18:K21"/>
    <mergeCell ref="L8:L11"/>
    <mergeCell ref="M8:M11"/>
    <mergeCell ref="N8:N11"/>
    <mergeCell ref="O8:O11"/>
    <mergeCell ref="K8:K11"/>
    <mergeCell ref="L18:L21"/>
    <mergeCell ref="M18:M21"/>
    <mergeCell ref="N18:N21"/>
    <mergeCell ref="O18:O21"/>
    <mergeCell ref="P8:P11"/>
    <mergeCell ref="B13:P13"/>
    <mergeCell ref="A14:A17"/>
    <mergeCell ref="B14:B17"/>
    <mergeCell ref="C14:C17"/>
    <mergeCell ref="D14:D17"/>
    <mergeCell ref="E14:E17"/>
    <mergeCell ref="F14:F17"/>
    <mergeCell ref="G14:G17"/>
    <mergeCell ref="J14:J17"/>
    <mergeCell ref="K14:K17"/>
    <mergeCell ref="L14:L17"/>
    <mergeCell ref="M14:M17"/>
    <mergeCell ref="N14:N17"/>
    <mergeCell ref="O14:O17"/>
    <mergeCell ref="P14:P17"/>
    <mergeCell ref="A8:A11"/>
    <mergeCell ref="B8:B11"/>
    <mergeCell ref="C8:C11"/>
    <mergeCell ref="D8:D11"/>
    <mergeCell ref="E8:E11"/>
    <mergeCell ref="F8:F11"/>
    <mergeCell ref="G8:G11"/>
    <mergeCell ref="J8:J11"/>
    <mergeCell ref="A1:P1"/>
    <mergeCell ref="B2:P2"/>
    <mergeCell ref="H3:I3"/>
    <mergeCell ref="A4:A7"/>
    <mergeCell ref="B4:B7"/>
    <mergeCell ref="C4:C7"/>
    <mergeCell ref="D4:D7"/>
    <mergeCell ref="E4:E7"/>
    <mergeCell ref="F4:F7"/>
    <mergeCell ref="G4:G7"/>
    <mergeCell ref="J4:J7"/>
    <mergeCell ref="K4:K7"/>
    <mergeCell ref="L4:L7"/>
    <mergeCell ref="M4:M7"/>
    <mergeCell ref="N4:N7"/>
    <mergeCell ref="O4:O7"/>
    <mergeCell ref="P4:P7"/>
  </mergeCells>
  <dataValidations count="2">
    <dataValidation type="list" allowBlank="1" showInputMessage="1" showErrorMessage="1" sqref="G4:G11 G14:G21 G24:G31 G34:G41 G44:G51" xr:uid="{00000000-0002-0000-0A00-000000000000}">
      <formula1>"RHEL,Windows Server,Oracle Linux,Ubuntu,Debian"</formula1>
      <formula2>0</formula2>
    </dataValidation>
    <dataValidation type="list" allowBlank="1" showInputMessage="1" showErrorMessage="1" sqref="C4:C11 C14:C21 C24:C31 C34:C41 C44:C51" xr:uid="{00000000-0002-0000-0A00-000001000000}">
      <formula1>"ON PREM,AWS,AZURE,EXACC"</formula1>
      <formula2>0</formula2>
    </dataValidation>
  </dataValidations>
  <hyperlinks>
    <hyperlink ref="H6" r:id="rId1" display="file:///H:/backup" xr:uid="{00000000-0004-0000-0A00-000000000000}"/>
    <hyperlink ref="H7" r:id="rId2" display="file:///G:/log" xr:uid="{00000000-0004-0000-0A00-000001000000}"/>
    <hyperlink ref="H10" r:id="rId3" display="file:///H:/backup" xr:uid="{00000000-0004-0000-0A00-000002000000}"/>
    <hyperlink ref="H11" r:id="rId4" display="file:///G:/log" xr:uid="{00000000-0004-0000-0A00-000003000000}"/>
    <hyperlink ref="H16" r:id="rId5" display="file:///H:/backup" xr:uid="{00000000-0004-0000-0A00-000004000000}"/>
    <hyperlink ref="H17" r:id="rId6" display="file:///G:/log" xr:uid="{00000000-0004-0000-0A00-000005000000}"/>
    <hyperlink ref="H20" r:id="rId7" display="file:///H:/backup" xr:uid="{00000000-0004-0000-0A00-000006000000}"/>
    <hyperlink ref="H21" r:id="rId8" display="file:///G:/log" xr:uid="{00000000-0004-0000-0A00-000007000000}"/>
    <hyperlink ref="H26" r:id="rId9" display="file:///H:/backup" xr:uid="{00000000-0004-0000-0A00-000008000000}"/>
    <hyperlink ref="H27" r:id="rId10" display="file:///G:/log" xr:uid="{00000000-0004-0000-0A00-000009000000}"/>
    <hyperlink ref="H30" r:id="rId11" display="file:///H:/backup" xr:uid="{00000000-0004-0000-0A00-00000A000000}"/>
    <hyperlink ref="H31" r:id="rId12" display="file:///G:/log" xr:uid="{00000000-0004-0000-0A00-00000B000000}"/>
    <hyperlink ref="H36" r:id="rId13" display="file:///H:/backup" xr:uid="{00000000-0004-0000-0A00-00000C000000}"/>
    <hyperlink ref="H37" r:id="rId14" display="file:///G:/log" xr:uid="{00000000-0004-0000-0A00-00000D000000}"/>
    <hyperlink ref="H40" r:id="rId15" display="file:///H:/backup" xr:uid="{00000000-0004-0000-0A00-00000E000000}"/>
    <hyperlink ref="H41" r:id="rId16" display="file:///G:/log" xr:uid="{00000000-0004-0000-0A00-00000F000000}"/>
    <hyperlink ref="H46" r:id="rId17" display="file:///H:/backup" xr:uid="{00000000-0004-0000-0A00-000010000000}"/>
    <hyperlink ref="H47" r:id="rId18" display="file:///G:/log" xr:uid="{00000000-0004-0000-0A00-000011000000}"/>
    <hyperlink ref="H50" r:id="rId19" display="file:///H:/backup" xr:uid="{00000000-0004-0000-0A00-000012000000}"/>
    <hyperlink ref="H51" r:id="rId20" display="file:///G:/log" xr:uid="{00000000-0004-0000-0A00-000013000000}"/>
  </hyperlinks>
  <pageMargins left="0.7" right="0.7" top="0.75" bottom="0.75" header="0.511811023622047" footer="0.511811023622047"/>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472C4"/>
  </sheetPr>
  <dimension ref="A1:AMK52"/>
  <sheetViews>
    <sheetView topLeftCell="B1" zoomScale="60" zoomScaleNormal="60" workbookViewId="0">
      <selection activeCell="N4" sqref="N4"/>
    </sheetView>
  </sheetViews>
  <sheetFormatPr defaultColWidth="0" defaultRowHeight="13.5"/>
  <cols>
    <col min="1" max="1" width="37.42578125" style="142" customWidth="1"/>
    <col min="2" max="2" width="20.42578125" style="142" customWidth="1"/>
    <col min="3" max="4" width="17.42578125" style="142" customWidth="1"/>
    <col min="5" max="5" width="10.42578125" style="142" customWidth="1"/>
    <col min="6" max="6" width="13.42578125" style="142" customWidth="1"/>
    <col min="7" max="8" width="21.5703125" style="142" customWidth="1"/>
    <col min="9" max="9" width="17.42578125" style="142" customWidth="1"/>
    <col min="10" max="10" width="15.5703125" style="142" customWidth="1"/>
    <col min="11" max="11" width="16.42578125" style="143" customWidth="1"/>
    <col min="12" max="12" width="19.5703125" style="143" customWidth="1"/>
    <col min="13" max="13" width="15.5703125" style="143" customWidth="1"/>
    <col min="14" max="14" width="19.85546875" style="143" customWidth="1"/>
    <col min="15" max="15" width="13.5703125" style="143" customWidth="1"/>
    <col min="16" max="16" width="15" style="143" customWidth="1"/>
    <col min="17" max="1025" width="8.5703125" style="50" hidden="1" customWidth="1"/>
    <col min="1026" max="16384" width="8.5703125" style="23" hidden="1"/>
  </cols>
  <sheetData>
    <row r="1" spans="1:16" ht="25.5" customHeight="1">
      <c r="A1" s="257" t="s">
        <v>291</v>
      </c>
      <c r="B1" s="257"/>
      <c r="C1" s="257"/>
      <c r="D1" s="257"/>
      <c r="E1" s="257"/>
      <c r="F1" s="257"/>
      <c r="G1" s="257"/>
      <c r="H1" s="257"/>
      <c r="I1" s="257"/>
      <c r="J1" s="257"/>
      <c r="K1" s="257"/>
      <c r="L1" s="257"/>
      <c r="M1" s="257"/>
      <c r="N1" s="257"/>
      <c r="O1" s="257"/>
      <c r="P1" s="257"/>
    </row>
    <row r="2" spans="1:16" s="129" customFormat="1">
      <c r="A2" s="144" t="s">
        <v>272</v>
      </c>
      <c r="B2" s="301"/>
      <c r="C2" s="301"/>
      <c r="D2" s="301"/>
      <c r="E2" s="301"/>
      <c r="F2" s="301"/>
      <c r="G2" s="301"/>
      <c r="H2" s="301"/>
      <c r="I2" s="301"/>
      <c r="J2" s="301"/>
      <c r="K2" s="301"/>
      <c r="L2" s="301"/>
      <c r="M2" s="301"/>
      <c r="N2" s="301"/>
      <c r="O2" s="301"/>
      <c r="P2" s="301"/>
    </row>
    <row r="3" spans="1:16" ht="25.5" customHeight="1">
      <c r="A3" s="65" t="s">
        <v>12</v>
      </c>
      <c r="B3" s="65" t="s">
        <v>246</v>
      </c>
      <c r="C3" s="88" t="s">
        <v>273</v>
      </c>
      <c r="D3" s="145" t="s">
        <v>274</v>
      </c>
      <c r="E3" s="65" t="s">
        <v>99</v>
      </c>
      <c r="F3" s="65" t="s">
        <v>100</v>
      </c>
      <c r="G3" s="65" t="s">
        <v>275</v>
      </c>
      <c r="H3" s="293" t="s">
        <v>276</v>
      </c>
      <c r="I3" s="293"/>
      <c r="J3" s="65" t="s">
        <v>277</v>
      </c>
      <c r="K3" s="114" t="s">
        <v>278</v>
      </c>
      <c r="L3" s="114" t="s">
        <v>247</v>
      </c>
      <c r="M3" s="114" t="s">
        <v>279</v>
      </c>
      <c r="N3" s="114" t="s">
        <v>280</v>
      </c>
      <c r="O3" s="114" t="s">
        <v>281</v>
      </c>
      <c r="P3" s="114" t="s">
        <v>250</v>
      </c>
    </row>
    <row r="4" spans="1:16" s="147" customFormat="1" ht="12" customHeight="1">
      <c r="A4" s="294"/>
      <c r="B4" s="290">
        <f>((12*5*4)/(24*7*4))*730</f>
        <v>260.71428571428572</v>
      </c>
      <c r="C4" s="294" t="s">
        <v>286</v>
      </c>
      <c r="D4" s="295"/>
      <c r="E4" s="295"/>
      <c r="F4" s="295"/>
      <c r="G4" s="294" t="s">
        <v>283</v>
      </c>
      <c r="H4" s="32" t="str">
        <f>IF(G4="Windows Server", "C:\", "/")</f>
        <v>C:\</v>
      </c>
      <c r="I4" s="146">
        <f>IF(G4="Windows Server", 150, 20)</f>
        <v>150</v>
      </c>
      <c r="J4" s="296">
        <f>SUM(I4:I7)</f>
        <v>300</v>
      </c>
      <c r="K4" s="297">
        <f>J4 *(IF(C4="AZURE", SUMMARY!C$20, SUMMARY!C$21))</f>
        <v>28.8</v>
      </c>
      <c r="L4" s="298">
        <v>2</v>
      </c>
      <c r="M4" s="299">
        <f>IF(C4="ON PREM", 0, SUMMARY!C$25%)</f>
        <v>0.12</v>
      </c>
      <c r="N4" s="299">
        <f>IF(C4="AWS",SUMMARY!C$26%, 0)</f>
        <v>0</v>
      </c>
      <c r="O4" s="300">
        <f>((SUM(K4:L4))-((SUM(K4:L4))*N4))*(1 + M4)</f>
        <v>34.496000000000002</v>
      </c>
      <c r="P4" s="300">
        <f>O4*12</f>
        <v>413.952</v>
      </c>
    </row>
    <row r="5" spans="1:16" s="147" customFormat="1" ht="12" customHeight="1">
      <c r="A5" s="294"/>
      <c r="B5" s="294"/>
      <c r="C5" s="294"/>
      <c r="D5" s="295"/>
      <c r="E5" s="295"/>
      <c r="F5" s="295"/>
      <c r="G5" s="294"/>
      <c r="H5" s="148" t="str">
        <f>IF(G4="Windows Server", "F:\appdir", "/appdir")</f>
        <v>F:\appdir</v>
      </c>
      <c r="I5" s="149"/>
      <c r="J5" s="296"/>
      <c r="K5" s="296"/>
      <c r="L5" s="296"/>
      <c r="M5" s="296"/>
      <c r="N5" s="296"/>
      <c r="O5" s="296"/>
      <c r="P5" s="296"/>
    </row>
    <row r="6" spans="1:16" s="147" customFormat="1" ht="12" customHeight="1">
      <c r="A6" s="294"/>
      <c r="B6" s="294"/>
      <c r="C6" s="294"/>
      <c r="D6" s="295"/>
      <c r="E6" s="295"/>
      <c r="F6" s="295"/>
      <c r="G6" s="294"/>
      <c r="H6" s="32" t="str">
        <f>IF(G4="Windows Server", "G:\Log", "/var/log")</f>
        <v>G:\Log</v>
      </c>
      <c r="I6" s="146">
        <f>IF(G4="Windows Server", 50, 20)</f>
        <v>50</v>
      </c>
      <c r="J6" s="296"/>
      <c r="K6" s="296"/>
      <c r="L6" s="296"/>
      <c r="M6" s="296"/>
      <c r="N6" s="296"/>
      <c r="O6" s="296"/>
      <c r="P6" s="296"/>
    </row>
    <row r="7" spans="1:16" s="147" customFormat="1" ht="12" customHeight="1">
      <c r="A7" s="294"/>
      <c r="B7" s="294"/>
      <c r="C7" s="294"/>
      <c r="D7" s="295"/>
      <c r="E7" s="295"/>
      <c r="F7" s="295"/>
      <c r="G7" s="294"/>
      <c r="H7" s="32" t="str">
        <f>IF(G4="Windows Server", "H:\Backup", "/backup")</f>
        <v>H:\Backup</v>
      </c>
      <c r="I7" s="146">
        <f>IF(G4="Windows Server", 100, 10)</f>
        <v>100</v>
      </c>
      <c r="J7" s="296"/>
      <c r="K7" s="296"/>
      <c r="L7" s="296"/>
      <c r="M7" s="296"/>
      <c r="N7" s="296"/>
      <c r="O7" s="296"/>
      <c r="P7" s="296"/>
    </row>
    <row r="8" spans="1:16" s="147" customFormat="1" ht="12" customHeight="1">
      <c r="A8" s="294"/>
      <c r="B8" s="290">
        <f>((12*5*4)/(24*7*4))*730</f>
        <v>260.71428571428572</v>
      </c>
      <c r="C8" s="294" t="s">
        <v>288</v>
      </c>
      <c r="D8" s="295"/>
      <c r="E8" s="295"/>
      <c r="F8" s="295"/>
      <c r="G8" s="294" t="s">
        <v>283</v>
      </c>
      <c r="H8" s="32" t="str">
        <f>IF(G8="Windows Server", "C:\", "/")</f>
        <v>C:\</v>
      </c>
      <c r="I8" s="146">
        <f>IF(G8="Windows Server", 150, 20)</f>
        <v>150</v>
      </c>
      <c r="J8" s="296">
        <f>SUM(I8:I11)</f>
        <v>300</v>
      </c>
      <c r="K8" s="297">
        <f>J8 *(IF(C8="AZURE", SUMMARY!C$20, SUMMARY!C$21))</f>
        <v>28.8</v>
      </c>
      <c r="L8" s="298">
        <v>2</v>
      </c>
      <c r="M8" s="299">
        <f>IF(C8="ON PREM", 0, SUMMARY!C$25%)</f>
        <v>0</v>
      </c>
      <c r="N8" s="299">
        <f>IF(C8="AWS",SUMMARY!C$26%, 0)</f>
        <v>0</v>
      </c>
      <c r="O8" s="300">
        <f>((SUM(K8:L8))-((SUM(K8:L8))*N8))*(1 + M8)</f>
        <v>30.8</v>
      </c>
      <c r="P8" s="300">
        <f>O8*12</f>
        <v>369.6</v>
      </c>
    </row>
    <row r="9" spans="1:16" s="147" customFormat="1" ht="12" customHeight="1">
      <c r="A9" s="294"/>
      <c r="B9" s="294"/>
      <c r="C9" s="294"/>
      <c r="D9" s="295"/>
      <c r="E9" s="295"/>
      <c r="F9" s="295"/>
      <c r="G9" s="294"/>
      <c r="H9" s="148" t="str">
        <f>IF(G8="Windows Server", "F:\appdir", "/appdir")</f>
        <v>F:\appdir</v>
      </c>
      <c r="I9" s="149"/>
      <c r="J9" s="296"/>
      <c r="K9" s="296"/>
      <c r="L9" s="296"/>
      <c r="M9" s="296"/>
      <c r="N9" s="296"/>
      <c r="O9" s="296"/>
      <c r="P9" s="296"/>
    </row>
    <row r="10" spans="1:16" s="147" customFormat="1" ht="12" customHeight="1">
      <c r="A10" s="294"/>
      <c r="B10" s="294"/>
      <c r="C10" s="294"/>
      <c r="D10" s="295"/>
      <c r="E10" s="295"/>
      <c r="F10" s="295"/>
      <c r="G10" s="294"/>
      <c r="H10" s="32" t="str">
        <f>IF(G8="Windows Server", "G:\Log", "/var/log")</f>
        <v>G:\Log</v>
      </c>
      <c r="I10" s="146">
        <f>IF(G8="Windows Server", 50, 20)</f>
        <v>50</v>
      </c>
      <c r="J10" s="296"/>
      <c r="K10" s="296"/>
      <c r="L10" s="296"/>
      <c r="M10" s="296"/>
      <c r="N10" s="296"/>
      <c r="O10" s="296"/>
      <c r="P10" s="296"/>
    </row>
    <row r="11" spans="1:16" s="147" customFormat="1" ht="12" customHeight="1">
      <c r="A11" s="294"/>
      <c r="B11" s="294"/>
      <c r="C11" s="294"/>
      <c r="D11" s="295"/>
      <c r="E11" s="295"/>
      <c r="F11" s="295"/>
      <c r="G11" s="294"/>
      <c r="H11" s="32" t="str">
        <f>IF(G8="Windows Server", "H:\Backup", "/backup")</f>
        <v>H:\Backup</v>
      </c>
      <c r="I11" s="146">
        <f>IF(G8="Windows Server", 100, 10)</f>
        <v>100</v>
      </c>
      <c r="J11" s="296"/>
      <c r="K11" s="296"/>
      <c r="L11" s="296"/>
      <c r="M11" s="296"/>
      <c r="N11" s="296"/>
      <c r="O11" s="296"/>
      <c r="P11" s="296"/>
    </row>
    <row r="12" spans="1:16" ht="14.25" customHeight="1">
      <c r="A12" s="3"/>
      <c r="B12" s="3"/>
      <c r="C12" s="3"/>
      <c r="D12" s="3"/>
      <c r="E12" s="3">
        <f>SUM(E4:E11)</f>
        <v>0</v>
      </c>
      <c r="F12" s="3">
        <f>SUM(F4:F11)</f>
        <v>0</v>
      </c>
      <c r="G12" s="3"/>
      <c r="H12" s="3"/>
      <c r="I12" s="3"/>
      <c r="J12" s="3">
        <f>SUM(J4:J11)</f>
        <v>600</v>
      </c>
      <c r="K12" s="133">
        <f>SUM(K4:K11)</f>
        <v>57.6</v>
      </c>
      <c r="L12" s="133">
        <f>SUM(L4:L11)</f>
        <v>4</v>
      </c>
      <c r="M12" s="133"/>
      <c r="N12" s="133"/>
      <c r="O12" s="133">
        <f>SUM(O4:O11)</f>
        <v>65.296000000000006</v>
      </c>
      <c r="P12" s="133">
        <f>SUM(P4:P11)</f>
        <v>783.55200000000002</v>
      </c>
    </row>
    <row r="13" spans="1:16" s="129" customFormat="1">
      <c r="A13" s="144" t="s">
        <v>284</v>
      </c>
      <c r="B13" s="301"/>
      <c r="C13" s="301"/>
      <c r="D13" s="301"/>
      <c r="E13" s="301"/>
      <c r="F13" s="301"/>
      <c r="G13" s="301"/>
      <c r="H13" s="301"/>
      <c r="I13" s="301"/>
      <c r="J13" s="301"/>
      <c r="K13" s="301"/>
      <c r="L13" s="301"/>
      <c r="M13" s="301"/>
      <c r="N13" s="301"/>
      <c r="O13" s="301"/>
      <c r="P13" s="301"/>
    </row>
    <row r="14" spans="1:16" ht="13.5" customHeight="1">
      <c r="A14" s="302"/>
      <c r="B14" s="290">
        <f>((12*5*4)/(24*7*4))*730</f>
        <v>260.71428571428572</v>
      </c>
      <c r="C14" s="303" t="s">
        <v>282</v>
      </c>
      <c r="D14" s="303"/>
      <c r="E14" s="304">
        <f>$E$4</f>
        <v>0</v>
      </c>
      <c r="F14" s="305">
        <f>$F$4</f>
        <v>0</v>
      </c>
      <c r="G14" s="306" t="s">
        <v>283</v>
      </c>
      <c r="H14" s="32" t="str">
        <f>IF(G14="Windows Server", "C:\", "/")</f>
        <v>C:\</v>
      </c>
      <c r="I14" s="146">
        <f>IF(G14="Windows Server", 150, 20)</f>
        <v>150</v>
      </c>
      <c r="J14" s="296">
        <f>SUM(I14:I17)</f>
        <v>300</v>
      </c>
      <c r="K14" s="307">
        <f>J14 *(IF(C14="AZURE", SUMMARY!C$20, SUMMARY!C$21))</f>
        <v>28.8</v>
      </c>
      <c r="L14" s="308"/>
      <c r="M14" s="309">
        <f>IF(C14="ON PREM", 0, SUMMARY!C$25%)</f>
        <v>0.12</v>
      </c>
      <c r="N14" s="299">
        <f>IF(C14="AWS",SUMMARY!C$26%, 0)</f>
        <v>0.13</v>
      </c>
      <c r="O14" s="300">
        <f>((SUM(K14:L14))-((SUM(K14:L14))*N14))*(1 + M14)</f>
        <v>28.062720000000002</v>
      </c>
      <c r="P14" s="300">
        <f>O14*12</f>
        <v>336.75264000000004</v>
      </c>
    </row>
    <row r="15" spans="1:16">
      <c r="A15" s="302"/>
      <c r="B15" s="302"/>
      <c r="C15" s="303"/>
      <c r="D15" s="303"/>
      <c r="E15" s="303"/>
      <c r="F15" s="303"/>
      <c r="G15" s="306"/>
      <c r="H15" s="150" t="str">
        <f>IF(G14="Windows Server", "F:\appdir", "/appdir'")</f>
        <v>F:\appdir</v>
      </c>
      <c r="I15" s="151">
        <f>$I$5</f>
        <v>0</v>
      </c>
      <c r="J15" s="296"/>
      <c r="K15" s="296"/>
      <c r="L15" s="296"/>
      <c r="M15" s="296"/>
      <c r="N15" s="296"/>
      <c r="O15" s="296"/>
      <c r="P15" s="296"/>
    </row>
    <row r="16" spans="1:16">
      <c r="A16" s="302"/>
      <c r="B16" s="302"/>
      <c r="C16" s="303"/>
      <c r="D16" s="303"/>
      <c r="E16" s="303"/>
      <c r="F16" s="303"/>
      <c r="G16" s="306"/>
      <c r="H16" s="32" t="str">
        <f>IF(G14="Windows Server", "G:\Log", "/var/log")</f>
        <v>G:\Log</v>
      </c>
      <c r="I16" s="146">
        <f>IF(G14="Windows Server", 50, 20)</f>
        <v>50</v>
      </c>
      <c r="J16" s="296"/>
      <c r="K16" s="296"/>
      <c r="L16" s="296"/>
      <c r="M16" s="296"/>
      <c r="N16" s="296"/>
      <c r="O16" s="296"/>
      <c r="P16" s="296"/>
    </row>
    <row r="17" spans="1:16">
      <c r="A17" s="302"/>
      <c r="B17" s="302"/>
      <c r="C17" s="303"/>
      <c r="D17" s="303"/>
      <c r="E17" s="303"/>
      <c r="F17" s="303"/>
      <c r="G17" s="306"/>
      <c r="H17" s="32" t="str">
        <f>IF(G14="Windows Server", "H:\Backup", "/backup")</f>
        <v>H:\Backup</v>
      </c>
      <c r="I17" s="146">
        <f>IF(G14="Windows Server", 100, 10)</f>
        <v>100</v>
      </c>
      <c r="J17" s="296"/>
      <c r="K17" s="296"/>
      <c r="L17" s="296"/>
      <c r="M17" s="296"/>
      <c r="N17" s="296"/>
      <c r="O17" s="296"/>
      <c r="P17" s="296"/>
    </row>
    <row r="18" spans="1:16" ht="13.5" customHeight="1">
      <c r="A18" s="302"/>
      <c r="B18" s="290">
        <f>((12*5*4)/(24*7*4))*730</f>
        <v>260.71428571428572</v>
      </c>
      <c r="C18" s="303" t="s">
        <v>282</v>
      </c>
      <c r="D18" s="303"/>
      <c r="E18" s="304">
        <f>$E$8</f>
        <v>0</v>
      </c>
      <c r="F18" s="305">
        <f>$F$8</f>
        <v>0</v>
      </c>
      <c r="G18" s="306" t="s">
        <v>283</v>
      </c>
      <c r="H18" s="32" t="str">
        <f>IF(G18="Windows Server", "C:\", "/")</f>
        <v>C:\</v>
      </c>
      <c r="I18" s="146">
        <f>IF(G18="Windows Server", 150, 20)</f>
        <v>150</v>
      </c>
      <c r="J18" s="296">
        <f>SUM(I18:I21)</f>
        <v>300</v>
      </c>
      <c r="K18" s="307">
        <f>J18 *(IF(C18="AZURE", SUMMARY!C$20, SUMMARY!C$21))</f>
        <v>28.8</v>
      </c>
      <c r="L18" s="308"/>
      <c r="M18" s="309">
        <f>IF(C18="ON PREM", 0, SUMMARY!C$25%)</f>
        <v>0.12</v>
      </c>
      <c r="N18" s="299">
        <f>IF(C18="AWS",SUMMARY!C$26%, 0)</f>
        <v>0.13</v>
      </c>
      <c r="O18" s="300">
        <f>((SUM(K18:L18))-((SUM(K18:L18))*N18))*(1 + M18)</f>
        <v>28.062720000000002</v>
      </c>
      <c r="P18" s="300">
        <f>O18*12</f>
        <v>336.75264000000004</v>
      </c>
    </row>
    <row r="19" spans="1:16">
      <c r="A19" s="302"/>
      <c r="B19" s="302"/>
      <c r="C19" s="303"/>
      <c r="D19" s="303"/>
      <c r="E19" s="303"/>
      <c r="F19" s="303"/>
      <c r="G19" s="306"/>
      <c r="H19" s="150" t="str">
        <f>IF(G18="Windows Server", "F:\appdir", "/appdir")</f>
        <v>F:\appdir</v>
      </c>
      <c r="I19" s="152">
        <f>$I$9</f>
        <v>0</v>
      </c>
      <c r="J19" s="296"/>
      <c r="K19" s="296"/>
      <c r="L19" s="296"/>
      <c r="M19" s="296"/>
      <c r="N19" s="296"/>
      <c r="O19" s="296"/>
      <c r="P19" s="296"/>
    </row>
    <row r="20" spans="1:16">
      <c r="A20" s="302"/>
      <c r="B20" s="302"/>
      <c r="C20" s="303"/>
      <c r="D20" s="303"/>
      <c r="E20" s="303"/>
      <c r="F20" s="303"/>
      <c r="G20" s="306"/>
      <c r="H20" s="32" t="str">
        <f>IF(G18="Windows Server", "G:\Log", "/var/log")</f>
        <v>G:\Log</v>
      </c>
      <c r="I20" s="146">
        <f>IF(G18="Windows Server", 50, 20)</f>
        <v>50</v>
      </c>
      <c r="J20" s="296"/>
      <c r="K20" s="296"/>
      <c r="L20" s="296"/>
      <c r="M20" s="296"/>
      <c r="N20" s="296"/>
      <c r="O20" s="296"/>
      <c r="P20" s="296"/>
    </row>
    <row r="21" spans="1:16">
      <c r="A21" s="302"/>
      <c r="B21" s="302"/>
      <c r="C21" s="303"/>
      <c r="D21" s="303"/>
      <c r="E21" s="303"/>
      <c r="F21" s="303"/>
      <c r="G21" s="306"/>
      <c r="H21" s="32" t="str">
        <f>IF(G18="Windows Server", "H:\Backup", "/backup")</f>
        <v>H:\Backup</v>
      </c>
      <c r="I21" s="146">
        <f>IF(G18="Windows Server", 100, 10)</f>
        <v>100</v>
      </c>
      <c r="J21" s="296"/>
      <c r="K21" s="296"/>
      <c r="L21" s="296"/>
      <c r="M21" s="296"/>
      <c r="N21" s="296"/>
      <c r="O21" s="296"/>
      <c r="P21" s="296"/>
    </row>
    <row r="22" spans="1:16" ht="14.25" customHeight="1">
      <c r="A22" s="3"/>
      <c r="B22" s="3"/>
      <c r="C22" s="3"/>
      <c r="D22" s="3"/>
      <c r="E22" s="3">
        <f>SUM(E14:E21)</f>
        <v>0</v>
      </c>
      <c r="F22" s="3">
        <f>SUM(F14:F21)</f>
        <v>0</v>
      </c>
      <c r="G22" s="3"/>
      <c r="H22" s="3"/>
      <c r="I22" s="3"/>
      <c r="J22" s="3">
        <f>SUM(J14:J21)</f>
        <v>600</v>
      </c>
      <c r="K22" s="133">
        <f>SUM(K14:K21)</f>
        <v>57.6</v>
      </c>
      <c r="L22" s="133">
        <f>SUM(L14:L21)</f>
        <v>0</v>
      </c>
      <c r="M22" s="133"/>
      <c r="N22" s="133"/>
      <c r="O22" s="133">
        <f>SUM(O14:O21)</f>
        <v>56.125440000000005</v>
      </c>
      <c r="P22" s="133">
        <f>SUM(P14:P21)</f>
        <v>673.50528000000008</v>
      </c>
    </row>
    <row r="23" spans="1:16" s="129" customFormat="1">
      <c r="A23" s="144" t="s">
        <v>285</v>
      </c>
      <c r="B23" s="301"/>
      <c r="C23" s="301"/>
      <c r="D23" s="301"/>
      <c r="E23" s="301"/>
      <c r="F23" s="301"/>
      <c r="G23" s="301"/>
      <c r="H23" s="301"/>
      <c r="I23" s="301"/>
      <c r="J23" s="301"/>
      <c r="K23" s="301"/>
      <c r="L23" s="301"/>
      <c r="M23" s="301"/>
      <c r="N23" s="301"/>
      <c r="O23" s="301"/>
      <c r="P23" s="301"/>
    </row>
    <row r="24" spans="1:16" ht="13.5" customHeight="1">
      <c r="A24" s="294"/>
      <c r="B24" s="290">
        <f>((12*5*4)/(24*7*4))*730</f>
        <v>260.71428571428572</v>
      </c>
      <c r="C24" s="294" t="s">
        <v>286</v>
      </c>
      <c r="D24" s="295"/>
      <c r="E24" s="310">
        <f>$E$4</f>
        <v>0</v>
      </c>
      <c r="F24" s="310">
        <f>$F$4</f>
        <v>0</v>
      </c>
      <c r="G24" s="294" t="s">
        <v>287</v>
      </c>
      <c r="H24" s="32" t="str">
        <f>IF(G24="Windows Server", "C:\", "/")</f>
        <v>/</v>
      </c>
      <c r="I24" s="146">
        <f>IF(G24="Windows Server", 150, 20)</f>
        <v>20</v>
      </c>
      <c r="J24" s="296">
        <f>SUM(I24:I27)</f>
        <v>50</v>
      </c>
      <c r="K24" s="297">
        <f>J24 *(IF(C24="AZURE", SUMMARY!C$20, SUMMARY!C$21))</f>
        <v>4.8</v>
      </c>
      <c r="L24" s="298"/>
      <c r="M24" s="299">
        <f>IF(C24="ON PREM", 0, SUMMARY!C$25%)</f>
        <v>0.12</v>
      </c>
      <c r="N24" s="299">
        <f>IF(C24="AWS",SUMMARY!C$26%, 0)</f>
        <v>0</v>
      </c>
      <c r="O24" s="300">
        <f>((SUM(K24:L24))-((SUM(K24:L24))*N24))*(1 + M24)</f>
        <v>5.3760000000000003</v>
      </c>
      <c r="P24" s="300">
        <f>O24*12</f>
        <v>64.512</v>
      </c>
    </row>
    <row r="25" spans="1:16">
      <c r="A25" s="294"/>
      <c r="B25" s="294"/>
      <c r="C25" s="294"/>
      <c r="D25" s="295"/>
      <c r="E25" s="295"/>
      <c r="F25" s="295"/>
      <c r="G25" s="294"/>
      <c r="H25" s="148" t="str">
        <f>IF(G24="Windows Server", "F:\appdir", "/appdir")</f>
        <v>/appdir</v>
      </c>
      <c r="I25" s="149"/>
      <c r="J25" s="296"/>
      <c r="K25" s="296"/>
      <c r="L25" s="296"/>
      <c r="M25" s="296"/>
      <c r="N25" s="296"/>
      <c r="O25" s="296"/>
      <c r="P25" s="296"/>
    </row>
    <row r="26" spans="1:16">
      <c r="A26" s="294"/>
      <c r="B26" s="294"/>
      <c r="C26" s="294"/>
      <c r="D26" s="295"/>
      <c r="E26" s="295"/>
      <c r="F26" s="295"/>
      <c r="G26" s="294"/>
      <c r="H26" s="32" t="str">
        <f>IF(G24="Windows Server", "G:\Log", "/var/log")</f>
        <v>/var/log</v>
      </c>
      <c r="I26" s="146">
        <f>IF(G24="Windows Server", 50, 20)</f>
        <v>20</v>
      </c>
      <c r="J26" s="296"/>
      <c r="K26" s="296"/>
      <c r="L26" s="296"/>
      <c r="M26" s="296"/>
      <c r="N26" s="296"/>
      <c r="O26" s="296"/>
      <c r="P26" s="296"/>
    </row>
    <row r="27" spans="1:16">
      <c r="A27" s="294"/>
      <c r="B27" s="294"/>
      <c r="C27" s="294"/>
      <c r="D27" s="295"/>
      <c r="E27" s="295"/>
      <c r="F27" s="295"/>
      <c r="G27" s="294"/>
      <c r="H27" s="32" t="str">
        <f>IF(G24="Windows Server", "H:\Backup", "/backup")</f>
        <v>/backup</v>
      </c>
      <c r="I27" s="146">
        <f>IF(G24="Windows Server", 100, 10)</f>
        <v>10</v>
      </c>
      <c r="J27" s="296"/>
      <c r="K27" s="296"/>
      <c r="L27" s="296"/>
      <c r="M27" s="296"/>
      <c r="N27" s="296"/>
      <c r="O27" s="296"/>
      <c r="P27" s="296"/>
    </row>
    <row r="28" spans="1:16" s="147" customFormat="1" ht="12" customHeight="1">
      <c r="A28" s="294"/>
      <c r="B28" s="290">
        <f>((12*5*4)/(24*7*4))*730</f>
        <v>260.71428571428572</v>
      </c>
      <c r="C28" s="294" t="s">
        <v>288</v>
      </c>
      <c r="D28" s="295"/>
      <c r="E28" s="310">
        <f>$E$8</f>
        <v>0</v>
      </c>
      <c r="F28" s="310">
        <f>$F$8</f>
        <v>0</v>
      </c>
      <c r="G28" s="294" t="s">
        <v>287</v>
      </c>
      <c r="H28" s="32" t="str">
        <f>IF(G28="Windows Server", "C:\", "/")</f>
        <v>/</v>
      </c>
      <c r="I28" s="146">
        <f>IF(G28="Windows Server", 150, 20)</f>
        <v>20</v>
      </c>
      <c r="J28" s="296">
        <f>SUM(I28:I31)</f>
        <v>50</v>
      </c>
      <c r="K28" s="297">
        <f>J28 *(IF(C28="AZURE", SUMMARY!C$20, SUMMARY!C$21))</f>
        <v>4.8</v>
      </c>
      <c r="L28" s="298"/>
      <c r="M28" s="299">
        <f>IF(C28="ON PREM", 0, SUMMARY!C$25%)</f>
        <v>0</v>
      </c>
      <c r="N28" s="299">
        <f>IF(C28="AWS",SUMMARY!C$26%, 0)</f>
        <v>0</v>
      </c>
      <c r="O28" s="300">
        <f>((SUM(K28:L28))-((SUM(K28:L28))*N28))*(1 + M28)</f>
        <v>4.8</v>
      </c>
      <c r="P28" s="300">
        <f>O28*12</f>
        <v>57.599999999999994</v>
      </c>
    </row>
    <row r="29" spans="1:16" s="147" customFormat="1" ht="12" customHeight="1">
      <c r="A29" s="294"/>
      <c r="B29" s="294"/>
      <c r="C29" s="294"/>
      <c r="D29" s="295"/>
      <c r="E29" s="295"/>
      <c r="F29" s="295"/>
      <c r="G29" s="294"/>
      <c r="H29" s="148" t="str">
        <f>IF(G28="Windows Server", "F:\appdir", "/appdir")</f>
        <v>/appdir</v>
      </c>
      <c r="I29" s="149"/>
      <c r="J29" s="296"/>
      <c r="K29" s="296"/>
      <c r="L29" s="296"/>
      <c r="M29" s="296"/>
      <c r="N29" s="296"/>
      <c r="O29" s="296"/>
      <c r="P29" s="296"/>
    </row>
    <row r="30" spans="1:16" s="147" customFormat="1" ht="12" customHeight="1">
      <c r="A30" s="294"/>
      <c r="B30" s="294"/>
      <c r="C30" s="294"/>
      <c r="D30" s="295"/>
      <c r="E30" s="295"/>
      <c r="F30" s="295"/>
      <c r="G30" s="294"/>
      <c r="H30" s="32" t="str">
        <f>IF(G28="Windows Server", "G:\Log", "/var/log")</f>
        <v>/var/log</v>
      </c>
      <c r="I30" s="146">
        <f>IF(G28="Windows Server", 50, 20)</f>
        <v>20</v>
      </c>
      <c r="J30" s="296"/>
      <c r="K30" s="296"/>
      <c r="L30" s="296"/>
      <c r="M30" s="296"/>
      <c r="N30" s="296"/>
      <c r="O30" s="296"/>
      <c r="P30" s="296"/>
    </row>
    <row r="31" spans="1:16" s="147" customFormat="1" ht="12" customHeight="1">
      <c r="A31" s="294"/>
      <c r="B31" s="294"/>
      <c r="C31" s="294"/>
      <c r="D31" s="295"/>
      <c r="E31" s="295"/>
      <c r="F31" s="295"/>
      <c r="G31" s="294"/>
      <c r="H31" s="32" t="str">
        <f>IF(G28="Windows Server", "H:\Backup", "/backup")</f>
        <v>/backup</v>
      </c>
      <c r="I31" s="146">
        <f>IF(G28="Windows Server", 100, 10)</f>
        <v>10</v>
      </c>
      <c r="J31" s="296"/>
      <c r="K31" s="296"/>
      <c r="L31" s="296"/>
      <c r="M31" s="296"/>
      <c r="N31" s="296"/>
      <c r="O31" s="296"/>
      <c r="P31" s="296"/>
    </row>
    <row r="32" spans="1:16" ht="14.25" customHeight="1">
      <c r="A32" s="3"/>
      <c r="B32" s="3"/>
      <c r="C32" s="3"/>
      <c r="D32" s="3"/>
      <c r="E32" s="3">
        <f>SUM(E24:E31)</f>
        <v>0</v>
      </c>
      <c r="F32" s="3">
        <f>SUM(F24:F31)</f>
        <v>0</v>
      </c>
      <c r="G32" s="3"/>
      <c r="H32" s="3"/>
      <c r="I32" s="3"/>
      <c r="J32" s="3">
        <f>SUM(J24:J31)</f>
        <v>100</v>
      </c>
      <c r="K32" s="133">
        <f>SUM(K24:K31)</f>
        <v>9.6</v>
      </c>
      <c r="L32" s="133">
        <f>SUM(L24:L31)</f>
        <v>0</v>
      </c>
      <c r="M32" s="133"/>
      <c r="N32" s="133"/>
      <c r="O32" s="133">
        <f>SUM(O24:O31)</f>
        <v>10.176</v>
      </c>
      <c r="P32" s="133">
        <f>SUM(P24:P31)</f>
        <v>122.11199999999999</v>
      </c>
    </row>
    <row r="33" spans="1:16" s="129" customFormat="1">
      <c r="A33" s="144" t="s">
        <v>289</v>
      </c>
      <c r="B33" s="301"/>
      <c r="C33" s="301"/>
      <c r="D33" s="301"/>
      <c r="E33" s="301"/>
      <c r="F33" s="301"/>
      <c r="G33" s="301"/>
      <c r="H33" s="301"/>
      <c r="I33" s="301"/>
      <c r="J33" s="301"/>
      <c r="K33" s="301"/>
      <c r="L33" s="301"/>
      <c r="M33" s="301"/>
      <c r="N33" s="301"/>
      <c r="O33" s="301"/>
      <c r="P33" s="301"/>
    </row>
    <row r="34" spans="1:16" ht="13.5" customHeight="1">
      <c r="A34" s="302"/>
      <c r="B34" s="290">
        <f>((12*5*4)/(24*7*4))*730</f>
        <v>260.71428571428572</v>
      </c>
      <c r="C34" s="303" t="s">
        <v>282</v>
      </c>
      <c r="D34" s="303"/>
      <c r="E34" s="304">
        <f>$E$4</f>
        <v>0</v>
      </c>
      <c r="F34" s="305">
        <f>$F$4</f>
        <v>0</v>
      </c>
      <c r="G34" s="306" t="s">
        <v>283</v>
      </c>
      <c r="H34" s="32" t="str">
        <f>IF(G34="Windows Server", "C:\", "/")</f>
        <v>C:\</v>
      </c>
      <c r="I34" s="146">
        <f>IF(G34="Windows Server", 150, 20)</f>
        <v>150</v>
      </c>
      <c r="J34" s="296">
        <f>SUM(I34:I37)</f>
        <v>300</v>
      </c>
      <c r="K34" s="307">
        <f>J34 *(IF(C34="AZURE", SUMMARY!C$20, SUMMARY!C$21))</f>
        <v>28.8</v>
      </c>
      <c r="L34" s="308"/>
      <c r="M34" s="299">
        <f>IF(C34="ON PREM", 0, SUMMARY!C$25%)</f>
        <v>0.12</v>
      </c>
      <c r="N34" s="299">
        <f>IF(C34="AWS",SUMMARY!C$26%, 0)</f>
        <v>0.13</v>
      </c>
      <c r="O34" s="300">
        <f>((SUM(K34:L34))-((SUM(K34:L34))*N34))*(1 + M34)</f>
        <v>28.062720000000002</v>
      </c>
      <c r="P34" s="300">
        <f>O34*12</f>
        <v>336.75264000000004</v>
      </c>
    </row>
    <row r="35" spans="1:16">
      <c r="A35" s="302"/>
      <c r="B35" s="302"/>
      <c r="C35" s="303"/>
      <c r="D35" s="303"/>
      <c r="E35" s="303"/>
      <c r="F35" s="303"/>
      <c r="G35" s="306"/>
      <c r="H35" s="150" t="str">
        <f>IF(G34="Windows Server", "F:\appdir", "/appdir")</f>
        <v>F:\appdir</v>
      </c>
      <c r="I35" s="151">
        <f>$I$5</f>
        <v>0</v>
      </c>
      <c r="J35" s="296"/>
      <c r="K35" s="296"/>
      <c r="L35" s="296"/>
      <c r="M35" s="296"/>
      <c r="N35" s="296"/>
      <c r="O35" s="296"/>
      <c r="P35" s="296"/>
    </row>
    <row r="36" spans="1:16">
      <c r="A36" s="302"/>
      <c r="B36" s="302"/>
      <c r="C36" s="303"/>
      <c r="D36" s="303"/>
      <c r="E36" s="303"/>
      <c r="F36" s="303"/>
      <c r="G36" s="306"/>
      <c r="H36" s="32" t="str">
        <f>IF(G34="Windows Server", "G:\Log", "/var/log")</f>
        <v>G:\Log</v>
      </c>
      <c r="I36" s="146">
        <f>IF(G34="Windows Server", 50, 20)</f>
        <v>50</v>
      </c>
      <c r="J36" s="296"/>
      <c r="K36" s="296"/>
      <c r="L36" s="296"/>
      <c r="M36" s="296"/>
      <c r="N36" s="296"/>
      <c r="O36" s="296"/>
      <c r="P36" s="296"/>
    </row>
    <row r="37" spans="1:16">
      <c r="A37" s="302"/>
      <c r="B37" s="302"/>
      <c r="C37" s="303"/>
      <c r="D37" s="303"/>
      <c r="E37" s="303"/>
      <c r="F37" s="303"/>
      <c r="G37" s="306"/>
      <c r="H37" s="32" t="str">
        <f>IF(G34="Windows Server", "H:\Backup", "/backup")</f>
        <v>H:\Backup</v>
      </c>
      <c r="I37" s="146">
        <f>IF(G34="Windows Server", 100, 10)</f>
        <v>100</v>
      </c>
      <c r="J37" s="296"/>
      <c r="K37" s="296"/>
      <c r="L37" s="296"/>
      <c r="M37" s="296"/>
      <c r="N37" s="296"/>
      <c r="O37" s="296"/>
      <c r="P37" s="296"/>
    </row>
    <row r="38" spans="1:16" ht="13.5" customHeight="1">
      <c r="A38" s="302"/>
      <c r="B38" s="290">
        <f>((12*5*4)/(24*7*4))*730</f>
        <v>260.71428571428572</v>
      </c>
      <c r="C38" s="303" t="s">
        <v>282</v>
      </c>
      <c r="D38" s="303"/>
      <c r="E38" s="304">
        <f>$E$8</f>
        <v>0</v>
      </c>
      <c r="F38" s="305">
        <f>$F$8</f>
        <v>0</v>
      </c>
      <c r="G38" s="306" t="s">
        <v>287</v>
      </c>
      <c r="H38" s="32" t="str">
        <f>IF(G38="Windows Server", "C:\", "/")</f>
        <v>/</v>
      </c>
      <c r="I38" s="146">
        <f>IF(G38="Windows Server", 150, 20)</f>
        <v>20</v>
      </c>
      <c r="J38" s="296">
        <f>SUM(I38:I41)</f>
        <v>50</v>
      </c>
      <c r="K38" s="307">
        <f>J38 *(IF(C38="AZURE", SUMMARY!C$20, SUMMARY!C$21))</f>
        <v>4.8</v>
      </c>
      <c r="L38" s="308"/>
      <c r="M38" s="299">
        <f>IF(C38="ON PREM", 0, SUMMARY!C$25%)</f>
        <v>0.12</v>
      </c>
      <c r="N38" s="299">
        <f>IF(C38="AWS",SUMMARY!C$26%, 0)</f>
        <v>0.13</v>
      </c>
      <c r="O38" s="300">
        <f>((SUM(K38:L38))-((SUM(K38:L38))*N38))*(1 + M38)</f>
        <v>4.6771200000000004</v>
      </c>
      <c r="P38" s="300">
        <f>O38*12</f>
        <v>56.125440000000005</v>
      </c>
    </row>
    <row r="39" spans="1:16">
      <c r="A39" s="302"/>
      <c r="B39" s="302"/>
      <c r="C39" s="303"/>
      <c r="D39" s="303"/>
      <c r="E39" s="303"/>
      <c r="F39" s="303"/>
      <c r="G39" s="306"/>
      <c r="H39" s="150" t="str">
        <f>IF(G38="Windows Server", "F:\appdir", "/appdir")</f>
        <v>/appdir</v>
      </c>
      <c r="I39" s="152">
        <f>$I$9</f>
        <v>0</v>
      </c>
      <c r="J39" s="296"/>
      <c r="K39" s="296"/>
      <c r="L39" s="296"/>
      <c r="M39" s="296"/>
      <c r="N39" s="296"/>
      <c r="O39" s="296"/>
      <c r="P39" s="296"/>
    </row>
    <row r="40" spans="1:16">
      <c r="A40" s="302"/>
      <c r="B40" s="302"/>
      <c r="C40" s="303"/>
      <c r="D40" s="303"/>
      <c r="E40" s="303"/>
      <c r="F40" s="303"/>
      <c r="G40" s="306"/>
      <c r="H40" s="32" t="str">
        <f>IF(G38="Windows Server", "G:\Log", "/var/log")</f>
        <v>/var/log</v>
      </c>
      <c r="I40" s="146">
        <f>IF(G38="Windows Server", 50, 20)</f>
        <v>20</v>
      </c>
      <c r="J40" s="296"/>
      <c r="K40" s="296"/>
      <c r="L40" s="296"/>
      <c r="M40" s="296"/>
      <c r="N40" s="296"/>
      <c r="O40" s="296"/>
      <c r="P40" s="296"/>
    </row>
    <row r="41" spans="1:16">
      <c r="A41" s="302"/>
      <c r="B41" s="302"/>
      <c r="C41" s="303"/>
      <c r="D41" s="303"/>
      <c r="E41" s="303"/>
      <c r="F41" s="303"/>
      <c r="G41" s="306"/>
      <c r="H41" s="32" t="str">
        <f>IF(G38="Windows Server", "H:\Backup", "/backup")</f>
        <v>/backup</v>
      </c>
      <c r="I41" s="146">
        <f>IF(G38="Windows Server", 100, 10)</f>
        <v>10</v>
      </c>
      <c r="J41" s="296"/>
      <c r="K41" s="296"/>
      <c r="L41" s="296"/>
      <c r="M41" s="296"/>
      <c r="N41" s="296"/>
      <c r="O41" s="296"/>
      <c r="P41" s="296"/>
    </row>
    <row r="42" spans="1:16" ht="14.25" customHeight="1">
      <c r="A42" s="3"/>
      <c r="B42" s="3"/>
      <c r="C42" s="3"/>
      <c r="D42" s="3"/>
      <c r="E42" s="3">
        <f>SUM(E34:E41)</f>
        <v>0</v>
      </c>
      <c r="F42" s="3">
        <f>SUM(F34:F41)</f>
        <v>0</v>
      </c>
      <c r="G42" s="3"/>
      <c r="H42" s="3"/>
      <c r="I42" s="3"/>
      <c r="J42" s="3">
        <f>SUM(J34:J41)</f>
        <v>350</v>
      </c>
      <c r="K42" s="133">
        <f>SUM(K34:K41)</f>
        <v>33.6</v>
      </c>
      <c r="L42" s="133">
        <f>SUM(L34:L41)</f>
        <v>0</v>
      </c>
      <c r="M42" s="133"/>
      <c r="N42" s="133"/>
      <c r="O42" s="133">
        <f>SUM(O34:O41)</f>
        <v>32.739840000000001</v>
      </c>
      <c r="P42" s="133">
        <f>SUM(P34:P41)</f>
        <v>392.87808000000007</v>
      </c>
    </row>
    <row r="43" spans="1:16" s="129" customFormat="1">
      <c r="A43" s="144" t="s">
        <v>290</v>
      </c>
      <c r="B43" s="301"/>
      <c r="C43" s="301"/>
      <c r="D43" s="301"/>
      <c r="E43" s="301"/>
      <c r="F43" s="301"/>
      <c r="G43" s="301"/>
      <c r="H43" s="301"/>
      <c r="I43" s="301"/>
      <c r="J43" s="301"/>
      <c r="K43" s="301"/>
      <c r="L43" s="301"/>
      <c r="M43" s="301"/>
      <c r="N43" s="301"/>
      <c r="O43" s="301"/>
      <c r="P43" s="301"/>
    </row>
    <row r="44" spans="1:16" ht="13.5" customHeight="1">
      <c r="A44" s="294"/>
      <c r="B44" s="290">
        <f>((12*5*4)/(24*7*4))*730</f>
        <v>260.71428571428572</v>
      </c>
      <c r="C44" s="294" t="s">
        <v>286</v>
      </c>
      <c r="D44" s="295"/>
      <c r="E44" s="310">
        <f>$E$4</f>
        <v>0</v>
      </c>
      <c r="F44" s="310">
        <f>$F$4</f>
        <v>0</v>
      </c>
      <c r="G44" s="294" t="s">
        <v>287</v>
      </c>
      <c r="H44" s="32" t="str">
        <f>IF(G44="Windows Server", "C:\", "/")</f>
        <v>/</v>
      </c>
      <c r="I44" s="146">
        <f>IF(G44="Windows Server", 150, 20)</f>
        <v>20</v>
      </c>
      <c r="J44" s="296">
        <f>SUM(I44:I47)</f>
        <v>50</v>
      </c>
      <c r="K44" s="297">
        <f>J44 *(IF(C44="AZURE", SUMMARY!C$20, SUMMARY!C$21))</f>
        <v>4.8</v>
      </c>
      <c r="L44" s="298"/>
      <c r="M44" s="299">
        <f>IF(C44="ON PREM", 0, 12%)</f>
        <v>0.12</v>
      </c>
      <c r="N44" s="299">
        <f>IF(C44="AWS",SUMMARY!C$26%, 0)</f>
        <v>0</v>
      </c>
      <c r="O44" s="300">
        <f>((SUM(K44:L44))-((SUM(K44:L44))*N44))*(1 + M44)</f>
        <v>5.3760000000000003</v>
      </c>
      <c r="P44" s="300">
        <f>O44*12</f>
        <v>64.512</v>
      </c>
    </row>
    <row r="45" spans="1:16">
      <c r="A45" s="294"/>
      <c r="B45" s="294"/>
      <c r="C45" s="294"/>
      <c r="D45" s="295"/>
      <c r="E45" s="295"/>
      <c r="F45" s="295"/>
      <c r="G45" s="294"/>
      <c r="H45" s="148" t="str">
        <f>IF(G44="Windows Server", "F:\appdir", "/appdir")</f>
        <v>/appdir</v>
      </c>
      <c r="I45" s="149"/>
      <c r="J45" s="296"/>
      <c r="K45" s="296"/>
      <c r="L45" s="296"/>
      <c r="M45" s="296"/>
      <c r="N45" s="296"/>
      <c r="O45" s="296"/>
      <c r="P45" s="296"/>
    </row>
    <row r="46" spans="1:16">
      <c r="A46" s="294"/>
      <c r="B46" s="294"/>
      <c r="C46" s="294"/>
      <c r="D46" s="295"/>
      <c r="E46" s="295"/>
      <c r="F46" s="295"/>
      <c r="G46" s="294"/>
      <c r="H46" s="32" t="str">
        <f>IF(G44="Windows Server", "G:\Log", "/var/log")</f>
        <v>/var/log</v>
      </c>
      <c r="I46" s="146">
        <f>IF(G44="Windows Server", 50, 20)</f>
        <v>20</v>
      </c>
      <c r="J46" s="296"/>
      <c r="K46" s="296"/>
      <c r="L46" s="296"/>
      <c r="M46" s="296"/>
      <c r="N46" s="296"/>
      <c r="O46" s="296"/>
      <c r="P46" s="296"/>
    </row>
    <row r="47" spans="1:16">
      <c r="A47" s="294"/>
      <c r="B47" s="294"/>
      <c r="C47" s="294"/>
      <c r="D47" s="295"/>
      <c r="E47" s="295"/>
      <c r="F47" s="295"/>
      <c r="G47" s="294"/>
      <c r="H47" s="32" t="str">
        <f>IF(G44="Windows Server", "H:\Backup", "/backup")</f>
        <v>/backup</v>
      </c>
      <c r="I47" s="146">
        <f>IF(G44="Windows Server", 100, 10)</f>
        <v>10</v>
      </c>
      <c r="J47" s="296"/>
      <c r="K47" s="296"/>
      <c r="L47" s="296"/>
      <c r="M47" s="296"/>
      <c r="N47" s="296"/>
      <c r="O47" s="296"/>
      <c r="P47" s="296"/>
    </row>
    <row r="48" spans="1:16" s="147" customFormat="1" ht="12" customHeight="1">
      <c r="A48" s="294"/>
      <c r="B48" s="290">
        <f>((12*5*4)/(24*7*4))*730</f>
        <v>260.71428571428572</v>
      </c>
      <c r="C48" s="294" t="s">
        <v>286</v>
      </c>
      <c r="D48" s="295"/>
      <c r="E48" s="310">
        <f>$E$8</f>
        <v>0</v>
      </c>
      <c r="F48" s="310">
        <f>$F$8</f>
        <v>0</v>
      </c>
      <c r="G48" s="294" t="s">
        <v>287</v>
      </c>
      <c r="H48" s="32" t="str">
        <f>IF(G48="Windows Server", "C:\", "/")</f>
        <v>/</v>
      </c>
      <c r="I48" s="146">
        <f>IF(G48="Windows Server", 150, 20)</f>
        <v>20</v>
      </c>
      <c r="J48" s="296">
        <f>SUM(I48:I51)</f>
        <v>50</v>
      </c>
      <c r="K48" s="297">
        <f>J48 *(IF(C48="AZURE", SUMMARY!C$20, SUMMARY!C$21))</f>
        <v>4.8</v>
      </c>
      <c r="L48" s="298"/>
      <c r="M48" s="299">
        <f>IF(C48="ON PREM", 0, 12%)</f>
        <v>0.12</v>
      </c>
      <c r="N48" s="299">
        <f>IF(C48="AWS",SUMMARY!C$26%, 0)</f>
        <v>0</v>
      </c>
      <c r="O48" s="300">
        <f>((SUM(K48:L48))-((SUM(K48:L48))*N48))*(1 + M48)</f>
        <v>5.3760000000000003</v>
      </c>
      <c r="P48" s="300">
        <f>O48*12</f>
        <v>64.512</v>
      </c>
    </row>
    <row r="49" spans="1:16" s="147" customFormat="1" ht="12" customHeight="1">
      <c r="A49" s="294"/>
      <c r="B49" s="294"/>
      <c r="C49" s="294"/>
      <c r="D49" s="295"/>
      <c r="E49" s="295"/>
      <c r="F49" s="295"/>
      <c r="G49" s="294"/>
      <c r="H49" s="148" t="str">
        <f>IF(G48="Windows Server", "F:\appdir", "/appdir")</f>
        <v>/appdir</v>
      </c>
      <c r="I49" s="149"/>
      <c r="J49" s="296"/>
      <c r="K49" s="296"/>
      <c r="L49" s="296"/>
      <c r="M49" s="296"/>
      <c r="N49" s="296"/>
      <c r="O49" s="296"/>
      <c r="P49" s="296"/>
    </row>
    <row r="50" spans="1:16" s="147" customFormat="1" ht="12" customHeight="1">
      <c r="A50" s="294"/>
      <c r="B50" s="294"/>
      <c r="C50" s="294"/>
      <c r="D50" s="295"/>
      <c r="E50" s="295"/>
      <c r="F50" s="295"/>
      <c r="G50" s="294"/>
      <c r="H50" s="32" t="str">
        <f>IF(G48="Windows Server", "G:\Log", "/var/log")</f>
        <v>/var/log</v>
      </c>
      <c r="I50" s="146">
        <f>IF(G48="Windows Server", 50, 20)</f>
        <v>20</v>
      </c>
      <c r="J50" s="296"/>
      <c r="K50" s="296"/>
      <c r="L50" s="296"/>
      <c r="M50" s="296"/>
      <c r="N50" s="296"/>
      <c r="O50" s="296"/>
      <c r="P50" s="296"/>
    </row>
    <row r="51" spans="1:16" s="147" customFormat="1" ht="12" customHeight="1">
      <c r="A51" s="294"/>
      <c r="B51" s="294"/>
      <c r="C51" s="294"/>
      <c r="D51" s="295"/>
      <c r="E51" s="295"/>
      <c r="F51" s="295"/>
      <c r="G51" s="294"/>
      <c r="H51" s="32" t="str">
        <f>IF(G48="Windows Server", "H:\Backup", "/backup")</f>
        <v>/backup</v>
      </c>
      <c r="I51" s="146">
        <f>IF(G48="Windows Server", 100, 10)</f>
        <v>10</v>
      </c>
      <c r="J51" s="296"/>
      <c r="K51" s="296"/>
      <c r="L51" s="296"/>
      <c r="M51" s="296"/>
      <c r="N51" s="296"/>
      <c r="O51" s="296"/>
      <c r="P51" s="296"/>
    </row>
    <row r="52" spans="1:16">
      <c r="A52" s="3"/>
      <c r="B52" s="3"/>
      <c r="C52" s="3"/>
      <c r="D52" s="3"/>
      <c r="E52" s="3">
        <f>SUM(E44:E51)</f>
        <v>0</v>
      </c>
      <c r="F52" s="3">
        <f>SUM(F44:F51)</f>
        <v>0</v>
      </c>
      <c r="G52" s="3"/>
      <c r="H52" s="3"/>
      <c r="I52" s="3"/>
      <c r="J52" s="3">
        <f>SUM(J44:J51)</f>
        <v>100</v>
      </c>
      <c r="K52" s="133">
        <f>SUM(K44:K51)</f>
        <v>9.6</v>
      </c>
      <c r="L52" s="133">
        <f>SUM(L44:L51)</f>
        <v>0</v>
      </c>
      <c r="M52" s="133"/>
      <c r="N52" s="133"/>
      <c r="O52" s="133">
        <f>SUM(O44:O51)</f>
        <v>10.752000000000001</v>
      </c>
      <c r="P52" s="133">
        <f>SUM(P44:P51)</f>
        <v>129.024</v>
      </c>
    </row>
  </sheetData>
  <mergeCells count="147">
    <mergeCell ref="L48:L51"/>
    <mergeCell ref="M48:M51"/>
    <mergeCell ref="N48:N51"/>
    <mergeCell ref="O48:O51"/>
    <mergeCell ref="P48:P51"/>
    <mergeCell ref="A48:A51"/>
    <mergeCell ref="B48:B51"/>
    <mergeCell ref="C48:C51"/>
    <mergeCell ref="D48:D51"/>
    <mergeCell ref="E48:E51"/>
    <mergeCell ref="F48:F51"/>
    <mergeCell ref="G48:G51"/>
    <mergeCell ref="J48:J51"/>
    <mergeCell ref="K48:K51"/>
    <mergeCell ref="P38:P41"/>
    <mergeCell ref="B43:P43"/>
    <mergeCell ref="A44:A47"/>
    <mergeCell ref="B44:B47"/>
    <mergeCell ref="C44:C47"/>
    <mergeCell ref="D44:D47"/>
    <mergeCell ref="E44:E47"/>
    <mergeCell ref="F44:F47"/>
    <mergeCell ref="G44:G47"/>
    <mergeCell ref="J44:J47"/>
    <mergeCell ref="K44:K47"/>
    <mergeCell ref="L44:L47"/>
    <mergeCell ref="M44:M47"/>
    <mergeCell ref="N44:N47"/>
    <mergeCell ref="O44:O47"/>
    <mergeCell ref="P44:P47"/>
    <mergeCell ref="A38:A41"/>
    <mergeCell ref="B38:B41"/>
    <mergeCell ref="C38:C41"/>
    <mergeCell ref="D38:D41"/>
    <mergeCell ref="E38:E41"/>
    <mergeCell ref="F38:F41"/>
    <mergeCell ref="G38:G41"/>
    <mergeCell ref="J38:J41"/>
    <mergeCell ref="K38:K41"/>
    <mergeCell ref="L28:L31"/>
    <mergeCell ref="M28:M31"/>
    <mergeCell ref="N28:N31"/>
    <mergeCell ref="O28:O31"/>
    <mergeCell ref="K28:K31"/>
    <mergeCell ref="L38:L41"/>
    <mergeCell ref="M38:M41"/>
    <mergeCell ref="N38:N41"/>
    <mergeCell ref="O38:O41"/>
    <mergeCell ref="P28:P31"/>
    <mergeCell ref="B33:P33"/>
    <mergeCell ref="A34:A37"/>
    <mergeCell ref="B34:B37"/>
    <mergeCell ref="C34:C37"/>
    <mergeCell ref="D34:D37"/>
    <mergeCell ref="E34:E37"/>
    <mergeCell ref="F34:F37"/>
    <mergeCell ref="G34:G37"/>
    <mergeCell ref="J34:J37"/>
    <mergeCell ref="K34:K37"/>
    <mergeCell ref="L34:L37"/>
    <mergeCell ref="M34:M37"/>
    <mergeCell ref="N34:N37"/>
    <mergeCell ref="O34:O37"/>
    <mergeCell ref="P34:P37"/>
    <mergeCell ref="A28:A31"/>
    <mergeCell ref="B28:B31"/>
    <mergeCell ref="C28:C31"/>
    <mergeCell ref="D28:D31"/>
    <mergeCell ref="E28:E31"/>
    <mergeCell ref="F28:F31"/>
    <mergeCell ref="G28:G31"/>
    <mergeCell ref="J28:J31"/>
    <mergeCell ref="P18:P21"/>
    <mergeCell ref="B23:P23"/>
    <mergeCell ref="A24:A27"/>
    <mergeCell ref="B24:B27"/>
    <mergeCell ref="C24:C27"/>
    <mergeCell ref="D24:D27"/>
    <mergeCell ref="E24:E27"/>
    <mergeCell ref="F24:F27"/>
    <mergeCell ref="G24:G27"/>
    <mergeCell ref="J24:J27"/>
    <mergeCell ref="K24:K27"/>
    <mergeCell ref="L24:L27"/>
    <mergeCell ref="M24:M27"/>
    <mergeCell ref="N24:N27"/>
    <mergeCell ref="O24:O27"/>
    <mergeCell ref="P24:P27"/>
    <mergeCell ref="A18:A21"/>
    <mergeCell ref="B18:B21"/>
    <mergeCell ref="C18:C21"/>
    <mergeCell ref="D18:D21"/>
    <mergeCell ref="E18:E21"/>
    <mergeCell ref="F18:F21"/>
    <mergeCell ref="G18:G21"/>
    <mergeCell ref="J18:J21"/>
    <mergeCell ref="K18:K21"/>
    <mergeCell ref="L8:L11"/>
    <mergeCell ref="M8:M11"/>
    <mergeCell ref="N8:N11"/>
    <mergeCell ref="O8:O11"/>
    <mergeCell ref="K8:K11"/>
    <mergeCell ref="L18:L21"/>
    <mergeCell ref="M18:M21"/>
    <mergeCell ref="N18:N21"/>
    <mergeCell ref="O18:O21"/>
    <mergeCell ref="P8:P11"/>
    <mergeCell ref="B13:P13"/>
    <mergeCell ref="A14:A17"/>
    <mergeCell ref="B14:B17"/>
    <mergeCell ref="C14:C17"/>
    <mergeCell ref="D14:D17"/>
    <mergeCell ref="E14:E17"/>
    <mergeCell ref="F14:F17"/>
    <mergeCell ref="G14:G17"/>
    <mergeCell ref="J14:J17"/>
    <mergeCell ref="K14:K17"/>
    <mergeCell ref="L14:L17"/>
    <mergeCell ref="M14:M17"/>
    <mergeCell ref="N14:N17"/>
    <mergeCell ref="O14:O17"/>
    <mergeCell ref="P14:P17"/>
    <mergeCell ref="A8:A11"/>
    <mergeCell ref="B8:B11"/>
    <mergeCell ref="C8:C11"/>
    <mergeCell ref="D8:D11"/>
    <mergeCell ref="E8:E11"/>
    <mergeCell ref="F8:F11"/>
    <mergeCell ref="G8:G11"/>
    <mergeCell ref="J8:J11"/>
    <mergeCell ref="A1:P1"/>
    <mergeCell ref="B2:P2"/>
    <mergeCell ref="H3:I3"/>
    <mergeCell ref="A4:A7"/>
    <mergeCell ref="B4:B7"/>
    <mergeCell ref="C4:C7"/>
    <mergeCell ref="D4:D7"/>
    <mergeCell ref="E4:E7"/>
    <mergeCell ref="F4:F7"/>
    <mergeCell ref="G4:G7"/>
    <mergeCell ref="J4:J7"/>
    <mergeCell ref="K4:K7"/>
    <mergeCell ref="L4:L7"/>
    <mergeCell ref="M4:M7"/>
    <mergeCell ref="N4:N7"/>
    <mergeCell ref="O4:O7"/>
    <mergeCell ref="P4:P7"/>
  </mergeCells>
  <dataValidations count="2">
    <dataValidation type="list" allowBlank="1" showInputMessage="1" showErrorMessage="1" sqref="G4:G11 G14:G21 G24:G31 G34:G41 G44:G51" xr:uid="{00000000-0002-0000-0B00-000000000000}">
      <formula1>"RHEL,Windows Server,Oracle Linux,Ubuntu,Debian"</formula1>
      <formula2>0</formula2>
    </dataValidation>
    <dataValidation type="list" allowBlank="1" showInputMessage="1" showErrorMessage="1" sqref="C4:C11 C14:C21 C24:C31 C34:C41 C44:C51" xr:uid="{00000000-0002-0000-0B00-000001000000}">
      <formula1>"ON PREM,AWS,AZURE,EXACC"</formula1>
      <formula2>0</formula2>
    </dataValidation>
  </dataValidations>
  <hyperlinks>
    <hyperlink ref="H6" r:id="rId1" display="file:///H:/backup" xr:uid="{00000000-0004-0000-0B00-000000000000}"/>
    <hyperlink ref="H7" r:id="rId2" display="file:///G:/log" xr:uid="{00000000-0004-0000-0B00-000001000000}"/>
    <hyperlink ref="H10" r:id="rId3" display="file:///H:/backup" xr:uid="{00000000-0004-0000-0B00-000002000000}"/>
    <hyperlink ref="H11" r:id="rId4" display="file:///G:/log" xr:uid="{00000000-0004-0000-0B00-000003000000}"/>
    <hyperlink ref="H16" r:id="rId5" display="file:///H:/backup" xr:uid="{00000000-0004-0000-0B00-000004000000}"/>
    <hyperlink ref="H17" r:id="rId6" display="file:///G:/log" xr:uid="{00000000-0004-0000-0B00-000005000000}"/>
    <hyperlink ref="H20" r:id="rId7" display="file:///H:/backup" xr:uid="{00000000-0004-0000-0B00-000006000000}"/>
    <hyperlink ref="H21" r:id="rId8" display="file:///G:/log" xr:uid="{00000000-0004-0000-0B00-000007000000}"/>
    <hyperlink ref="H26" r:id="rId9" display="file:///H:/backup" xr:uid="{00000000-0004-0000-0B00-000008000000}"/>
    <hyperlink ref="H27" r:id="rId10" display="file:///G:/log" xr:uid="{00000000-0004-0000-0B00-000009000000}"/>
    <hyperlink ref="H30" r:id="rId11" display="file:///H:/backup" xr:uid="{00000000-0004-0000-0B00-00000A000000}"/>
    <hyperlink ref="H31" r:id="rId12" display="file:///G:/log" xr:uid="{00000000-0004-0000-0B00-00000B000000}"/>
    <hyperlink ref="H36" r:id="rId13" display="file:///H:/backup" xr:uid="{00000000-0004-0000-0B00-00000C000000}"/>
    <hyperlink ref="H37" r:id="rId14" display="file:///G:/log" xr:uid="{00000000-0004-0000-0B00-00000D000000}"/>
    <hyperlink ref="H40" r:id="rId15" display="file:///H:/backup" xr:uid="{00000000-0004-0000-0B00-00000E000000}"/>
    <hyperlink ref="H41" r:id="rId16" display="file:///G:/log" xr:uid="{00000000-0004-0000-0B00-00000F000000}"/>
    <hyperlink ref="H46" r:id="rId17" display="file:///H:/backup" xr:uid="{00000000-0004-0000-0B00-000010000000}"/>
    <hyperlink ref="H47" r:id="rId18" display="file:///G:/log" xr:uid="{00000000-0004-0000-0B00-000011000000}"/>
    <hyperlink ref="H50" r:id="rId19" display="file:///H:/backup" xr:uid="{00000000-0004-0000-0B00-000012000000}"/>
    <hyperlink ref="H51" r:id="rId20" display="file:///G:/log" xr:uid="{00000000-0004-0000-0B00-000013000000}"/>
  </hyperlinks>
  <pageMargins left="0.7" right="0.7" top="0.75" bottom="0.75" header="0.511811023622047" footer="0.511811023622047"/>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4472C4"/>
  </sheetPr>
  <dimension ref="A1:AMK132"/>
  <sheetViews>
    <sheetView topLeftCell="C94" zoomScale="68" zoomScaleNormal="68" workbookViewId="0">
      <selection activeCell="M94" sqref="M94"/>
    </sheetView>
  </sheetViews>
  <sheetFormatPr defaultColWidth="0" defaultRowHeight="13.5"/>
  <cols>
    <col min="1" max="1" width="37.42578125" style="142" customWidth="1"/>
    <col min="2" max="3" width="22.42578125" style="142" customWidth="1"/>
    <col min="4" max="4" width="17.42578125" style="142" customWidth="1"/>
    <col min="5" max="5" width="10.42578125" style="142" customWidth="1"/>
    <col min="6" max="6" width="13.42578125" style="142" customWidth="1"/>
    <col min="7" max="8" width="21.5703125" style="142" customWidth="1"/>
    <col min="9" max="9" width="17.42578125" style="142" customWidth="1"/>
    <col min="10" max="10" width="15.42578125" style="142" customWidth="1"/>
    <col min="11" max="11" width="15.5703125" style="143" customWidth="1"/>
    <col min="12" max="14" width="19.5703125" style="143" customWidth="1"/>
    <col min="15" max="15" width="13.5703125" style="143" customWidth="1"/>
    <col min="16" max="16" width="14.5703125" style="143" customWidth="1"/>
    <col min="17" max="1025" width="8.5703125" style="50" hidden="1" customWidth="1"/>
    <col min="1026" max="16384" width="8.5703125" style="23" hidden="1"/>
  </cols>
  <sheetData>
    <row r="1" spans="1:16" ht="25.5" customHeight="1">
      <c r="A1" s="257" t="s">
        <v>292</v>
      </c>
      <c r="B1" s="257"/>
      <c r="C1" s="257"/>
      <c r="D1" s="257"/>
      <c r="E1" s="257"/>
      <c r="F1" s="257"/>
      <c r="G1" s="257"/>
      <c r="H1" s="257"/>
      <c r="I1" s="257"/>
      <c r="J1" s="257"/>
      <c r="K1" s="257"/>
      <c r="L1" s="257"/>
      <c r="M1" s="257"/>
      <c r="N1" s="257"/>
      <c r="O1" s="257"/>
      <c r="P1" s="257"/>
    </row>
    <row r="2" spans="1:16" s="129" customFormat="1">
      <c r="A2" s="144" t="s">
        <v>272</v>
      </c>
      <c r="B2" s="301"/>
      <c r="C2" s="301"/>
      <c r="D2" s="301"/>
      <c r="E2" s="301"/>
      <c r="F2" s="301"/>
      <c r="G2" s="301"/>
      <c r="H2" s="301"/>
      <c r="I2" s="301"/>
      <c r="J2" s="301"/>
      <c r="K2" s="301"/>
      <c r="L2" s="301"/>
      <c r="M2" s="301"/>
      <c r="N2" s="301"/>
      <c r="O2" s="301"/>
      <c r="P2" s="301"/>
    </row>
    <row r="3" spans="1:16" ht="25.5" customHeight="1">
      <c r="A3" s="65" t="s">
        <v>12</v>
      </c>
      <c r="B3" s="65" t="s">
        <v>246</v>
      </c>
      <c r="C3" s="88" t="s">
        <v>273</v>
      </c>
      <c r="D3" s="145" t="s">
        <v>274</v>
      </c>
      <c r="E3" s="65" t="s">
        <v>99</v>
      </c>
      <c r="F3" s="65" t="s">
        <v>100</v>
      </c>
      <c r="G3" s="65" t="s">
        <v>275</v>
      </c>
      <c r="H3" s="293" t="s">
        <v>276</v>
      </c>
      <c r="I3" s="293"/>
      <c r="J3" s="65" t="s">
        <v>277</v>
      </c>
      <c r="K3" s="114" t="s">
        <v>278</v>
      </c>
      <c r="L3" s="114" t="s">
        <v>247</v>
      </c>
      <c r="M3" s="114" t="s">
        <v>279</v>
      </c>
      <c r="N3" s="114" t="s">
        <v>280</v>
      </c>
      <c r="O3" s="114" t="s">
        <v>281</v>
      </c>
      <c r="P3" s="114" t="s">
        <v>250</v>
      </c>
    </row>
    <row r="4" spans="1:16" s="147" customFormat="1" ht="12" customHeight="1">
      <c r="A4" s="294"/>
      <c r="B4" s="290">
        <f>((12*5*4)/(24*7*4))*730</f>
        <v>260.71428571428572</v>
      </c>
      <c r="C4" s="294" t="s">
        <v>286</v>
      </c>
      <c r="D4" s="295"/>
      <c r="E4" s="295"/>
      <c r="F4" s="295"/>
      <c r="G4" s="294" t="s">
        <v>293</v>
      </c>
      <c r="H4" s="32" t="str">
        <f>IF(G4="Windows Server", "C:\", "/")</f>
        <v>/</v>
      </c>
      <c r="I4" s="146">
        <f>IF(G4="Windows Server", 150, 20)</f>
        <v>20</v>
      </c>
      <c r="J4" s="296">
        <f>SUM(I4:I7)</f>
        <v>50</v>
      </c>
      <c r="K4" s="297">
        <f>J4 *(IF(C4="AZURE", SUMMARY!C$20, SUMMARY!C$21))</f>
        <v>4.8</v>
      </c>
      <c r="L4" s="298"/>
      <c r="M4" s="299">
        <f>IF(C4="ON PREM", 0, SUMMARY!C$25%)</f>
        <v>0.12</v>
      </c>
      <c r="N4" s="299">
        <f>IF(C4="AWS",SUMMARY!C$26%, 0)</f>
        <v>0</v>
      </c>
      <c r="O4" s="300">
        <f>((SUM(K4:L4))-((SUM(K4:L4))*N4))*(1 + M4)</f>
        <v>5.3760000000000003</v>
      </c>
      <c r="P4" s="300">
        <f>O4*12</f>
        <v>64.512</v>
      </c>
    </row>
    <row r="5" spans="1:16" s="147" customFormat="1" ht="12" customHeight="1">
      <c r="A5" s="294"/>
      <c r="B5" s="294"/>
      <c r="C5" s="294"/>
      <c r="D5" s="295"/>
      <c r="E5" s="295"/>
      <c r="F5" s="295"/>
      <c r="G5" s="294"/>
      <c r="H5" s="148" t="str">
        <f>IF(G4="Windows Server", "F:\appdir", "/appdir")</f>
        <v>/appdir</v>
      </c>
      <c r="I5" s="149"/>
      <c r="J5" s="296"/>
      <c r="K5" s="296"/>
      <c r="L5" s="296"/>
      <c r="M5" s="296"/>
      <c r="N5" s="296"/>
      <c r="O5" s="296"/>
      <c r="P5" s="296"/>
    </row>
    <row r="6" spans="1:16" s="147" customFormat="1" ht="12" customHeight="1">
      <c r="A6" s="294"/>
      <c r="B6" s="294"/>
      <c r="C6" s="294"/>
      <c r="D6" s="295"/>
      <c r="E6" s="295"/>
      <c r="F6" s="295"/>
      <c r="G6" s="294"/>
      <c r="H6" s="32" t="str">
        <f>IF(G4="Windows Server", "G:\Log", "/var/log")</f>
        <v>/var/log</v>
      </c>
      <c r="I6" s="146">
        <f>IF(G4="Windows Server", 50, 20)</f>
        <v>20</v>
      </c>
      <c r="J6" s="296"/>
      <c r="K6" s="296"/>
      <c r="L6" s="296"/>
      <c r="M6" s="296"/>
      <c r="N6" s="296"/>
      <c r="O6" s="296"/>
      <c r="P6" s="296"/>
    </row>
    <row r="7" spans="1:16" s="147" customFormat="1" ht="12" customHeight="1">
      <c r="A7" s="294"/>
      <c r="B7" s="294"/>
      <c r="C7" s="294"/>
      <c r="D7" s="295"/>
      <c r="E7" s="295"/>
      <c r="F7" s="295"/>
      <c r="G7" s="294"/>
      <c r="H7" s="32" t="str">
        <f>IF(G4="Windows Server", "H:\Backup", "/backup")</f>
        <v>/backup</v>
      </c>
      <c r="I7" s="146">
        <f>IF(G4="Windows Server", 100, 10)</f>
        <v>10</v>
      </c>
      <c r="J7" s="296"/>
      <c r="K7" s="296"/>
      <c r="L7" s="296"/>
      <c r="M7" s="296"/>
      <c r="N7" s="296"/>
      <c r="O7" s="296"/>
      <c r="P7" s="296"/>
    </row>
    <row r="8" spans="1:16" s="147" customFormat="1" ht="12" customHeight="1">
      <c r="A8" s="294"/>
      <c r="B8" s="290">
        <f>((12*5*4)/(24*7*4))*730</f>
        <v>260.71428571428572</v>
      </c>
      <c r="C8" s="294" t="s">
        <v>288</v>
      </c>
      <c r="D8" s="295"/>
      <c r="E8" s="295"/>
      <c r="F8" s="295"/>
      <c r="G8" s="294" t="s">
        <v>293</v>
      </c>
      <c r="H8" s="32" t="str">
        <f>IF(G8="Windows Server", "C:\", "/")</f>
        <v>/</v>
      </c>
      <c r="I8" s="146">
        <f>IF(G8="Windows Server", 150, 20)</f>
        <v>20</v>
      </c>
      <c r="J8" s="296">
        <f>SUM(I8:I11)</f>
        <v>50</v>
      </c>
      <c r="K8" s="297">
        <f>J8 *(IF(C8="AZURE", SUMMARY!C$20, SUMMARY!C$21))</f>
        <v>4.8</v>
      </c>
      <c r="L8" s="298"/>
      <c r="M8" s="299">
        <f>IF(C8="ON PREM", 0, SUMMARY!C$25%)</f>
        <v>0</v>
      </c>
      <c r="N8" s="299">
        <f>IF(C8="AWS",SUMMARY!C$26%, 0)</f>
        <v>0</v>
      </c>
      <c r="O8" s="300">
        <f>((SUM(K8:L8))-((SUM(K8:L8))*N8))*(1 + M8)</f>
        <v>4.8</v>
      </c>
      <c r="P8" s="300">
        <f>O8*12</f>
        <v>57.599999999999994</v>
      </c>
    </row>
    <row r="9" spans="1:16" s="147" customFormat="1" ht="12" customHeight="1">
      <c r="A9" s="294"/>
      <c r="B9" s="294"/>
      <c r="C9" s="294"/>
      <c r="D9" s="295"/>
      <c r="E9" s="295"/>
      <c r="F9" s="295"/>
      <c r="G9" s="294"/>
      <c r="H9" s="148" t="str">
        <f>IF(G8="Windows Server", "F:\appdir", "/appdir")</f>
        <v>/appdir</v>
      </c>
      <c r="I9" s="149"/>
      <c r="J9" s="296"/>
      <c r="K9" s="296"/>
      <c r="L9" s="296"/>
      <c r="M9" s="296"/>
      <c r="N9" s="296"/>
      <c r="O9" s="296"/>
      <c r="P9" s="296"/>
    </row>
    <row r="10" spans="1:16" s="147" customFormat="1" ht="12" customHeight="1">
      <c r="A10" s="294"/>
      <c r="B10" s="294"/>
      <c r="C10" s="294"/>
      <c r="D10" s="295"/>
      <c r="E10" s="295"/>
      <c r="F10" s="295"/>
      <c r="G10" s="294"/>
      <c r="H10" s="32" t="str">
        <f>IF(G8="Windows Server", "G:\Log", "/var/log")</f>
        <v>/var/log</v>
      </c>
      <c r="I10" s="146">
        <f>IF(G8="Windows Server", 50, 20)</f>
        <v>20</v>
      </c>
      <c r="J10" s="296"/>
      <c r="K10" s="296"/>
      <c r="L10" s="296"/>
      <c r="M10" s="296"/>
      <c r="N10" s="296"/>
      <c r="O10" s="296"/>
      <c r="P10" s="296"/>
    </row>
    <row r="11" spans="1:16" s="147" customFormat="1" ht="12" customHeight="1">
      <c r="A11" s="294"/>
      <c r="B11" s="294"/>
      <c r="C11" s="294"/>
      <c r="D11" s="295"/>
      <c r="E11" s="295"/>
      <c r="F11" s="295"/>
      <c r="G11" s="294"/>
      <c r="H11" s="32" t="str">
        <f>IF(G8="Windows Server", "H:\Backup", "/backup")</f>
        <v>/backup</v>
      </c>
      <c r="I11" s="146">
        <f>IF(G8="Windows Server", 100, 10)</f>
        <v>10</v>
      </c>
      <c r="J11" s="296"/>
      <c r="K11" s="296"/>
      <c r="L11" s="296"/>
      <c r="M11" s="296"/>
      <c r="N11" s="296"/>
      <c r="O11" s="296"/>
      <c r="P11" s="296"/>
    </row>
    <row r="12" spans="1:16" s="147" customFormat="1" ht="12" customHeight="1">
      <c r="A12" s="294"/>
      <c r="B12" s="290">
        <f>((12*5*4)/(24*7*4))*730</f>
        <v>260.71428571428572</v>
      </c>
      <c r="C12" s="294" t="s">
        <v>286</v>
      </c>
      <c r="D12" s="295"/>
      <c r="E12" s="295"/>
      <c r="F12" s="295"/>
      <c r="G12" s="294" t="s">
        <v>294</v>
      </c>
      <c r="H12" s="32" t="str">
        <f>IF(G12="Windows Server", "C:\", "/")</f>
        <v>/</v>
      </c>
      <c r="I12" s="146">
        <f>IF(G12="Windows Server", 150, 20)</f>
        <v>20</v>
      </c>
      <c r="J12" s="296">
        <f>SUM(I12:I15)</f>
        <v>50</v>
      </c>
      <c r="K12" s="297">
        <f>J12 *(IF(C12="AZURE", SUMMARY!C$20, SUMMARY!C$21))</f>
        <v>4.8</v>
      </c>
      <c r="L12" s="298"/>
      <c r="M12" s="299">
        <f>IF(C12="ON PREM", 0, SUMMARY!C$25%)</f>
        <v>0.12</v>
      </c>
      <c r="N12" s="299">
        <f>IF(C12="AWS",SUMMARY!C$26%, 0)</f>
        <v>0</v>
      </c>
      <c r="O12" s="300">
        <f>((SUM(K12:L12))-((SUM(K12:L12))*N12))*(1 + M12)</f>
        <v>5.3760000000000003</v>
      </c>
      <c r="P12" s="300">
        <f>O12*12</f>
        <v>64.512</v>
      </c>
    </row>
    <row r="13" spans="1:16" s="147" customFormat="1" ht="12" customHeight="1">
      <c r="A13" s="294"/>
      <c r="B13" s="294"/>
      <c r="C13" s="294"/>
      <c r="D13" s="295"/>
      <c r="E13" s="295"/>
      <c r="F13" s="295"/>
      <c r="G13" s="294"/>
      <c r="H13" s="148" t="str">
        <f>IF(G12="Windows Server", "F:\appdir", "/appdir")</f>
        <v>/appdir</v>
      </c>
      <c r="I13" s="149"/>
      <c r="J13" s="296"/>
      <c r="K13" s="296"/>
      <c r="L13" s="296"/>
      <c r="M13" s="296"/>
      <c r="N13" s="296"/>
      <c r="O13" s="296"/>
      <c r="P13" s="296"/>
    </row>
    <row r="14" spans="1:16" s="147" customFormat="1" ht="12" customHeight="1">
      <c r="A14" s="294"/>
      <c r="B14" s="294"/>
      <c r="C14" s="294"/>
      <c r="D14" s="295"/>
      <c r="E14" s="295"/>
      <c r="F14" s="295"/>
      <c r="G14" s="294"/>
      <c r="H14" s="32" t="str">
        <f>IF(G12="Windows Server", "G:\Log", "/var/log")</f>
        <v>/var/log</v>
      </c>
      <c r="I14" s="146">
        <f>IF(G12="Windows Server", 50, 20)</f>
        <v>20</v>
      </c>
      <c r="J14" s="296"/>
      <c r="K14" s="296"/>
      <c r="L14" s="296"/>
      <c r="M14" s="296"/>
      <c r="N14" s="296"/>
      <c r="O14" s="296"/>
      <c r="P14" s="296"/>
    </row>
    <row r="15" spans="1:16" s="147" customFormat="1" ht="12" customHeight="1">
      <c r="A15" s="294"/>
      <c r="B15" s="294"/>
      <c r="C15" s="294"/>
      <c r="D15" s="295"/>
      <c r="E15" s="295"/>
      <c r="F15" s="295"/>
      <c r="G15" s="294"/>
      <c r="H15" s="32" t="str">
        <f>IF(G12="Windows Server", "H:\Backup", "/backup")</f>
        <v>/backup</v>
      </c>
      <c r="I15" s="146">
        <f>IF(G12="Windows Server", 100, 10)</f>
        <v>10</v>
      </c>
      <c r="J15" s="296"/>
      <c r="K15" s="296"/>
      <c r="L15" s="296"/>
      <c r="M15" s="296"/>
      <c r="N15" s="296"/>
      <c r="O15" s="296"/>
      <c r="P15" s="296"/>
    </row>
    <row r="16" spans="1:16" s="147" customFormat="1" ht="12" customHeight="1">
      <c r="A16" s="294"/>
      <c r="B16" s="290">
        <f>((12*5*4)/(24*7*4))*730</f>
        <v>260.71428571428572</v>
      </c>
      <c r="C16" s="294" t="s">
        <v>288</v>
      </c>
      <c r="D16" s="295"/>
      <c r="E16" s="295"/>
      <c r="F16" s="295"/>
      <c r="G16" s="294" t="s">
        <v>294</v>
      </c>
      <c r="H16" s="32" t="str">
        <f>IF(G16="Windows Server", "C:\", "/")</f>
        <v>/</v>
      </c>
      <c r="I16" s="146">
        <f>IF(G16="Windows Server", 150, 20)</f>
        <v>20</v>
      </c>
      <c r="J16" s="296">
        <f>SUM(I16:I19)</f>
        <v>50</v>
      </c>
      <c r="K16" s="297">
        <f>J16 *(IF(C16="AZURE", SUMMARY!C$20, SUMMARY!C$21))</f>
        <v>4.8</v>
      </c>
      <c r="L16" s="298"/>
      <c r="M16" s="299">
        <f>IF(C16="ON PREM", 0, SUMMARY!C$25%)</f>
        <v>0</v>
      </c>
      <c r="N16" s="299">
        <f>IF(C16="AWS",SUMMARY!C$26%, 0)</f>
        <v>0</v>
      </c>
      <c r="O16" s="300">
        <f>((SUM(K16:L16))-((SUM(K16:L16))*N16))*(1 + M16)</f>
        <v>4.8</v>
      </c>
      <c r="P16" s="300">
        <f>O16*12</f>
        <v>57.599999999999994</v>
      </c>
    </row>
    <row r="17" spans="1:16" s="147" customFormat="1" ht="12" customHeight="1">
      <c r="A17" s="294"/>
      <c r="B17" s="294"/>
      <c r="C17" s="294"/>
      <c r="D17" s="295"/>
      <c r="E17" s="295"/>
      <c r="F17" s="295"/>
      <c r="G17" s="294"/>
      <c r="H17" s="148" t="str">
        <f>IF(G16="Windows Server", "F:\appdir", "/appdir")</f>
        <v>/appdir</v>
      </c>
      <c r="I17" s="149"/>
      <c r="J17" s="296"/>
      <c r="K17" s="296"/>
      <c r="L17" s="296"/>
      <c r="M17" s="296"/>
      <c r="N17" s="296"/>
      <c r="O17" s="296"/>
      <c r="P17" s="296"/>
    </row>
    <row r="18" spans="1:16" s="147" customFormat="1" ht="12" customHeight="1">
      <c r="A18" s="294"/>
      <c r="B18" s="294"/>
      <c r="C18" s="294"/>
      <c r="D18" s="295"/>
      <c r="E18" s="295"/>
      <c r="F18" s="295"/>
      <c r="G18" s="294"/>
      <c r="H18" s="32" t="str">
        <f>IF(G16="Windows Server", "G:\Log", "/var/log")</f>
        <v>/var/log</v>
      </c>
      <c r="I18" s="146">
        <f>IF(G16="Windows Server", 50, 20)</f>
        <v>20</v>
      </c>
      <c r="J18" s="296"/>
      <c r="K18" s="296"/>
      <c r="L18" s="296"/>
      <c r="M18" s="296"/>
      <c r="N18" s="296"/>
      <c r="O18" s="296"/>
      <c r="P18" s="296"/>
    </row>
    <row r="19" spans="1:16" s="147" customFormat="1" ht="12" customHeight="1">
      <c r="A19" s="294"/>
      <c r="B19" s="294"/>
      <c r="C19" s="294"/>
      <c r="D19" s="295"/>
      <c r="E19" s="295"/>
      <c r="F19" s="295"/>
      <c r="G19" s="294"/>
      <c r="H19" s="32" t="str">
        <f>IF(G16="Windows Server", "H:\Backup", "/backup")</f>
        <v>/backup</v>
      </c>
      <c r="I19" s="146">
        <f>IF(G16="Windows Server", 100, 10)</f>
        <v>10</v>
      </c>
      <c r="J19" s="296"/>
      <c r="K19" s="296"/>
      <c r="L19" s="296"/>
      <c r="M19" s="296"/>
      <c r="N19" s="296"/>
      <c r="O19" s="296"/>
      <c r="P19" s="296"/>
    </row>
    <row r="20" spans="1:16" s="147" customFormat="1" ht="12" customHeight="1">
      <c r="A20" s="294"/>
      <c r="B20" s="290">
        <f>((12*5*4)/(24*7*4))*730</f>
        <v>260.71428571428572</v>
      </c>
      <c r="C20" s="294" t="s">
        <v>286</v>
      </c>
      <c r="D20" s="295"/>
      <c r="E20" s="295"/>
      <c r="F20" s="295"/>
      <c r="G20" s="294" t="s">
        <v>293</v>
      </c>
      <c r="H20" s="32" t="str">
        <f>IF(G20="Windows Server", "C:\", "/")</f>
        <v>/</v>
      </c>
      <c r="I20" s="146">
        <f>IF(G20="Windows Server", 150, 20)</f>
        <v>20</v>
      </c>
      <c r="J20" s="296">
        <f>SUM(I20:I23)</f>
        <v>50</v>
      </c>
      <c r="K20" s="297">
        <f>J20 *(IF(C20="AZURE", SUMMARY!C$20, SUMMARY!C$21))</f>
        <v>4.8</v>
      </c>
      <c r="L20" s="298"/>
      <c r="M20" s="299">
        <f>IF(C20="ON PREM", 0, SUMMARY!C$25%)</f>
        <v>0.12</v>
      </c>
      <c r="N20" s="299">
        <f>IF(C20="AWS",SUMMARY!C$26%, 0)</f>
        <v>0</v>
      </c>
      <c r="O20" s="300">
        <f>((SUM(K20:L20))-((SUM(K20:L20))*N20))*(1 + M20)</f>
        <v>5.3760000000000003</v>
      </c>
      <c r="P20" s="300">
        <f>O20*12</f>
        <v>64.512</v>
      </c>
    </row>
    <row r="21" spans="1:16" s="147" customFormat="1" ht="12" customHeight="1">
      <c r="A21" s="294"/>
      <c r="B21" s="294"/>
      <c r="C21" s="294"/>
      <c r="D21" s="295"/>
      <c r="E21" s="295"/>
      <c r="F21" s="295"/>
      <c r="G21" s="294"/>
      <c r="H21" s="148" t="str">
        <f>IF(G20="Windows Server", "F:\appdir", "/appdir")</f>
        <v>/appdir</v>
      </c>
      <c r="I21" s="149"/>
      <c r="J21" s="296"/>
      <c r="K21" s="296"/>
      <c r="L21" s="296"/>
      <c r="M21" s="296"/>
      <c r="N21" s="296"/>
      <c r="O21" s="296"/>
      <c r="P21" s="296"/>
    </row>
    <row r="22" spans="1:16" s="147" customFormat="1" ht="12" customHeight="1">
      <c r="A22" s="294"/>
      <c r="B22" s="294"/>
      <c r="C22" s="294"/>
      <c r="D22" s="295"/>
      <c r="E22" s="295"/>
      <c r="F22" s="295"/>
      <c r="G22" s="294"/>
      <c r="H22" s="32" t="str">
        <f>IF(G20="Windows Server", "G:\Log", "/var/log")</f>
        <v>/var/log</v>
      </c>
      <c r="I22" s="146">
        <f>IF(G20="Windows Server", 50, 20)</f>
        <v>20</v>
      </c>
      <c r="J22" s="296"/>
      <c r="K22" s="296"/>
      <c r="L22" s="296"/>
      <c r="M22" s="296"/>
      <c r="N22" s="296"/>
      <c r="O22" s="296"/>
      <c r="P22" s="296"/>
    </row>
    <row r="23" spans="1:16" s="147" customFormat="1" ht="12" customHeight="1">
      <c r="A23" s="294"/>
      <c r="B23" s="294"/>
      <c r="C23" s="294"/>
      <c r="D23" s="295"/>
      <c r="E23" s="295"/>
      <c r="F23" s="295"/>
      <c r="G23" s="294"/>
      <c r="H23" s="32" t="str">
        <f>IF(G20="Windows Server", "H:\Backup", "/backup")</f>
        <v>/backup</v>
      </c>
      <c r="I23" s="146">
        <f>IF(G20="Windows Server", 100, 10)</f>
        <v>10</v>
      </c>
      <c r="J23" s="296"/>
      <c r="K23" s="296"/>
      <c r="L23" s="296"/>
      <c r="M23" s="296"/>
      <c r="N23" s="296"/>
      <c r="O23" s="296"/>
      <c r="P23" s="296"/>
    </row>
    <row r="24" spans="1:16" s="147" customFormat="1" ht="12" customHeight="1">
      <c r="A24" s="294"/>
      <c r="B24" s="290">
        <f>((12*5*4)/(24*7*4))*730</f>
        <v>260.71428571428572</v>
      </c>
      <c r="C24" s="294" t="s">
        <v>286</v>
      </c>
      <c r="D24" s="295"/>
      <c r="E24" s="295"/>
      <c r="F24" s="295"/>
      <c r="G24" s="294" t="s">
        <v>294</v>
      </c>
      <c r="H24" s="32" t="str">
        <f>IF(G24="Windows Server", "C:\", "/")</f>
        <v>/</v>
      </c>
      <c r="I24" s="146">
        <f>IF(G24="Windows Server", 150, 20)</f>
        <v>20</v>
      </c>
      <c r="J24" s="296">
        <f>SUM(I24:I27)</f>
        <v>50</v>
      </c>
      <c r="K24" s="297">
        <f>J24 *(IF(C24="AZURE", SUMMARY!C$20, SUMMARY!C$21))</f>
        <v>4.8</v>
      </c>
      <c r="L24" s="298"/>
      <c r="M24" s="299">
        <f>IF(C24="ON PREM", 0, SUMMARY!C$25%)</f>
        <v>0.12</v>
      </c>
      <c r="N24" s="299">
        <f>IF(C24="AWS",SUMMARY!C$26%, 0)</f>
        <v>0</v>
      </c>
      <c r="O24" s="300">
        <f>((SUM(K24:L24))-((SUM(K24:L24))*N24))*(1 + M24)</f>
        <v>5.3760000000000003</v>
      </c>
      <c r="P24" s="300">
        <f>O24*12</f>
        <v>64.512</v>
      </c>
    </row>
    <row r="25" spans="1:16" s="147" customFormat="1" ht="12" customHeight="1">
      <c r="A25" s="294"/>
      <c r="B25" s="294"/>
      <c r="C25" s="294"/>
      <c r="D25" s="295"/>
      <c r="E25" s="295"/>
      <c r="F25" s="295"/>
      <c r="G25" s="294"/>
      <c r="H25" s="148" t="str">
        <f>IF(G24="Windows Server", "F:\appdir", "/appdir")</f>
        <v>/appdir</v>
      </c>
      <c r="I25" s="149"/>
      <c r="J25" s="296"/>
      <c r="K25" s="296"/>
      <c r="L25" s="296"/>
      <c r="M25" s="296"/>
      <c r="N25" s="296"/>
      <c r="O25" s="296"/>
      <c r="P25" s="296"/>
    </row>
    <row r="26" spans="1:16" s="147" customFormat="1" ht="12" customHeight="1">
      <c r="A26" s="294"/>
      <c r="B26" s="294"/>
      <c r="C26" s="294"/>
      <c r="D26" s="295"/>
      <c r="E26" s="295"/>
      <c r="F26" s="295"/>
      <c r="G26" s="294"/>
      <c r="H26" s="32" t="str">
        <f>IF(G24="Windows Server", "G:\Log", "/var/log")</f>
        <v>/var/log</v>
      </c>
      <c r="I26" s="146">
        <f>IF(G24="Windows Server", 50, 20)</f>
        <v>20</v>
      </c>
      <c r="J26" s="296"/>
      <c r="K26" s="296"/>
      <c r="L26" s="296"/>
      <c r="M26" s="296"/>
      <c r="N26" s="296"/>
      <c r="O26" s="296"/>
      <c r="P26" s="296"/>
    </row>
    <row r="27" spans="1:16" s="147" customFormat="1" ht="12" customHeight="1">
      <c r="A27" s="294"/>
      <c r="B27" s="294"/>
      <c r="C27" s="294"/>
      <c r="D27" s="295"/>
      <c r="E27" s="295"/>
      <c r="F27" s="295"/>
      <c r="G27" s="294"/>
      <c r="H27" s="32" t="str">
        <f>IF(G24="Windows Server", "H:\Backup", "/backup")</f>
        <v>/backup</v>
      </c>
      <c r="I27" s="146">
        <f>IF(G24="Windows Server", 100, 10)</f>
        <v>10</v>
      </c>
      <c r="J27" s="296"/>
      <c r="K27" s="296"/>
      <c r="L27" s="296"/>
      <c r="M27" s="296"/>
      <c r="N27" s="296"/>
      <c r="O27" s="296"/>
      <c r="P27" s="296"/>
    </row>
    <row r="28" spans="1:16" ht="14.25" customHeight="1">
      <c r="A28" s="3"/>
      <c r="B28" s="153"/>
      <c r="C28" s="153"/>
      <c r="D28" s="153"/>
      <c r="E28" s="153">
        <f>SUM(E4:E27)</f>
        <v>0</v>
      </c>
      <c r="F28" s="153">
        <f>SUM(F4:F27)</f>
        <v>0</v>
      </c>
      <c r="G28" s="153"/>
      <c r="H28" s="153"/>
      <c r="I28" s="153"/>
      <c r="J28" s="153">
        <f>SUM(J4:J27)</f>
        <v>300</v>
      </c>
      <c r="K28" s="154">
        <f>SUM(K4:K27)</f>
        <v>28.8</v>
      </c>
      <c r="L28" s="154">
        <f>SUM(L4:L27)</f>
        <v>0</v>
      </c>
      <c r="M28" s="154"/>
      <c r="N28" s="154"/>
      <c r="O28" s="154">
        <f>SUM(O4:O27)</f>
        <v>31.104000000000003</v>
      </c>
      <c r="P28" s="154">
        <f>SUM(P4:P27)</f>
        <v>373.24799999999999</v>
      </c>
    </row>
    <row r="29" spans="1:16" s="129" customFormat="1">
      <c r="A29" s="144" t="s">
        <v>284</v>
      </c>
      <c r="B29" s="301"/>
      <c r="C29" s="301"/>
      <c r="D29" s="301"/>
      <c r="E29" s="301"/>
      <c r="F29" s="301"/>
      <c r="G29" s="301"/>
      <c r="H29" s="301"/>
      <c r="I29" s="301"/>
      <c r="J29" s="301"/>
      <c r="K29" s="301"/>
      <c r="L29" s="301"/>
      <c r="M29" s="301"/>
      <c r="N29" s="301"/>
      <c r="O29" s="301"/>
      <c r="P29" s="301"/>
    </row>
    <row r="30" spans="1:16" s="147" customFormat="1" ht="12" customHeight="1">
      <c r="A30" s="302"/>
      <c r="B30" s="290">
        <f>((12*5*4)/(24*7*4))*730</f>
        <v>260.71428571428572</v>
      </c>
      <c r="C30" s="303" t="s">
        <v>282</v>
      </c>
      <c r="D30" s="311"/>
      <c r="E30" s="305">
        <f>CEILING(E4*(100+SUMMARY!$C$24)%,1)</f>
        <v>0</v>
      </c>
      <c r="F30" s="305">
        <f>CEILING(F4*(100+SUMMARY!$C$24)%,1)</f>
        <v>0</v>
      </c>
      <c r="G30" s="306" t="s">
        <v>283</v>
      </c>
      <c r="H30" s="32" t="str">
        <f>IF(G30="Windows Server", "C:\", "/")</f>
        <v>C:\</v>
      </c>
      <c r="I30" s="146">
        <f>IF(G30="Windows Server", 150, 20)</f>
        <v>150</v>
      </c>
      <c r="J30" s="296">
        <f>SUM(I30:I33)</f>
        <v>300</v>
      </c>
      <c r="K30" s="307">
        <f>J30 *(IF(C30="AZURE", SUMMARY!C$20, SUMMARY!C$21))</f>
        <v>28.8</v>
      </c>
      <c r="L30" s="308"/>
      <c r="M30" s="299">
        <f>IF(C30="ON PREM", 0, SUMMARY!C$25%)</f>
        <v>0.12</v>
      </c>
      <c r="N30" s="299">
        <f>IF(C30="AWS",SUMMARY!C$26%, 0)</f>
        <v>0.13</v>
      </c>
      <c r="O30" s="300">
        <f>((SUM(K30:L30))-((SUM(K30:L30))*N30))*(1 + M30)</f>
        <v>28.062720000000002</v>
      </c>
      <c r="P30" s="312">
        <f>O30*12</f>
        <v>336.75264000000004</v>
      </c>
    </row>
    <row r="31" spans="1:16" s="147" customFormat="1" ht="12" customHeight="1">
      <c r="A31" s="302"/>
      <c r="B31" s="302"/>
      <c r="C31" s="303"/>
      <c r="D31" s="311"/>
      <c r="E31" s="311"/>
      <c r="F31" s="311"/>
      <c r="G31" s="306"/>
      <c r="H31" s="155" t="str">
        <f>IF(G30="Windows Server", "F:\appdir", "/appdir")</f>
        <v>F:\appdir</v>
      </c>
      <c r="I31" s="152">
        <f>CEILING(I5*(100+SUMMARY!$C$24)%,1)</f>
        <v>0</v>
      </c>
      <c r="J31" s="296"/>
      <c r="K31" s="296"/>
      <c r="L31" s="296"/>
      <c r="M31" s="296"/>
      <c r="N31" s="296"/>
      <c r="O31" s="296"/>
      <c r="P31" s="296"/>
    </row>
    <row r="32" spans="1:16" s="147" customFormat="1" ht="12" customHeight="1">
      <c r="A32" s="302"/>
      <c r="B32" s="302"/>
      <c r="C32" s="303"/>
      <c r="D32" s="311"/>
      <c r="E32" s="311"/>
      <c r="F32" s="311"/>
      <c r="G32" s="306"/>
      <c r="H32" s="32" t="str">
        <f>IF(G30="Windows Server", "G:\Log", "/var/log")</f>
        <v>G:\Log</v>
      </c>
      <c r="I32" s="146">
        <f>IF(G30="Windows Server", 50, 20)</f>
        <v>50</v>
      </c>
      <c r="J32" s="296"/>
      <c r="K32" s="296"/>
      <c r="L32" s="296"/>
      <c r="M32" s="296"/>
      <c r="N32" s="296"/>
      <c r="O32" s="296"/>
      <c r="P32" s="296"/>
    </row>
    <row r="33" spans="1:16" s="147" customFormat="1" ht="12" customHeight="1">
      <c r="A33" s="302"/>
      <c r="B33" s="302"/>
      <c r="C33" s="303"/>
      <c r="D33" s="311"/>
      <c r="E33" s="311"/>
      <c r="F33" s="311"/>
      <c r="G33" s="306"/>
      <c r="H33" s="32" t="str">
        <f>IF(G30="Windows Server", "H:\Backup", "/backup")</f>
        <v>H:\Backup</v>
      </c>
      <c r="I33" s="146">
        <f>IF(G30="Windows Server", 100, 10)</f>
        <v>100</v>
      </c>
      <c r="J33" s="296"/>
      <c r="K33" s="296"/>
      <c r="L33" s="296"/>
      <c r="M33" s="296"/>
      <c r="N33" s="296"/>
      <c r="O33" s="296"/>
      <c r="P33" s="296"/>
    </row>
    <row r="34" spans="1:16" s="147" customFormat="1" ht="12" customHeight="1">
      <c r="A34" s="302"/>
      <c r="B34" s="290">
        <f>((12*5*4)/(24*7*4))*730</f>
        <v>260.71428571428572</v>
      </c>
      <c r="C34" s="303" t="s">
        <v>282</v>
      </c>
      <c r="D34" s="311"/>
      <c r="E34" s="305">
        <f>CEILING(E8*(100+SUMMARY!$C$24)%,1)</f>
        <v>0</v>
      </c>
      <c r="F34" s="305">
        <f>CEILING(F8*(100+SUMMARY!$C$24)%,1)</f>
        <v>0</v>
      </c>
      <c r="G34" s="306" t="s">
        <v>287</v>
      </c>
      <c r="H34" s="32" t="str">
        <f>IF(G34="Windows Server", "C:\", "/")</f>
        <v>/</v>
      </c>
      <c r="I34" s="146">
        <f>IF(G34="Windows Server", 150, 20)</f>
        <v>20</v>
      </c>
      <c r="J34" s="296">
        <f>SUM(I34:I37)</f>
        <v>50</v>
      </c>
      <c r="K34" s="307">
        <f>J34 *(IF(C34="AZURE", SUMMARY!C$20, SUMMARY!C$21))</f>
        <v>4.8</v>
      </c>
      <c r="L34" s="308"/>
      <c r="M34" s="299">
        <f>IF(C34="ON PREM", 0, SUMMARY!C$25%)</f>
        <v>0.12</v>
      </c>
      <c r="N34" s="299">
        <f>IF(C34="AWS",SUMMARY!C$26%, 0)</f>
        <v>0.13</v>
      </c>
      <c r="O34" s="300">
        <f>((SUM(K34:L34))-((SUM(K34:L34))*N34))*(1 + M34)</f>
        <v>4.6771200000000004</v>
      </c>
      <c r="P34" s="300">
        <f>O34*12</f>
        <v>56.125440000000005</v>
      </c>
    </row>
    <row r="35" spans="1:16" s="147" customFormat="1" ht="12" customHeight="1">
      <c r="A35" s="302"/>
      <c r="B35" s="302"/>
      <c r="C35" s="303"/>
      <c r="D35" s="311"/>
      <c r="E35" s="311"/>
      <c r="F35" s="311"/>
      <c r="G35" s="306"/>
      <c r="H35" s="155" t="str">
        <f>IF(G34="Windows Server", "F:\appdir", "/appdir")</f>
        <v>/appdir</v>
      </c>
      <c r="I35" s="152">
        <f>CEILING(I9*(100+SUMMARY!$C$24)%,1)</f>
        <v>0</v>
      </c>
      <c r="J35" s="296"/>
      <c r="K35" s="296"/>
      <c r="L35" s="296"/>
      <c r="M35" s="296"/>
      <c r="N35" s="296"/>
      <c r="O35" s="296"/>
      <c r="P35" s="296"/>
    </row>
    <row r="36" spans="1:16" s="147" customFormat="1" ht="12" customHeight="1">
      <c r="A36" s="302"/>
      <c r="B36" s="302"/>
      <c r="C36" s="303"/>
      <c r="D36" s="311"/>
      <c r="E36" s="311"/>
      <c r="F36" s="311"/>
      <c r="G36" s="306"/>
      <c r="H36" s="32" t="str">
        <f>IF(G34="Windows Server", "G:\Log", "/var/log")</f>
        <v>/var/log</v>
      </c>
      <c r="I36" s="146">
        <f>IF(G34="Windows Server", 50, 20)</f>
        <v>20</v>
      </c>
      <c r="J36" s="296"/>
      <c r="K36" s="296"/>
      <c r="L36" s="296"/>
      <c r="M36" s="296"/>
      <c r="N36" s="296"/>
      <c r="O36" s="296"/>
      <c r="P36" s="296"/>
    </row>
    <row r="37" spans="1:16" s="147" customFormat="1" ht="12" customHeight="1">
      <c r="A37" s="302"/>
      <c r="B37" s="302"/>
      <c r="C37" s="303"/>
      <c r="D37" s="311"/>
      <c r="E37" s="311"/>
      <c r="F37" s="311"/>
      <c r="G37" s="306"/>
      <c r="H37" s="32" t="str">
        <f>IF(G34="Windows Server", "H:\Backup", "/backup")</f>
        <v>/backup</v>
      </c>
      <c r="I37" s="146">
        <f>IF(G34="Windows Server", 100, 10)</f>
        <v>10</v>
      </c>
      <c r="J37" s="296"/>
      <c r="K37" s="296"/>
      <c r="L37" s="296"/>
      <c r="M37" s="296"/>
      <c r="N37" s="296"/>
      <c r="O37" s="296"/>
      <c r="P37" s="296"/>
    </row>
    <row r="38" spans="1:16" s="147" customFormat="1" ht="12" customHeight="1">
      <c r="A38" s="302"/>
      <c r="B38" s="290">
        <f>((12*5*4)/(24*7*4))*730</f>
        <v>260.71428571428572</v>
      </c>
      <c r="C38" s="303" t="s">
        <v>282</v>
      </c>
      <c r="D38" s="311"/>
      <c r="E38" s="305">
        <f>CEILING(E12*(100+SUMMARY!$C$24)%,1)</f>
        <v>0</v>
      </c>
      <c r="F38" s="305">
        <f>CEILING(F12*(100+SUMMARY!$C$24)%,1)</f>
        <v>0</v>
      </c>
      <c r="G38" s="306" t="s">
        <v>283</v>
      </c>
      <c r="H38" s="32" t="str">
        <f>IF(G38="Windows Server", "C:\", "/")</f>
        <v>C:\</v>
      </c>
      <c r="I38" s="146">
        <f>IF(G38="Windows Server", 150, 20)</f>
        <v>150</v>
      </c>
      <c r="J38" s="296">
        <f>SUM(I38:I41)</f>
        <v>300</v>
      </c>
      <c r="K38" s="307">
        <f>J38 *(IF(C38="AZURE", SUMMARY!C$20, SUMMARY!C$21))</f>
        <v>28.8</v>
      </c>
      <c r="L38" s="308"/>
      <c r="M38" s="299">
        <f>IF(C38="ON PREM", 0, SUMMARY!C$25%)</f>
        <v>0.12</v>
      </c>
      <c r="N38" s="299">
        <f>IF(C38="AWS",SUMMARY!C$26%, 0)</f>
        <v>0.13</v>
      </c>
      <c r="O38" s="300">
        <f>((SUM(K38:L38))-((SUM(K38:L38))*N38))*(1 + M38)</f>
        <v>28.062720000000002</v>
      </c>
      <c r="P38" s="300">
        <f>O38*12</f>
        <v>336.75264000000004</v>
      </c>
    </row>
    <row r="39" spans="1:16" s="147" customFormat="1" ht="12" customHeight="1">
      <c r="A39" s="302"/>
      <c r="B39" s="302"/>
      <c r="C39" s="303"/>
      <c r="D39" s="311"/>
      <c r="E39" s="311"/>
      <c r="F39" s="311"/>
      <c r="G39" s="306"/>
      <c r="H39" s="155" t="str">
        <f>IF(G38="Windows Server", "F:\appdir", "/appdir")</f>
        <v>F:\appdir</v>
      </c>
      <c r="I39" s="152">
        <f>CEILING(I13*(100+SUMMARY!$C$24)%,1)</f>
        <v>0</v>
      </c>
      <c r="J39" s="296"/>
      <c r="K39" s="296"/>
      <c r="L39" s="296"/>
      <c r="M39" s="296"/>
      <c r="N39" s="296"/>
      <c r="O39" s="296"/>
      <c r="P39" s="296"/>
    </row>
    <row r="40" spans="1:16" s="147" customFormat="1" ht="12" customHeight="1">
      <c r="A40" s="302"/>
      <c r="B40" s="302"/>
      <c r="C40" s="303"/>
      <c r="D40" s="311"/>
      <c r="E40" s="311"/>
      <c r="F40" s="311"/>
      <c r="G40" s="306"/>
      <c r="H40" s="32" t="str">
        <f>IF(G38="Windows Server", "G:\Log", "/var/log")</f>
        <v>G:\Log</v>
      </c>
      <c r="I40" s="146">
        <f>IF(G38="Windows Server", 50, 20)</f>
        <v>50</v>
      </c>
      <c r="J40" s="296"/>
      <c r="K40" s="296"/>
      <c r="L40" s="296"/>
      <c r="M40" s="296"/>
      <c r="N40" s="296"/>
      <c r="O40" s="296"/>
      <c r="P40" s="296"/>
    </row>
    <row r="41" spans="1:16" s="147" customFormat="1" ht="12" customHeight="1">
      <c r="A41" s="302"/>
      <c r="B41" s="302"/>
      <c r="C41" s="303"/>
      <c r="D41" s="311"/>
      <c r="E41" s="311"/>
      <c r="F41" s="311"/>
      <c r="G41" s="306"/>
      <c r="H41" s="32" t="str">
        <f>IF(G38="Windows Server", "H:\Backup", "/backup")</f>
        <v>H:\Backup</v>
      </c>
      <c r="I41" s="146">
        <f>IF(G38="Windows Server", 100, 10)</f>
        <v>100</v>
      </c>
      <c r="J41" s="296"/>
      <c r="K41" s="296"/>
      <c r="L41" s="296"/>
      <c r="M41" s="296"/>
      <c r="N41" s="296"/>
      <c r="O41" s="296"/>
      <c r="P41" s="296"/>
    </row>
    <row r="42" spans="1:16" s="147" customFormat="1" ht="12" customHeight="1">
      <c r="A42" s="302"/>
      <c r="B42" s="290">
        <f>((12*5*4)/(24*7*4))*730</f>
        <v>260.71428571428572</v>
      </c>
      <c r="C42" s="303" t="s">
        <v>282</v>
      </c>
      <c r="D42" s="311"/>
      <c r="E42" s="305">
        <f>CEILING(E16*(100+SUMMARY!$C$24)%,1)</f>
        <v>0</v>
      </c>
      <c r="F42" s="305">
        <f>CEILING(F16*(100+SUMMARY!$C$24)%,1)</f>
        <v>0</v>
      </c>
      <c r="G42" s="306" t="s">
        <v>283</v>
      </c>
      <c r="H42" s="32" t="str">
        <f>IF(G42="Windows Server", "C:\", "/")</f>
        <v>C:\</v>
      </c>
      <c r="I42" s="146">
        <f>IF(G42="Windows Server", 150, 20)</f>
        <v>150</v>
      </c>
      <c r="J42" s="296">
        <f>SUM(I42:I45)</f>
        <v>300</v>
      </c>
      <c r="K42" s="307">
        <f>J42 *(IF(C42="AZURE", SUMMARY!C$20, SUMMARY!C$21))</f>
        <v>28.8</v>
      </c>
      <c r="L42" s="308"/>
      <c r="M42" s="299">
        <f>IF(C42="ON PREM", 0, SUMMARY!C$25%)</f>
        <v>0.12</v>
      </c>
      <c r="N42" s="299">
        <f>IF(C42="AWS",SUMMARY!C$26%, 0)</f>
        <v>0.13</v>
      </c>
      <c r="O42" s="300">
        <f>((SUM(K42:L42))-((SUM(K42:L42))*N42))*(1 + M42)</f>
        <v>28.062720000000002</v>
      </c>
      <c r="P42" s="300">
        <f>O42*12</f>
        <v>336.75264000000004</v>
      </c>
    </row>
    <row r="43" spans="1:16" s="147" customFormat="1" ht="12" customHeight="1">
      <c r="A43" s="302"/>
      <c r="B43" s="302"/>
      <c r="C43" s="303"/>
      <c r="D43" s="311"/>
      <c r="E43" s="311"/>
      <c r="F43" s="311"/>
      <c r="G43" s="306"/>
      <c r="H43" s="155" t="str">
        <f>IF(G42="Windows Server", "F:\appdir", "/appdir")</f>
        <v>F:\appdir</v>
      </c>
      <c r="I43" s="152">
        <f>CEILING(I17*(100+SUMMARY!$C$24)%,1)</f>
        <v>0</v>
      </c>
      <c r="J43" s="296"/>
      <c r="K43" s="296"/>
      <c r="L43" s="296"/>
      <c r="M43" s="296"/>
      <c r="N43" s="296"/>
      <c r="O43" s="296"/>
      <c r="P43" s="296"/>
    </row>
    <row r="44" spans="1:16" s="147" customFormat="1" ht="12" customHeight="1">
      <c r="A44" s="302"/>
      <c r="B44" s="302"/>
      <c r="C44" s="303"/>
      <c r="D44" s="311"/>
      <c r="E44" s="311"/>
      <c r="F44" s="311"/>
      <c r="G44" s="306"/>
      <c r="H44" s="32" t="str">
        <f>IF(G42="Windows Server", "G:\Log", "/var/log")</f>
        <v>G:\Log</v>
      </c>
      <c r="I44" s="146">
        <f>IF(G42="Windows Server", 50, 20)</f>
        <v>50</v>
      </c>
      <c r="J44" s="296"/>
      <c r="K44" s="296"/>
      <c r="L44" s="296"/>
      <c r="M44" s="296"/>
      <c r="N44" s="296"/>
      <c r="O44" s="296"/>
      <c r="P44" s="296"/>
    </row>
    <row r="45" spans="1:16" s="147" customFormat="1" ht="12" customHeight="1">
      <c r="A45" s="302"/>
      <c r="B45" s="302"/>
      <c r="C45" s="303"/>
      <c r="D45" s="311"/>
      <c r="E45" s="311"/>
      <c r="F45" s="311"/>
      <c r="G45" s="306"/>
      <c r="H45" s="32" t="str">
        <f>IF(G42="Windows Server", "H:\Backup", "/backup")</f>
        <v>H:\Backup</v>
      </c>
      <c r="I45" s="146">
        <f>IF(G42="Windows Server", 100, 10)</f>
        <v>100</v>
      </c>
      <c r="J45" s="296"/>
      <c r="K45" s="296"/>
      <c r="L45" s="296"/>
      <c r="M45" s="296"/>
      <c r="N45" s="296"/>
      <c r="O45" s="296"/>
      <c r="P45" s="296"/>
    </row>
    <row r="46" spans="1:16" s="147" customFormat="1" ht="12" customHeight="1">
      <c r="A46" s="302"/>
      <c r="B46" s="290">
        <f>((12*5*4)/(24*7*4))*730</f>
        <v>260.71428571428572</v>
      </c>
      <c r="C46" s="303" t="s">
        <v>282</v>
      </c>
      <c r="D46" s="311"/>
      <c r="E46" s="305">
        <f>CEILING(E20*(100+SUMMARY!$C$24)%,1)</f>
        <v>0</v>
      </c>
      <c r="F46" s="305">
        <f>CEILING(F20*(100+SUMMARY!$C$24)%,1)</f>
        <v>0</v>
      </c>
      <c r="G46" s="306" t="s">
        <v>283</v>
      </c>
      <c r="H46" s="32" t="str">
        <f>IF(G46="Windows Server", "C:\", "/")</f>
        <v>C:\</v>
      </c>
      <c r="I46" s="146">
        <f>IF(G46="Windows Server", 150, 20)</f>
        <v>150</v>
      </c>
      <c r="J46" s="296">
        <f>SUM(I46:I49)</f>
        <v>300</v>
      </c>
      <c r="K46" s="307">
        <f>J46 *(IF(C46="AZURE", SUMMARY!C$20, SUMMARY!C$21))</f>
        <v>28.8</v>
      </c>
      <c r="L46" s="308"/>
      <c r="M46" s="299">
        <f>IF(C46="ON PREM", 0, SUMMARY!C$25%)</f>
        <v>0.12</v>
      </c>
      <c r="N46" s="299">
        <f>IF(C46="AWS",SUMMARY!C$26%, 0)</f>
        <v>0.13</v>
      </c>
      <c r="O46" s="300">
        <f>((SUM(K46:L46))-((SUM(K46:L46))*N46))*(1 + M46)</f>
        <v>28.062720000000002</v>
      </c>
      <c r="P46" s="300">
        <f>O46*12</f>
        <v>336.75264000000004</v>
      </c>
    </row>
    <row r="47" spans="1:16" s="147" customFormat="1" ht="12" customHeight="1">
      <c r="A47" s="302"/>
      <c r="B47" s="302"/>
      <c r="C47" s="303"/>
      <c r="D47" s="311"/>
      <c r="E47" s="311"/>
      <c r="F47" s="311"/>
      <c r="G47" s="306"/>
      <c r="H47" s="155" t="str">
        <f>IF(G46="Windows Server", "F:\appdir", "/appdir")</f>
        <v>F:\appdir</v>
      </c>
      <c r="I47" s="152">
        <f>CEILING(I21*(100+SUMMARY!$C$24)%,1)</f>
        <v>0</v>
      </c>
      <c r="J47" s="296"/>
      <c r="K47" s="296"/>
      <c r="L47" s="296"/>
      <c r="M47" s="296"/>
      <c r="N47" s="296"/>
      <c r="O47" s="296"/>
      <c r="P47" s="296"/>
    </row>
    <row r="48" spans="1:16" s="147" customFormat="1" ht="12" customHeight="1">
      <c r="A48" s="302"/>
      <c r="B48" s="302"/>
      <c r="C48" s="303"/>
      <c r="D48" s="311"/>
      <c r="E48" s="311"/>
      <c r="F48" s="311"/>
      <c r="G48" s="306"/>
      <c r="H48" s="32" t="str">
        <f>IF(G46="Windows Server", "G:\Log", "/var/log")</f>
        <v>G:\Log</v>
      </c>
      <c r="I48" s="146">
        <f>IF(G46="Windows Server", 50, 20)</f>
        <v>50</v>
      </c>
      <c r="J48" s="296"/>
      <c r="K48" s="296"/>
      <c r="L48" s="296"/>
      <c r="M48" s="296"/>
      <c r="N48" s="296"/>
      <c r="O48" s="296"/>
      <c r="P48" s="296"/>
    </row>
    <row r="49" spans="1:16" s="147" customFormat="1" ht="12" customHeight="1">
      <c r="A49" s="302"/>
      <c r="B49" s="302"/>
      <c r="C49" s="303"/>
      <c r="D49" s="311"/>
      <c r="E49" s="311"/>
      <c r="F49" s="311"/>
      <c r="G49" s="306"/>
      <c r="H49" s="32" t="str">
        <f>IF(G46="Windows Server", "H:\Backup", "/backup")</f>
        <v>H:\Backup</v>
      </c>
      <c r="I49" s="146">
        <f>IF(G46="Windows Server", 100, 10)</f>
        <v>100</v>
      </c>
      <c r="J49" s="296"/>
      <c r="K49" s="296"/>
      <c r="L49" s="296"/>
      <c r="M49" s="296"/>
      <c r="N49" s="296"/>
      <c r="O49" s="296"/>
      <c r="P49" s="296"/>
    </row>
    <row r="50" spans="1:16" s="147" customFormat="1" ht="12" customHeight="1">
      <c r="A50" s="302"/>
      <c r="B50" s="290">
        <f>((12*5*4)/(24*7*4))*730</f>
        <v>260.71428571428572</v>
      </c>
      <c r="C50" s="303" t="s">
        <v>282</v>
      </c>
      <c r="D50" s="311"/>
      <c r="E50" s="305">
        <f>CEILING(E24*(100+SUMMARY!$C$24)%,1)</f>
        <v>0</v>
      </c>
      <c r="F50" s="305">
        <f>CEILING(F24*(100+SUMMARY!$C$24)%,1)</f>
        <v>0</v>
      </c>
      <c r="G50" s="306" t="s">
        <v>283</v>
      </c>
      <c r="H50" s="32" t="str">
        <f>IF(G50="Windows Server", "C:\", "/")</f>
        <v>C:\</v>
      </c>
      <c r="I50" s="146">
        <f>IF(G50="Windows Server", 150, 20)</f>
        <v>150</v>
      </c>
      <c r="J50" s="296">
        <f>SUM(I50:I53)</f>
        <v>300</v>
      </c>
      <c r="K50" s="307">
        <f>J50 *(IF(C50="AZURE", SUMMARY!C$20, SUMMARY!C$21))</f>
        <v>28.8</v>
      </c>
      <c r="L50" s="308"/>
      <c r="M50" s="299">
        <f>IF(C50="ON PREM", 0, SUMMARY!C$25%)</f>
        <v>0.12</v>
      </c>
      <c r="N50" s="299">
        <f>IF(C50="AWS",SUMMARY!C$26%, 0)</f>
        <v>0.13</v>
      </c>
      <c r="O50" s="300">
        <f>((SUM(K50:L50))-((SUM(K50:L50))*N50))*(1 + M50)</f>
        <v>28.062720000000002</v>
      </c>
      <c r="P50" s="312">
        <f>O50*12</f>
        <v>336.75264000000004</v>
      </c>
    </row>
    <row r="51" spans="1:16" s="147" customFormat="1" ht="12" customHeight="1">
      <c r="A51" s="302"/>
      <c r="B51" s="302"/>
      <c r="C51" s="303"/>
      <c r="D51" s="311"/>
      <c r="E51" s="311"/>
      <c r="F51" s="311"/>
      <c r="G51" s="306"/>
      <c r="H51" s="155" t="str">
        <f>IF(G50="Windows Server", "F:\appdir", "/appdir")</f>
        <v>F:\appdir</v>
      </c>
      <c r="I51" s="152">
        <f>CEILING(I25*(100+SUMMARY!$C$24)%,1)</f>
        <v>0</v>
      </c>
      <c r="J51" s="296"/>
      <c r="K51" s="296"/>
      <c r="L51" s="296"/>
      <c r="M51" s="296"/>
      <c r="N51" s="296"/>
      <c r="O51" s="296"/>
      <c r="P51" s="296"/>
    </row>
    <row r="52" spans="1:16" s="147" customFormat="1" ht="12" customHeight="1">
      <c r="A52" s="302"/>
      <c r="B52" s="302"/>
      <c r="C52" s="303"/>
      <c r="D52" s="311"/>
      <c r="E52" s="311"/>
      <c r="F52" s="311"/>
      <c r="G52" s="306"/>
      <c r="H52" s="32" t="str">
        <f>IF(G50="Windows Server", "G:\Log", "/var/log")</f>
        <v>G:\Log</v>
      </c>
      <c r="I52" s="146">
        <f>IF(G50="Windows Server", 50, 20)</f>
        <v>50</v>
      </c>
      <c r="J52" s="296"/>
      <c r="K52" s="296"/>
      <c r="L52" s="296"/>
      <c r="M52" s="296"/>
      <c r="N52" s="296"/>
      <c r="O52" s="296"/>
      <c r="P52" s="296"/>
    </row>
    <row r="53" spans="1:16" s="147" customFormat="1" ht="12" customHeight="1">
      <c r="A53" s="302"/>
      <c r="B53" s="302"/>
      <c r="C53" s="303"/>
      <c r="D53" s="311"/>
      <c r="E53" s="311"/>
      <c r="F53" s="311"/>
      <c r="G53" s="306"/>
      <c r="H53" s="32" t="str">
        <f>IF(G50="Windows Server", "H:\Backup", "/backup")</f>
        <v>H:\Backup</v>
      </c>
      <c r="I53" s="146">
        <f>IF(G50="Windows Server", 100, 10)</f>
        <v>100</v>
      </c>
      <c r="J53" s="296"/>
      <c r="K53" s="296"/>
      <c r="L53" s="296"/>
      <c r="M53" s="296"/>
      <c r="N53" s="296"/>
      <c r="O53" s="296"/>
      <c r="P53" s="296"/>
    </row>
    <row r="54" spans="1:16" s="147" customFormat="1" ht="13.5" customHeight="1">
      <c r="A54" s="3"/>
      <c r="B54" s="153"/>
      <c r="C54" s="153"/>
      <c r="D54" s="153"/>
      <c r="E54" s="156">
        <f>SUM(E30:E53)</f>
        <v>0</v>
      </c>
      <c r="F54" s="156">
        <f>SUM(F30:F53)</f>
        <v>0</v>
      </c>
      <c r="G54" s="153"/>
      <c r="H54" s="153"/>
      <c r="I54" s="153"/>
      <c r="J54" s="156">
        <f>SUM(J30:J53)</f>
        <v>1550</v>
      </c>
      <c r="K54" s="154">
        <f>SUM(K30:K53)</f>
        <v>148.80000000000001</v>
      </c>
      <c r="L54" s="154">
        <f>SUM(L30:L53)</f>
        <v>0</v>
      </c>
      <c r="M54" s="154"/>
      <c r="N54" s="154"/>
      <c r="O54" s="154">
        <f>SUM(O30:O53)</f>
        <v>144.99072000000001</v>
      </c>
      <c r="P54" s="154">
        <f>SUM(P30:P53)</f>
        <v>1739.8886400000006</v>
      </c>
    </row>
    <row r="55" spans="1:16" s="129" customFormat="1">
      <c r="A55" s="144" t="s">
        <v>285</v>
      </c>
      <c r="B55" s="301"/>
      <c r="C55" s="301"/>
      <c r="D55" s="301"/>
      <c r="E55" s="301"/>
      <c r="F55" s="301"/>
      <c r="G55" s="301"/>
      <c r="H55" s="301"/>
      <c r="I55" s="301"/>
      <c r="J55" s="301"/>
      <c r="K55" s="301"/>
      <c r="L55" s="301"/>
      <c r="M55" s="301"/>
      <c r="N55" s="301"/>
      <c r="O55" s="301"/>
      <c r="P55" s="301"/>
    </row>
    <row r="56" spans="1:16" ht="13.5" customHeight="1">
      <c r="A56" s="294"/>
      <c r="B56" s="290">
        <f>((12*5*4)/(24*7*4))*730</f>
        <v>260.71428571428572</v>
      </c>
      <c r="C56" s="294" t="s">
        <v>286</v>
      </c>
      <c r="D56" s="295"/>
      <c r="E56" s="310">
        <f>CEILING(E30*(100+SUMMARY!$C$24)%,1)</f>
        <v>0</v>
      </c>
      <c r="F56" s="310">
        <f>CEILING(F30*(100+SUMMARY!$C$24)%,1)</f>
        <v>0</v>
      </c>
      <c r="G56" s="294" t="s">
        <v>283</v>
      </c>
      <c r="H56" s="32" t="str">
        <f>IF(G56="Windows Server", "C:\", "/")</f>
        <v>C:\</v>
      </c>
      <c r="I56" s="146">
        <f>IF(G56="Windows Server", 150, 20)</f>
        <v>150</v>
      </c>
      <c r="J56" s="296">
        <f>SUM(I56:I59)</f>
        <v>300</v>
      </c>
      <c r="K56" s="297">
        <f>J56 *(IF(C56="AZURE", SUMMARY!C$20, SUMMARY!C$21))</f>
        <v>28.8</v>
      </c>
      <c r="L56" s="294"/>
      <c r="M56" s="299">
        <f>IF(C56="ON PREM", 0, SUMMARY!C$25%)</f>
        <v>0.12</v>
      </c>
      <c r="N56" s="299">
        <f>IF(C56="AWS",SUMMARY!C$26%, 0)</f>
        <v>0</v>
      </c>
      <c r="O56" s="300">
        <f>((SUM(K56:L56))-((SUM(K56:L56))*N56))*(1 + M56)</f>
        <v>32.256000000000007</v>
      </c>
      <c r="P56" s="300">
        <f>O56*12</f>
        <v>387.07200000000012</v>
      </c>
    </row>
    <row r="57" spans="1:16">
      <c r="A57" s="294"/>
      <c r="B57" s="294"/>
      <c r="C57" s="294"/>
      <c r="D57" s="295"/>
      <c r="E57" s="295"/>
      <c r="F57" s="295"/>
      <c r="G57" s="294"/>
      <c r="H57" s="148" t="str">
        <f>IF(G56="Windows Server", "F:\appdir", "/appdir")</f>
        <v>F:\appdir</v>
      </c>
      <c r="I57" s="149">
        <f>CEILING(I31*(100+SUMMARY!$C$24)%,1)</f>
        <v>0</v>
      </c>
      <c r="J57" s="296"/>
      <c r="K57" s="296"/>
      <c r="L57" s="296"/>
      <c r="M57" s="296"/>
      <c r="N57" s="296"/>
      <c r="O57" s="296"/>
      <c r="P57" s="296"/>
    </row>
    <row r="58" spans="1:16">
      <c r="A58" s="294"/>
      <c r="B58" s="294"/>
      <c r="C58" s="294"/>
      <c r="D58" s="295"/>
      <c r="E58" s="295"/>
      <c r="F58" s="295"/>
      <c r="G58" s="294"/>
      <c r="H58" s="32" t="str">
        <f>IF(G56="Windows Server", "G:\Log", "/var/log")</f>
        <v>G:\Log</v>
      </c>
      <c r="I58" s="146">
        <f>IF(G56="Windows Server", 50, 20)</f>
        <v>50</v>
      </c>
      <c r="J58" s="296"/>
      <c r="K58" s="296"/>
      <c r="L58" s="296"/>
      <c r="M58" s="296"/>
      <c r="N58" s="296"/>
      <c r="O58" s="296"/>
      <c r="P58" s="296"/>
    </row>
    <row r="59" spans="1:16">
      <c r="A59" s="294"/>
      <c r="B59" s="294"/>
      <c r="C59" s="294"/>
      <c r="D59" s="295"/>
      <c r="E59" s="295"/>
      <c r="F59" s="295"/>
      <c r="G59" s="294"/>
      <c r="H59" s="32" t="str">
        <f>IF(G56="Windows Server", "H:\Backup", "/backup")</f>
        <v>H:\Backup</v>
      </c>
      <c r="I59" s="146">
        <f>IF(G56="Windows Server", 100, 10)</f>
        <v>100</v>
      </c>
      <c r="J59" s="296"/>
      <c r="K59" s="296"/>
      <c r="L59" s="296"/>
      <c r="M59" s="296"/>
      <c r="N59" s="296"/>
      <c r="O59" s="296"/>
      <c r="P59" s="296"/>
    </row>
    <row r="60" spans="1:16" ht="13.5" customHeight="1">
      <c r="A60" s="294"/>
      <c r="B60" s="290">
        <f>((12*5*4)/(24*7*4))*730</f>
        <v>260.71428571428572</v>
      </c>
      <c r="C60" s="294" t="s">
        <v>288</v>
      </c>
      <c r="D60" s="295"/>
      <c r="E60" s="310">
        <f>CEILING(E34*(100+SUMMARY!$C$24)%,1)</f>
        <v>0</v>
      </c>
      <c r="F60" s="310">
        <f>CEILING(F34*(100+SUMMARY!$C$24)%,1)</f>
        <v>0</v>
      </c>
      <c r="G60" s="294" t="s">
        <v>293</v>
      </c>
      <c r="H60" s="32" t="str">
        <f>IF(G60="Windows Server", "C:\", "/")</f>
        <v>/</v>
      </c>
      <c r="I60" s="146">
        <f>IF(G60="Windows Server", 150, 20)</f>
        <v>20</v>
      </c>
      <c r="J60" s="296">
        <f>SUM(I60:I63)</f>
        <v>50</v>
      </c>
      <c r="K60" s="297">
        <f>J60 *(IF(C60="AZURE", SUMMARY!C$20, SUMMARY!C$21))</f>
        <v>4.8</v>
      </c>
      <c r="L60" s="294"/>
      <c r="M60" s="299">
        <f>IF(C60="ON PREM", 0, SUMMARY!C$25%)</f>
        <v>0</v>
      </c>
      <c r="N60" s="299">
        <f>IF(C60="AWS",SUMMARY!C$26%, 0)</f>
        <v>0</v>
      </c>
      <c r="O60" s="300">
        <f>((SUM(K60:L60))-((SUM(K60:L60))*N60))*(1 + M60)</f>
        <v>4.8</v>
      </c>
      <c r="P60" s="300">
        <f>O60*12</f>
        <v>57.599999999999994</v>
      </c>
    </row>
    <row r="61" spans="1:16">
      <c r="A61" s="294"/>
      <c r="B61" s="294"/>
      <c r="C61" s="294"/>
      <c r="D61" s="295"/>
      <c r="E61" s="295"/>
      <c r="F61" s="295"/>
      <c r="G61" s="294"/>
      <c r="H61" s="148" t="str">
        <f>IF(G60="Windows Server", "F:\appdir", "/appdir")</f>
        <v>/appdir</v>
      </c>
      <c r="I61" s="149">
        <f>CEILING(I35*(100+SUMMARY!$C$24)%,1)</f>
        <v>0</v>
      </c>
      <c r="J61" s="296"/>
      <c r="K61" s="296"/>
      <c r="L61" s="296"/>
      <c r="M61" s="296"/>
      <c r="N61" s="296"/>
      <c r="O61" s="296"/>
      <c r="P61" s="296"/>
    </row>
    <row r="62" spans="1:16">
      <c r="A62" s="294"/>
      <c r="B62" s="294"/>
      <c r="C62" s="294"/>
      <c r="D62" s="295"/>
      <c r="E62" s="295"/>
      <c r="F62" s="295"/>
      <c r="G62" s="294"/>
      <c r="H62" s="32" t="str">
        <f>IF(G60="Windows Server", "G:\Log", "/var/log")</f>
        <v>/var/log</v>
      </c>
      <c r="I62" s="146">
        <f>IF(G60="Windows Server", 50, 20)</f>
        <v>20</v>
      </c>
      <c r="J62" s="296"/>
      <c r="K62" s="296"/>
      <c r="L62" s="296"/>
      <c r="M62" s="296"/>
      <c r="N62" s="296"/>
      <c r="O62" s="296"/>
      <c r="P62" s="296"/>
    </row>
    <row r="63" spans="1:16">
      <c r="A63" s="294"/>
      <c r="B63" s="294"/>
      <c r="C63" s="294"/>
      <c r="D63" s="295"/>
      <c r="E63" s="295"/>
      <c r="F63" s="295"/>
      <c r="G63" s="294"/>
      <c r="H63" s="32" t="str">
        <f>IF(G60="Windows Server", "H:\Backup", "/backup")</f>
        <v>/backup</v>
      </c>
      <c r="I63" s="146">
        <f>IF(G60="Windows Server", 100, 10)</f>
        <v>10</v>
      </c>
      <c r="J63" s="296"/>
      <c r="K63" s="296"/>
      <c r="L63" s="296"/>
      <c r="M63" s="296"/>
      <c r="N63" s="296"/>
      <c r="O63" s="296"/>
      <c r="P63" s="296"/>
    </row>
    <row r="64" spans="1:16" ht="13.5" customHeight="1">
      <c r="A64" s="294"/>
      <c r="B64" s="290">
        <f>((12*5*4)/(24*7*4))*730</f>
        <v>260.71428571428572</v>
      </c>
      <c r="C64" s="294" t="s">
        <v>286</v>
      </c>
      <c r="D64" s="295"/>
      <c r="E64" s="310">
        <f>CEILING(E38*(100+SUMMARY!$C$24)%,1)</f>
        <v>0</v>
      </c>
      <c r="F64" s="310">
        <f>CEILING(F38*(100+SUMMARY!$C$24)%,1)</f>
        <v>0</v>
      </c>
      <c r="G64" s="294" t="s">
        <v>283</v>
      </c>
      <c r="H64" s="32" t="str">
        <f>IF(G64="Windows Server", "C:\", "/")</f>
        <v>C:\</v>
      </c>
      <c r="I64" s="146">
        <f>IF(G64="Windows Server", 150, 20)</f>
        <v>150</v>
      </c>
      <c r="J64" s="296">
        <f>SUM(I64:I67)</f>
        <v>300</v>
      </c>
      <c r="K64" s="297">
        <f>J64 *(IF(C64="AZURE", SUMMARY!C$20, SUMMARY!C$21))</f>
        <v>28.8</v>
      </c>
      <c r="L64" s="294"/>
      <c r="M64" s="299">
        <f>IF(C64="ON PREM", 0, SUMMARY!C$25%)</f>
        <v>0.12</v>
      </c>
      <c r="N64" s="299">
        <f>IF(C64="AWS",SUMMARY!C$26%, 0)</f>
        <v>0</v>
      </c>
      <c r="O64" s="300">
        <f>((SUM(K64:L64))-((SUM(K64:L64))*N64))*(1 + M64)</f>
        <v>32.256000000000007</v>
      </c>
      <c r="P64" s="300">
        <f>O64*12</f>
        <v>387.07200000000012</v>
      </c>
    </row>
    <row r="65" spans="1:16">
      <c r="A65" s="294"/>
      <c r="B65" s="294"/>
      <c r="C65" s="294"/>
      <c r="D65" s="295"/>
      <c r="E65" s="295"/>
      <c r="F65" s="295"/>
      <c r="G65" s="294"/>
      <c r="H65" s="148" t="str">
        <f>IF(G64="Windows Server", "F:\appdir", "/appdir")</f>
        <v>F:\appdir</v>
      </c>
      <c r="I65" s="149">
        <f>CEILING(I39*(100+SUMMARY!$C$24)%,1)</f>
        <v>0</v>
      </c>
      <c r="J65" s="296"/>
      <c r="K65" s="296"/>
      <c r="L65" s="296"/>
      <c r="M65" s="296"/>
      <c r="N65" s="296"/>
      <c r="O65" s="296"/>
      <c r="P65" s="296"/>
    </row>
    <row r="66" spans="1:16">
      <c r="A66" s="294"/>
      <c r="B66" s="294"/>
      <c r="C66" s="294"/>
      <c r="D66" s="295"/>
      <c r="E66" s="295"/>
      <c r="F66" s="295"/>
      <c r="G66" s="294"/>
      <c r="H66" s="32" t="str">
        <f>IF(G64="Windows Server", "G:\Log", "/var/log")</f>
        <v>G:\Log</v>
      </c>
      <c r="I66" s="146">
        <f>IF(G64="Windows Server", 50, 20)</f>
        <v>50</v>
      </c>
      <c r="J66" s="296"/>
      <c r="K66" s="296"/>
      <c r="L66" s="296"/>
      <c r="M66" s="296"/>
      <c r="N66" s="296"/>
      <c r="O66" s="296"/>
      <c r="P66" s="296"/>
    </row>
    <row r="67" spans="1:16">
      <c r="A67" s="294"/>
      <c r="B67" s="294"/>
      <c r="C67" s="294"/>
      <c r="D67" s="295"/>
      <c r="E67" s="295"/>
      <c r="F67" s="295"/>
      <c r="G67" s="294"/>
      <c r="H67" s="32" t="str">
        <f>IF(G64="Windows Server", "H:\Backup", "/backup")</f>
        <v>H:\Backup</v>
      </c>
      <c r="I67" s="146">
        <f>IF(G64="Windows Server", 100, 10)</f>
        <v>100</v>
      </c>
      <c r="J67" s="296"/>
      <c r="K67" s="296"/>
      <c r="L67" s="296"/>
      <c r="M67" s="296"/>
      <c r="N67" s="296"/>
      <c r="O67" s="296"/>
      <c r="P67" s="296"/>
    </row>
    <row r="68" spans="1:16" ht="13.5" customHeight="1">
      <c r="A68" s="294"/>
      <c r="B68" s="290">
        <f>((12*5*4)/(24*7*4))*730</f>
        <v>260.71428571428572</v>
      </c>
      <c r="C68" s="294" t="s">
        <v>286</v>
      </c>
      <c r="D68" s="295"/>
      <c r="E68" s="310">
        <f>CEILING(E42*(100+SUMMARY!$C$24)%,1)</f>
        <v>0</v>
      </c>
      <c r="F68" s="310">
        <f>CEILING(F42*(100+SUMMARY!$C$24)%,1)</f>
        <v>0</v>
      </c>
      <c r="G68" s="294" t="s">
        <v>294</v>
      </c>
      <c r="H68" s="32" t="str">
        <f>IF(G68="Windows Server", "C:\", "/")</f>
        <v>/</v>
      </c>
      <c r="I68" s="146">
        <f>IF(G68="Windows Server", 150, 20)</f>
        <v>20</v>
      </c>
      <c r="J68" s="296">
        <f>SUM(I68:I71)</f>
        <v>50</v>
      </c>
      <c r="K68" s="297">
        <f>J68 *(IF(C68="AZURE", SUMMARY!C$20, SUMMARY!C$21))</f>
        <v>4.8</v>
      </c>
      <c r="L68" s="294"/>
      <c r="M68" s="299">
        <f>IF(C68="ON PREM", 0, SUMMARY!C$25%)</f>
        <v>0.12</v>
      </c>
      <c r="N68" s="299">
        <f>IF(C68="AWS",SUMMARY!C$26%, 0)</f>
        <v>0</v>
      </c>
      <c r="O68" s="300">
        <f>((SUM(K68:L68))-((SUM(K68:L68))*N68))*(1 + M68)</f>
        <v>5.3760000000000003</v>
      </c>
      <c r="P68" s="300">
        <f>O68*12</f>
        <v>64.512</v>
      </c>
    </row>
    <row r="69" spans="1:16">
      <c r="A69" s="294"/>
      <c r="B69" s="294"/>
      <c r="C69" s="294"/>
      <c r="D69" s="295"/>
      <c r="E69" s="295"/>
      <c r="F69" s="295"/>
      <c r="G69" s="294"/>
      <c r="H69" s="148" t="str">
        <f>IF(G68="Windows Server", "F:\appdir", "/appdir")</f>
        <v>/appdir</v>
      </c>
      <c r="I69" s="149">
        <f>CEILING(I43*(100+SUMMARY!$C$24)%,1)</f>
        <v>0</v>
      </c>
      <c r="J69" s="296"/>
      <c r="K69" s="296"/>
      <c r="L69" s="296"/>
      <c r="M69" s="296"/>
      <c r="N69" s="296"/>
      <c r="O69" s="296"/>
      <c r="P69" s="296"/>
    </row>
    <row r="70" spans="1:16">
      <c r="A70" s="294"/>
      <c r="B70" s="294"/>
      <c r="C70" s="294"/>
      <c r="D70" s="295"/>
      <c r="E70" s="295"/>
      <c r="F70" s="295"/>
      <c r="G70" s="294"/>
      <c r="H70" s="32" t="str">
        <f>IF(G68="Windows Server", "G:\Log", "/var/log")</f>
        <v>/var/log</v>
      </c>
      <c r="I70" s="146">
        <f>IF(G68="Windows Server", 50, 20)</f>
        <v>20</v>
      </c>
      <c r="J70" s="296"/>
      <c r="K70" s="296"/>
      <c r="L70" s="296"/>
      <c r="M70" s="296"/>
      <c r="N70" s="296"/>
      <c r="O70" s="296"/>
      <c r="P70" s="296"/>
    </row>
    <row r="71" spans="1:16">
      <c r="A71" s="294"/>
      <c r="B71" s="294"/>
      <c r="C71" s="294"/>
      <c r="D71" s="295"/>
      <c r="E71" s="295"/>
      <c r="F71" s="295"/>
      <c r="G71" s="294"/>
      <c r="H71" s="32" t="str">
        <f>IF(G68="Windows Server", "H:\Backup", "/backup")</f>
        <v>/backup</v>
      </c>
      <c r="I71" s="146">
        <f>IF(G68="Windows Server", 100, 10)</f>
        <v>10</v>
      </c>
      <c r="J71" s="296"/>
      <c r="K71" s="296"/>
      <c r="L71" s="296"/>
      <c r="M71" s="296"/>
      <c r="N71" s="296"/>
      <c r="O71" s="296"/>
      <c r="P71" s="296"/>
    </row>
    <row r="72" spans="1:16" ht="13.5" customHeight="1">
      <c r="A72" s="294"/>
      <c r="B72" s="290">
        <f>((12*5*4)/(24*7*4))*730</f>
        <v>260.71428571428572</v>
      </c>
      <c r="C72" s="294" t="s">
        <v>286</v>
      </c>
      <c r="D72" s="295"/>
      <c r="E72" s="310">
        <f>CEILING(E46*(100+SUMMARY!$C$24)%,1)</f>
        <v>0</v>
      </c>
      <c r="F72" s="310">
        <f>CEILING(F46*(100+SUMMARY!$C$24)%,1)</f>
        <v>0</v>
      </c>
      <c r="G72" s="294" t="s">
        <v>293</v>
      </c>
      <c r="H72" s="32" t="str">
        <f>IF(G72="Windows Server", "C:\", "/")</f>
        <v>/</v>
      </c>
      <c r="I72" s="146">
        <f>IF(G72="Windows Server", 150, 20)</f>
        <v>20</v>
      </c>
      <c r="J72" s="296">
        <f>SUM(I72:I75)</f>
        <v>50</v>
      </c>
      <c r="K72" s="297">
        <f>J72 *(IF(C72="AZURE", SUMMARY!C$20, SUMMARY!C$21))</f>
        <v>4.8</v>
      </c>
      <c r="L72" s="294"/>
      <c r="M72" s="299">
        <f>IF(C72="ON PREM", 0, SUMMARY!C$25%)</f>
        <v>0.12</v>
      </c>
      <c r="N72" s="299">
        <f>IF(C72="AWS",SUMMARY!C$26%, 0)</f>
        <v>0</v>
      </c>
      <c r="O72" s="300">
        <f>((SUM(K72:L72))-((SUM(K72:L72))*N72))*(1 + M72)</f>
        <v>5.3760000000000003</v>
      </c>
      <c r="P72" s="300">
        <f>O72*12</f>
        <v>64.512</v>
      </c>
    </row>
    <row r="73" spans="1:16">
      <c r="A73" s="294"/>
      <c r="B73" s="294"/>
      <c r="C73" s="294"/>
      <c r="D73" s="295"/>
      <c r="E73" s="295"/>
      <c r="F73" s="295"/>
      <c r="G73" s="294"/>
      <c r="H73" s="148" t="str">
        <f>IF(G72="Windows Server", "F:\appdir", "/appdir")</f>
        <v>/appdir</v>
      </c>
      <c r="I73" s="149">
        <f>CEILING(I47*(100+SUMMARY!$C$24)%,1)</f>
        <v>0</v>
      </c>
      <c r="J73" s="296"/>
      <c r="K73" s="296"/>
      <c r="L73" s="296"/>
      <c r="M73" s="296"/>
      <c r="N73" s="296"/>
      <c r="O73" s="296"/>
      <c r="P73" s="296"/>
    </row>
    <row r="74" spans="1:16">
      <c r="A74" s="294"/>
      <c r="B74" s="294"/>
      <c r="C74" s="294"/>
      <c r="D74" s="295"/>
      <c r="E74" s="295"/>
      <c r="F74" s="295"/>
      <c r="G74" s="294"/>
      <c r="H74" s="32" t="str">
        <f>IF(G72="Windows Server", "G:\Log", "/var/log")</f>
        <v>/var/log</v>
      </c>
      <c r="I74" s="146">
        <f>IF(G72="Windows Server", 50, 20)</f>
        <v>20</v>
      </c>
      <c r="J74" s="296"/>
      <c r="K74" s="296"/>
      <c r="L74" s="296"/>
      <c r="M74" s="296"/>
      <c r="N74" s="296"/>
      <c r="O74" s="296"/>
      <c r="P74" s="296"/>
    </row>
    <row r="75" spans="1:16">
      <c r="A75" s="294"/>
      <c r="B75" s="294"/>
      <c r="C75" s="294"/>
      <c r="D75" s="295"/>
      <c r="E75" s="295"/>
      <c r="F75" s="295"/>
      <c r="G75" s="294"/>
      <c r="H75" s="32" t="str">
        <f>IF(G72="Windows Server", "H:\Backup", "/backup")</f>
        <v>/backup</v>
      </c>
      <c r="I75" s="146">
        <f>IF(G72="Windows Server", 100, 10)</f>
        <v>10</v>
      </c>
      <c r="J75" s="296"/>
      <c r="K75" s="296"/>
      <c r="L75" s="296"/>
      <c r="M75" s="296"/>
      <c r="N75" s="296"/>
      <c r="O75" s="296"/>
      <c r="P75" s="296"/>
    </row>
    <row r="76" spans="1:16" ht="13.5" customHeight="1">
      <c r="A76" s="294"/>
      <c r="B76" s="290">
        <f>((12*5*4)/(24*7*4))*730</f>
        <v>260.71428571428572</v>
      </c>
      <c r="C76" s="294" t="s">
        <v>286</v>
      </c>
      <c r="D76" s="295"/>
      <c r="E76" s="310">
        <f>CEILING(E50*(100+SUMMARY!$C$24)%,1)</f>
        <v>0</v>
      </c>
      <c r="F76" s="310">
        <f>CEILING(F50*(100+SUMMARY!$C$24)%,1)</f>
        <v>0</v>
      </c>
      <c r="G76" s="294" t="s">
        <v>283</v>
      </c>
      <c r="H76" s="32" t="str">
        <f>IF(G76="Windows Server", "C:\", "/")</f>
        <v>C:\</v>
      </c>
      <c r="I76" s="146">
        <f>IF(G76="Windows Server", 150, 20)</f>
        <v>150</v>
      </c>
      <c r="J76" s="296">
        <f>SUM(I76:I79)</f>
        <v>300</v>
      </c>
      <c r="K76" s="297">
        <f>J76 *(IF(C76="AZURE", SUMMARY!C$20, SUMMARY!C$21))</f>
        <v>28.8</v>
      </c>
      <c r="L76" s="294"/>
      <c r="M76" s="299">
        <f>IF(C76="ON PREM", 0, SUMMARY!C$25%)</f>
        <v>0.12</v>
      </c>
      <c r="N76" s="299">
        <f>IF(C76="AWS",SUMMARY!C$26%, 0)</f>
        <v>0</v>
      </c>
      <c r="O76" s="300">
        <f>((SUM(K76:L76))-((SUM(K76:L76))*N76))*(1 + M76)</f>
        <v>32.256000000000007</v>
      </c>
      <c r="P76" s="300">
        <f>O76*12</f>
        <v>387.07200000000012</v>
      </c>
    </row>
    <row r="77" spans="1:16">
      <c r="A77" s="294"/>
      <c r="B77" s="294"/>
      <c r="C77" s="294"/>
      <c r="D77" s="295"/>
      <c r="E77" s="295"/>
      <c r="F77" s="295"/>
      <c r="G77" s="294"/>
      <c r="H77" s="148" t="str">
        <f>IF(G76="Windows Server", "F:\appdir", "/appdir")</f>
        <v>F:\appdir</v>
      </c>
      <c r="I77" s="149">
        <f>CEILING(I51*(100+SUMMARY!$C$24)%,1)</f>
        <v>0</v>
      </c>
      <c r="J77" s="296"/>
      <c r="K77" s="296"/>
      <c r="L77" s="296"/>
      <c r="M77" s="296"/>
      <c r="N77" s="296"/>
      <c r="O77" s="296"/>
      <c r="P77" s="296"/>
    </row>
    <row r="78" spans="1:16">
      <c r="A78" s="294"/>
      <c r="B78" s="294"/>
      <c r="C78" s="294"/>
      <c r="D78" s="295"/>
      <c r="E78" s="295"/>
      <c r="F78" s="295"/>
      <c r="G78" s="294"/>
      <c r="H78" s="32" t="str">
        <f>IF(G76="Windows Server", "G:\Log", "/var/log")</f>
        <v>G:\Log</v>
      </c>
      <c r="I78" s="146">
        <f>IF(G76="Windows Server", 50, 20)</f>
        <v>50</v>
      </c>
      <c r="J78" s="296"/>
      <c r="K78" s="296"/>
      <c r="L78" s="296"/>
      <c r="M78" s="296"/>
      <c r="N78" s="296"/>
      <c r="O78" s="296"/>
      <c r="P78" s="296"/>
    </row>
    <row r="79" spans="1:16">
      <c r="A79" s="294"/>
      <c r="B79" s="294"/>
      <c r="C79" s="294"/>
      <c r="D79" s="295"/>
      <c r="E79" s="295"/>
      <c r="F79" s="295"/>
      <c r="G79" s="294"/>
      <c r="H79" s="32" t="str">
        <f>IF(G76="Windows Server", "H:\Backup", "/backup")</f>
        <v>H:\Backup</v>
      </c>
      <c r="I79" s="146">
        <f>IF(G76="Windows Server", 100, 10)</f>
        <v>100</v>
      </c>
      <c r="J79" s="296"/>
      <c r="K79" s="296"/>
      <c r="L79" s="296"/>
      <c r="M79" s="296"/>
      <c r="N79" s="296"/>
      <c r="O79" s="296"/>
      <c r="P79" s="296"/>
    </row>
    <row r="80" spans="1:16" ht="14.25" customHeight="1">
      <c r="A80" s="3"/>
      <c r="B80" s="153"/>
      <c r="C80" s="153"/>
      <c r="D80" s="153"/>
      <c r="E80" s="156">
        <f>SUM(E56:E79)</f>
        <v>0</v>
      </c>
      <c r="F80" s="156">
        <f>SUM(F56:F79)</f>
        <v>0</v>
      </c>
      <c r="G80" s="153"/>
      <c r="H80" s="153"/>
      <c r="I80" s="153"/>
      <c r="J80" s="153">
        <f>SUM(J56:J79)</f>
        <v>1050</v>
      </c>
      <c r="K80" s="154">
        <f>SUM(K56:K79)</f>
        <v>100.8</v>
      </c>
      <c r="L80" s="154">
        <f>SUM(L56:L79)</f>
        <v>0</v>
      </c>
      <c r="M80" s="154"/>
      <c r="N80" s="154"/>
      <c r="O80" s="154">
        <f>SUM(O56:O79)</f>
        <v>112.32000000000002</v>
      </c>
      <c r="P80" s="154">
        <f>SUM(P56:P79)</f>
        <v>1347.8400000000004</v>
      </c>
    </row>
    <row r="81" spans="1:16" s="129" customFormat="1">
      <c r="A81" s="144" t="s">
        <v>289</v>
      </c>
      <c r="B81" s="301"/>
      <c r="C81" s="301"/>
      <c r="D81" s="301"/>
      <c r="E81" s="301"/>
      <c r="F81" s="301"/>
      <c r="G81" s="301"/>
      <c r="H81" s="301"/>
      <c r="I81" s="301"/>
      <c r="J81" s="301"/>
      <c r="K81" s="301"/>
      <c r="L81" s="301"/>
      <c r="M81" s="301"/>
      <c r="N81" s="301"/>
      <c r="O81" s="301"/>
      <c r="P81" s="301"/>
    </row>
    <row r="82" spans="1:16" ht="13.5" customHeight="1">
      <c r="A82" s="302"/>
      <c r="B82" s="290">
        <f>((12*5*4)/(24*7*4))*730</f>
        <v>260.71428571428572</v>
      </c>
      <c r="C82" s="303" t="s">
        <v>282</v>
      </c>
      <c r="D82" s="311"/>
      <c r="E82" s="305">
        <f>CEILING(E56*(100+SUMMARY!$C$24)%,1)</f>
        <v>0</v>
      </c>
      <c r="F82" s="305">
        <f>CEILING(F56*(100+SUMMARY!$C$24)%,1)</f>
        <v>0</v>
      </c>
      <c r="G82" s="306" t="s">
        <v>283</v>
      </c>
      <c r="H82" s="32" t="str">
        <f>IF(G82="Windows Server", "C:\", "/")</f>
        <v>C:\</v>
      </c>
      <c r="I82" s="146">
        <f>IF(G82="Windows Server", 150, 20)</f>
        <v>150</v>
      </c>
      <c r="J82" s="296">
        <f>SUM(I82:I85)</f>
        <v>300</v>
      </c>
      <c r="K82" s="307">
        <f>J82 *(IF(C82="AZURE", SUMMARY!C$20, SUMMARY!C$21))</f>
        <v>28.8</v>
      </c>
      <c r="L82" s="308"/>
      <c r="M82" s="299">
        <f>IF(C82="ON PREM", 0, SUMMARY!C$25%)</f>
        <v>0.12</v>
      </c>
      <c r="N82" s="299">
        <f>IF(C82="AWS",SUMMARY!C$26%, 0)</f>
        <v>0.13</v>
      </c>
      <c r="O82" s="300">
        <f>((SUM(K82:L82))-((SUM(K82:L82))*N82))*(1 + M82)</f>
        <v>28.062720000000002</v>
      </c>
      <c r="P82" s="300">
        <f>O82*12</f>
        <v>336.75264000000004</v>
      </c>
    </row>
    <row r="83" spans="1:16">
      <c r="A83" s="302"/>
      <c r="B83" s="302"/>
      <c r="C83" s="303"/>
      <c r="D83" s="311"/>
      <c r="E83" s="311"/>
      <c r="F83" s="311"/>
      <c r="G83" s="306"/>
      <c r="H83" s="155" t="str">
        <f>IF(G82="Windows Server", "F:\appdir", "/appdir")</f>
        <v>F:\appdir</v>
      </c>
      <c r="I83" s="152">
        <f>CEILING(I57*(100+SUMMARY!$C$24)%,1)</f>
        <v>0</v>
      </c>
      <c r="J83" s="296"/>
      <c r="K83" s="296"/>
      <c r="L83" s="296"/>
      <c r="M83" s="296"/>
      <c r="N83" s="296"/>
      <c r="O83" s="296"/>
      <c r="P83" s="296"/>
    </row>
    <row r="84" spans="1:16">
      <c r="A84" s="302"/>
      <c r="B84" s="302"/>
      <c r="C84" s="303"/>
      <c r="D84" s="311"/>
      <c r="E84" s="311"/>
      <c r="F84" s="311"/>
      <c r="G84" s="306"/>
      <c r="H84" s="32" t="str">
        <f>IF(G82="Windows Server", "G:\Log", "/var/log")</f>
        <v>G:\Log</v>
      </c>
      <c r="I84" s="146">
        <f>IF(G82="Windows Server", 50, 20)</f>
        <v>50</v>
      </c>
      <c r="J84" s="296"/>
      <c r="K84" s="296"/>
      <c r="L84" s="296"/>
      <c r="M84" s="296"/>
      <c r="N84" s="296"/>
      <c r="O84" s="296"/>
      <c r="P84" s="296"/>
    </row>
    <row r="85" spans="1:16">
      <c r="A85" s="302"/>
      <c r="B85" s="302"/>
      <c r="C85" s="303"/>
      <c r="D85" s="311"/>
      <c r="E85" s="311"/>
      <c r="F85" s="311"/>
      <c r="G85" s="306"/>
      <c r="H85" s="32" t="str">
        <f>IF(G82="Windows Server", "H:\Backup", "/backup")</f>
        <v>H:\Backup</v>
      </c>
      <c r="I85" s="146">
        <f>IF(G82="Windows Server", 100, 10)</f>
        <v>100</v>
      </c>
      <c r="J85" s="296"/>
      <c r="K85" s="296"/>
      <c r="L85" s="296"/>
      <c r="M85" s="296"/>
      <c r="N85" s="296"/>
      <c r="O85" s="296"/>
      <c r="P85" s="296"/>
    </row>
    <row r="86" spans="1:16" ht="13.5" customHeight="1">
      <c r="A86" s="302"/>
      <c r="B86" s="290">
        <f>((12*5*4)/(24*7*4))*730</f>
        <v>260.71428571428572</v>
      </c>
      <c r="C86" s="303" t="s">
        <v>282</v>
      </c>
      <c r="D86" s="311"/>
      <c r="E86" s="305">
        <f>CEILING(E60*(100+SUMMARY!$C$24)%,1)</f>
        <v>0</v>
      </c>
      <c r="F86" s="305">
        <f>CEILING(F60*(100+SUMMARY!$C$24)%,1)</f>
        <v>0</v>
      </c>
      <c r="G86" s="306" t="s">
        <v>287</v>
      </c>
      <c r="H86" s="32" t="str">
        <f>IF(G86="Windows Server", "C:\", "/")</f>
        <v>/</v>
      </c>
      <c r="I86" s="146">
        <f>IF(G86="Windows Server", 150, 20)</f>
        <v>20</v>
      </c>
      <c r="J86" s="296">
        <f>SUM(I86:I89)</f>
        <v>50</v>
      </c>
      <c r="K86" s="307">
        <f>J86 *(IF(C86="AZURE", SUMMARY!C$20, SUMMARY!C$21))</f>
        <v>4.8</v>
      </c>
      <c r="L86" s="308"/>
      <c r="M86" s="299">
        <f>IF(C86="ON PREM", 0, SUMMARY!C$25%)</f>
        <v>0.12</v>
      </c>
      <c r="N86" s="299">
        <f>IF(C86="AWS",SUMMARY!C$26%, 0)</f>
        <v>0.13</v>
      </c>
      <c r="O86" s="300">
        <f>((SUM(K86:L86))-((SUM(K86:L86))*N86))*(1 + M86)</f>
        <v>4.6771200000000004</v>
      </c>
      <c r="P86" s="300">
        <f>O86*12</f>
        <v>56.125440000000005</v>
      </c>
    </row>
    <row r="87" spans="1:16">
      <c r="A87" s="302"/>
      <c r="B87" s="302"/>
      <c r="C87" s="303"/>
      <c r="D87" s="311"/>
      <c r="E87" s="311"/>
      <c r="F87" s="311"/>
      <c r="G87" s="306"/>
      <c r="H87" s="155" t="str">
        <f>IF(G86="Windows Server", "F:\appdir", "/appdir")</f>
        <v>/appdir</v>
      </c>
      <c r="I87" s="152">
        <f>CEILING(I61*(100+SUMMARY!$C$24)%,1)</f>
        <v>0</v>
      </c>
      <c r="J87" s="296"/>
      <c r="K87" s="296"/>
      <c r="L87" s="296"/>
      <c r="M87" s="296"/>
      <c r="N87" s="296"/>
      <c r="O87" s="296"/>
      <c r="P87" s="296"/>
    </row>
    <row r="88" spans="1:16">
      <c r="A88" s="302"/>
      <c r="B88" s="302"/>
      <c r="C88" s="303"/>
      <c r="D88" s="311"/>
      <c r="E88" s="311"/>
      <c r="F88" s="311"/>
      <c r="G88" s="306"/>
      <c r="H88" s="32" t="str">
        <f>IF(G86="Windows Server", "G:\Log", "/var/log")</f>
        <v>/var/log</v>
      </c>
      <c r="I88" s="146">
        <f>IF(G86="Windows Server", 50, 20)</f>
        <v>20</v>
      </c>
      <c r="J88" s="296"/>
      <c r="K88" s="296"/>
      <c r="L88" s="296"/>
      <c r="M88" s="296"/>
      <c r="N88" s="296"/>
      <c r="O88" s="296"/>
      <c r="P88" s="296"/>
    </row>
    <row r="89" spans="1:16">
      <c r="A89" s="302"/>
      <c r="B89" s="302"/>
      <c r="C89" s="303"/>
      <c r="D89" s="311"/>
      <c r="E89" s="311"/>
      <c r="F89" s="311"/>
      <c r="G89" s="306"/>
      <c r="H89" s="32" t="str">
        <f>IF(G86="Windows Server", "H:\Backup", "/backup")</f>
        <v>/backup</v>
      </c>
      <c r="I89" s="146">
        <f>IF(G86="Windows Server", 100, 10)</f>
        <v>10</v>
      </c>
      <c r="J89" s="296"/>
      <c r="K89" s="296"/>
      <c r="L89" s="296"/>
      <c r="M89" s="296"/>
      <c r="N89" s="296"/>
      <c r="O89" s="296"/>
      <c r="P89" s="296"/>
    </row>
    <row r="90" spans="1:16" ht="13.5" customHeight="1">
      <c r="A90" s="302"/>
      <c r="B90" s="290">
        <f>((12*5*4)/(24*7*4))*730</f>
        <v>260.71428571428572</v>
      </c>
      <c r="C90" s="303" t="s">
        <v>282</v>
      </c>
      <c r="D90" s="311"/>
      <c r="E90" s="305">
        <f>CEILING(E64*(100+SUMMARY!$C$24)%,1)</f>
        <v>0</v>
      </c>
      <c r="F90" s="305">
        <f>CEILING(F64*(100+SUMMARY!$C$24)%,1)</f>
        <v>0</v>
      </c>
      <c r="G90" s="306" t="s">
        <v>283</v>
      </c>
      <c r="H90" s="32" t="str">
        <f>IF(G90="Windows Server", "C:\", "/")</f>
        <v>C:\</v>
      </c>
      <c r="I90" s="146">
        <f>IF(G90="Windows Server", 150, 20)</f>
        <v>150</v>
      </c>
      <c r="J90" s="296">
        <f>SUM(I90:I93)</f>
        <v>300</v>
      </c>
      <c r="K90" s="307">
        <f>J90 *(IF(C90="AZURE", SUMMARY!C$20, SUMMARY!C$21))</f>
        <v>28.8</v>
      </c>
      <c r="L90" s="308"/>
      <c r="M90" s="299">
        <f>IF(C90="ON PREM", 0, SUMMARY!C$25%)</f>
        <v>0.12</v>
      </c>
      <c r="N90" s="299">
        <f>IF(C90="AWS",SUMMARY!C$26%, 0)</f>
        <v>0.13</v>
      </c>
      <c r="O90" s="300">
        <f>((SUM(K90:L90))-((SUM(K90:L90))*N90))*(1 + M90)</f>
        <v>28.062720000000002</v>
      </c>
      <c r="P90" s="300">
        <f>O90*12</f>
        <v>336.75264000000004</v>
      </c>
    </row>
    <row r="91" spans="1:16">
      <c r="A91" s="302"/>
      <c r="B91" s="302"/>
      <c r="C91" s="303"/>
      <c r="D91" s="311"/>
      <c r="E91" s="311"/>
      <c r="F91" s="311"/>
      <c r="G91" s="306"/>
      <c r="H91" s="155" t="str">
        <f>IF(G90="Windows Server", "F:\appdir", "/appdir")</f>
        <v>F:\appdir</v>
      </c>
      <c r="I91" s="152">
        <f>CEILING(I65*(100+SUMMARY!$C$24)%,1)</f>
        <v>0</v>
      </c>
      <c r="J91" s="296"/>
      <c r="K91" s="296"/>
      <c r="L91" s="296"/>
      <c r="M91" s="296"/>
      <c r="N91" s="296"/>
      <c r="O91" s="296"/>
      <c r="P91" s="296"/>
    </row>
    <row r="92" spans="1:16">
      <c r="A92" s="302"/>
      <c r="B92" s="302"/>
      <c r="C92" s="303"/>
      <c r="D92" s="311"/>
      <c r="E92" s="311"/>
      <c r="F92" s="311"/>
      <c r="G92" s="306"/>
      <c r="H92" s="32" t="str">
        <f>IF(G90="Windows Server", "G:\Log", "/var/log")</f>
        <v>G:\Log</v>
      </c>
      <c r="I92" s="146">
        <f>IF(G90="Windows Server", 50, 20)</f>
        <v>50</v>
      </c>
      <c r="J92" s="296"/>
      <c r="K92" s="296"/>
      <c r="L92" s="296"/>
      <c r="M92" s="296"/>
      <c r="N92" s="296"/>
      <c r="O92" s="296"/>
      <c r="P92" s="296"/>
    </row>
    <row r="93" spans="1:16">
      <c r="A93" s="302"/>
      <c r="B93" s="302"/>
      <c r="C93" s="303"/>
      <c r="D93" s="311"/>
      <c r="E93" s="311"/>
      <c r="F93" s="311"/>
      <c r="G93" s="306"/>
      <c r="H93" s="32" t="str">
        <f>IF(G90="Windows Server", "H:\Backup", "/backup")</f>
        <v>H:\Backup</v>
      </c>
      <c r="I93" s="146">
        <f>IF(G90="Windows Server", 100, 10)</f>
        <v>100</v>
      </c>
      <c r="J93" s="296"/>
      <c r="K93" s="296"/>
      <c r="L93" s="296"/>
      <c r="M93" s="296"/>
      <c r="N93" s="296"/>
      <c r="O93" s="296"/>
      <c r="P93" s="296"/>
    </row>
    <row r="94" spans="1:16" ht="13.5" customHeight="1">
      <c r="A94" s="302"/>
      <c r="B94" s="290">
        <f>((12*5*4)/(24*7*4))*730</f>
        <v>260.71428571428572</v>
      </c>
      <c r="C94" s="303" t="s">
        <v>282</v>
      </c>
      <c r="D94" s="311"/>
      <c r="E94" s="305">
        <f>CEILING(E68*(100+SUMMARY!$C$24)%,1)</f>
        <v>0</v>
      </c>
      <c r="F94" s="305">
        <f>CEILING(F68*(100+SUMMARY!$C$24)%,1)</f>
        <v>0</v>
      </c>
      <c r="G94" s="306" t="s">
        <v>283</v>
      </c>
      <c r="H94" s="32" t="str">
        <f>IF(G94="Windows Server", "C:\", "/")</f>
        <v>C:\</v>
      </c>
      <c r="I94" s="146">
        <f>IF(G94="Windows Server", 150, 20)</f>
        <v>150</v>
      </c>
      <c r="J94" s="296">
        <f>SUM(I94:I97)</f>
        <v>300</v>
      </c>
      <c r="K94" s="307">
        <f>J94 *(IF(C94="AZURE", SUMMARY!C$20, SUMMARY!C$21))</f>
        <v>28.8</v>
      </c>
      <c r="L94" s="308"/>
      <c r="M94" s="299">
        <f>IF(C94="ON PREM", 0, SUMMARY!C$25%)</f>
        <v>0.12</v>
      </c>
      <c r="N94" s="299">
        <f>IF(C94="AWS",SUMMARY!C$26%, 0)</f>
        <v>0.13</v>
      </c>
      <c r="O94" s="300">
        <f>((SUM(K94:L94))-((SUM(K94:L94))*N94))*(1 + M94)</f>
        <v>28.062720000000002</v>
      </c>
      <c r="P94" s="300">
        <f>O94*12</f>
        <v>336.75264000000004</v>
      </c>
    </row>
    <row r="95" spans="1:16">
      <c r="A95" s="302"/>
      <c r="B95" s="302"/>
      <c r="C95" s="303"/>
      <c r="D95" s="311"/>
      <c r="E95" s="311"/>
      <c r="F95" s="311"/>
      <c r="G95" s="306"/>
      <c r="H95" s="155" t="str">
        <f>IF(G94="Windows Server", "F:\appdir", "/appdir")</f>
        <v>F:\appdir</v>
      </c>
      <c r="I95" s="152">
        <f>CEILING(I69*(100+SUMMARY!$C$24)%,1)</f>
        <v>0</v>
      </c>
      <c r="J95" s="296"/>
      <c r="K95" s="296"/>
      <c r="L95" s="296"/>
      <c r="M95" s="296"/>
      <c r="N95" s="296"/>
      <c r="O95" s="296"/>
      <c r="P95" s="296"/>
    </row>
    <row r="96" spans="1:16">
      <c r="A96" s="302"/>
      <c r="B96" s="302"/>
      <c r="C96" s="303"/>
      <c r="D96" s="311"/>
      <c r="E96" s="311"/>
      <c r="F96" s="311"/>
      <c r="G96" s="306"/>
      <c r="H96" s="32" t="str">
        <f>IF(G94="Windows Server", "G:\Log", "/var/log")</f>
        <v>G:\Log</v>
      </c>
      <c r="I96" s="146">
        <f>IF(G94="Windows Server", 50, 20)</f>
        <v>50</v>
      </c>
      <c r="J96" s="296"/>
      <c r="K96" s="296"/>
      <c r="L96" s="296"/>
      <c r="M96" s="296"/>
      <c r="N96" s="296"/>
      <c r="O96" s="296"/>
      <c r="P96" s="296"/>
    </row>
    <row r="97" spans="1:16">
      <c r="A97" s="302"/>
      <c r="B97" s="302"/>
      <c r="C97" s="303"/>
      <c r="D97" s="311"/>
      <c r="E97" s="311"/>
      <c r="F97" s="311"/>
      <c r="G97" s="306"/>
      <c r="H97" s="32" t="str">
        <f>IF(G94="Windows Server", "H:\Backup", "/backup")</f>
        <v>H:\Backup</v>
      </c>
      <c r="I97" s="146">
        <f>IF(G94="Windows Server", 100, 10)</f>
        <v>100</v>
      </c>
      <c r="J97" s="296"/>
      <c r="K97" s="296"/>
      <c r="L97" s="296"/>
      <c r="M97" s="296"/>
      <c r="N97" s="296"/>
      <c r="O97" s="296"/>
      <c r="P97" s="296"/>
    </row>
    <row r="98" spans="1:16" ht="13.5" customHeight="1">
      <c r="A98" s="302"/>
      <c r="B98" s="290">
        <f>((12*5*4)/(24*7*4))*730</f>
        <v>260.71428571428572</v>
      </c>
      <c r="C98" s="303" t="s">
        <v>282</v>
      </c>
      <c r="D98" s="311"/>
      <c r="E98" s="305">
        <f>CEILING(E72*(100+SUMMARY!$C$24)%,1)</f>
        <v>0</v>
      </c>
      <c r="F98" s="305">
        <f>CEILING(F72*(100+SUMMARY!$C$24)%,1)</f>
        <v>0</v>
      </c>
      <c r="G98" s="306" t="s">
        <v>283</v>
      </c>
      <c r="H98" s="32" t="str">
        <f>IF(G98="Windows Server", "C:\", "/")</f>
        <v>C:\</v>
      </c>
      <c r="I98" s="146">
        <f>IF(G98="Windows Server", 150, 20)</f>
        <v>150</v>
      </c>
      <c r="J98" s="296">
        <f>SUM(I98:I101)</f>
        <v>300</v>
      </c>
      <c r="K98" s="307">
        <f>J98 *(IF(C98="AZURE", SUMMARY!C$20, SUMMARY!C$21))</f>
        <v>28.8</v>
      </c>
      <c r="L98" s="308"/>
      <c r="M98" s="299">
        <f>IF(C98="ON PREM", 0, SUMMARY!C$25%)</f>
        <v>0.12</v>
      </c>
      <c r="N98" s="299">
        <f>IF(C98="AWS",SUMMARY!C$26%, 0)</f>
        <v>0.13</v>
      </c>
      <c r="O98" s="300">
        <f>((SUM(K98:L98))-((SUM(K98:L98))*N98))*(1 + M98)</f>
        <v>28.062720000000002</v>
      </c>
      <c r="P98" s="300">
        <f>O98*12</f>
        <v>336.75264000000004</v>
      </c>
    </row>
    <row r="99" spans="1:16">
      <c r="A99" s="302"/>
      <c r="B99" s="302"/>
      <c r="C99" s="303"/>
      <c r="D99" s="311"/>
      <c r="E99" s="311"/>
      <c r="F99" s="311"/>
      <c r="G99" s="306"/>
      <c r="H99" s="155" t="str">
        <f>IF(G98="Windows Server", "F:\appdir", "/appdir")</f>
        <v>F:\appdir</v>
      </c>
      <c r="I99" s="152">
        <f>CEILING(I73*(100+SUMMARY!$C$24)%,1)</f>
        <v>0</v>
      </c>
      <c r="J99" s="296"/>
      <c r="K99" s="296"/>
      <c r="L99" s="296"/>
      <c r="M99" s="296"/>
      <c r="N99" s="296"/>
      <c r="O99" s="296"/>
      <c r="P99" s="296"/>
    </row>
    <row r="100" spans="1:16">
      <c r="A100" s="302"/>
      <c r="B100" s="302"/>
      <c r="C100" s="303"/>
      <c r="D100" s="311"/>
      <c r="E100" s="311"/>
      <c r="F100" s="311"/>
      <c r="G100" s="306"/>
      <c r="H100" s="32" t="str">
        <f>IF(G98="Windows Server", "G:\Log", "/var/log")</f>
        <v>G:\Log</v>
      </c>
      <c r="I100" s="146">
        <f>IF(G98="Windows Server", 50, 20)</f>
        <v>50</v>
      </c>
      <c r="J100" s="296"/>
      <c r="K100" s="296"/>
      <c r="L100" s="296"/>
      <c r="M100" s="296"/>
      <c r="N100" s="296"/>
      <c r="O100" s="296"/>
      <c r="P100" s="296"/>
    </row>
    <row r="101" spans="1:16">
      <c r="A101" s="302"/>
      <c r="B101" s="302"/>
      <c r="C101" s="303"/>
      <c r="D101" s="311"/>
      <c r="E101" s="311"/>
      <c r="F101" s="311"/>
      <c r="G101" s="306"/>
      <c r="H101" s="32" t="str">
        <f>IF(G98="Windows Server", "H:\Backup", "/backup")</f>
        <v>H:\Backup</v>
      </c>
      <c r="I101" s="146">
        <f>IF(G98="Windows Server", 100, 10)</f>
        <v>100</v>
      </c>
      <c r="J101" s="296"/>
      <c r="K101" s="296"/>
      <c r="L101" s="296"/>
      <c r="M101" s="296"/>
      <c r="N101" s="296"/>
      <c r="O101" s="296"/>
      <c r="P101" s="296"/>
    </row>
    <row r="102" spans="1:16" ht="13.5" customHeight="1">
      <c r="A102" s="302"/>
      <c r="B102" s="290">
        <f>((12*5*4)/(24*7*4))*730</f>
        <v>260.71428571428572</v>
      </c>
      <c r="C102" s="303" t="s">
        <v>282</v>
      </c>
      <c r="D102" s="311"/>
      <c r="E102" s="305">
        <f>CEILING(E76*(100+SUMMARY!$C$24)%,1)</f>
        <v>0</v>
      </c>
      <c r="F102" s="305">
        <f>CEILING(F76*(100+SUMMARY!$C$24)%,1)</f>
        <v>0</v>
      </c>
      <c r="G102" s="306" t="s">
        <v>283</v>
      </c>
      <c r="H102" s="32" t="str">
        <f>IF(G102="Windows Server", "C:\", "/")</f>
        <v>C:\</v>
      </c>
      <c r="I102" s="146">
        <f>IF(G102="Windows Server", 150, 20)</f>
        <v>150</v>
      </c>
      <c r="J102" s="296">
        <f>SUM(I102:I105)</f>
        <v>300</v>
      </c>
      <c r="K102" s="307">
        <f>J102 *(IF(C102="AZURE", SUMMARY!C$20, SUMMARY!C$21))</f>
        <v>28.8</v>
      </c>
      <c r="L102" s="308"/>
      <c r="M102" s="299">
        <f>IF(C102="ON PREM", 0, SUMMARY!C$25%)</f>
        <v>0.12</v>
      </c>
      <c r="N102" s="299">
        <f>IF(C102="AWS",SUMMARY!C$26%, 0)</f>
        <v>0.13</v>
      </c>
      <c r="O102" s="300">
        <f>((SUM(K102:L102))-((SUM(K102:L102))*N102))*(1 + M102)</f>
        <v>28.062720000000002</v>
      </c>
      <c r="P102" s="300">
        <f>O102*12</f>
        <v>336.75264000000004</v>
      </c>
    </row>
    <row r="103" spans="1:16">
      <c r="A103" s="302"/>
      <c r="B103" s="302"/>
      <c r="C103" s="303"/>
      <c r="D103" s="311"/>
      <c r="E103" s="311"/>
      <c r="F103" s="311"/>
      <c r="G103" s="306"/>
      <c r="H103" s="155" t="str">
        <f>IF(G102="Windows Server", "F:\appdir", "/appdir")</f>
        <v>F:\appdir</v>
      </c>
      <c r="I103" s="152">
        <f>CEILING(I77*(100+SUMMARY!$C$24)%,1)</f>
        <v>0</v>
      </c>
      <c r="J103" s="296"/>
      <c r="K103" s="296"/>
      <c r="L103" s="296"/>
      <c r="M103" s="296"/>
      <c r="N103" s="296"/>
      <c r="O103" s="296"/>
      <c r="P103" s="296"/>
    </row>
    <row r="104" spans="1:16">
      <c r="A104" s="302"/>
      <c r="B104" s="302"/>
      <c r="C104" s="303"/>
      <c r="D104" s="311"/>
      <c r="E104" s="311"/>
      <c r="F104" s="311"/>
      <c r="G104" s="306"/>
      <c r="H104" s="32" t="str">
        <f>IF(G102="Windows Server", "G:\Log", "/var/log")</f>
        <v>G:\Log</v>
      </c>
      <c r="I104" s="146">
        <f>IF(G102="Windows Server", 50, 20)</f>
        <v>50</v>
      </c>
      <c r="J104" s="296"/>
      <c r="K104" s="296"/>
      <c r="L104" s="296"/>
      <c r="M104" s="296"/>
      <c r="N104" s="296"/>
      <c r="O104" s="296"/>
      <c r="P104" s="296"/>
    </row>
    <row r="105" spans="1:16">
      <c r="A105" s="302"/>
      <c r="B105" s="302"/>
      <c r="C105" s="303"/>
      <c r="D105" s="311"/>
      <c r="E105" s="311"/>
      <c r="F105" s="311"/>
      <c r="G105" s="306"/>
      <c r="H105" s="32" t="str">
        <f>IF(G102="Windows Server", "H:\Backup", "/backup")</f>
        <v>H:\Backup</v>
      </c>
      <c r="I105" s="146">
        <f>IF(G102="Windows Server", 100, 10)</f>
        <v>100</v>
      </c>
      <c r="J105" s="296"/>
      <c r="K105" s="296"/>
      <c r="L105" s="296"/>
      <c r="M105" s="296"/>
      <c r="N105" s="296"/>
      <c r="O105" s="296"/>
      <c r="P105" s="296"/>
    </row>
    <row r="106" spans="1:16" ht="14.25" customHeight="1">
      <c r="A106" s="3"/>
      <c r="B106" s="153"/>
      <c r="C106" s="153"/>
      <c r="D106" s="153"/>
      <c r="E106" s="156">
        <f>SUM(E82:E105)</f>
        <v>0</v>
      </c>
      <c r="F106" s="156">
        <f>SUM(F82:F105)</f>
        <v>0</v>
      </c>
      <c r="G106" s="156"/>
      <c r="H106" s="153"/>
      <c r="I106" s="153"/>
      <c r="J106" s="156">
        <f>SUM(J82:J105)</f>
        <v>1550</v>
      </c>
      <c r="K106" s="154">
        <f>SUM(K82:K105)</f>
        <v>148.80000000000001</v>
      </c>
      <c r="L106" s="154">
        <f>SUM(L82:L105)</f>
        <v>0</v>
      </c>
      <c r="M106" s="154"/>
      <c r="N106" s="154"/>
      <c r="O106" s="154">
        <f>SUM(O82:O105)</f>
        <v>144.99072000000001</v>
      </c>
      <c r="P106" s="154">
        <f>SUM(P82:P105)</f>
        <v>1739.8886400000006</v>
      </c>
    </row>
    <row r="107" spans="1:16" s="129" customFormat="1">
      <c r="A107" s="144" t="s">
        <v>290</v>
      </c>
      <c r="B107" s="301"/>
      <c r="C107" s="301"/>
      <c r="D107" s="301"/>
      <c r="E107" s="301"/>
      <c r="F107" s="301"/>
      <c r="G107" s="301"/>
      <c r="H107" s="301"/>
      <c r="I107" s="301"/>
      <c r="J107" s="301"/>
      <c r="K107" s="301"/>
      <c r="L107" s="301"/>
      <c r="M107" s="301"/>
      <c r="N107" s="301"/>
      <c r="O107" s="301"/>
      <c r="P107" s="301"/>
    </row>
    <row r="108" spans="1:16" ht="13.5" customHeight="1">
      <c r="A108" s="294"/>
      <c r="B108" s="290">
        <f>((12*5*4)/(24*7*4))*730</f>
        <v>260.71428571428572</v>
      </c>
      <c r="C108" s="294" t="s">
        <v>286</v>
      </c>
      <c r="D108" s="295"/>
      <c r="E108" s="310">
        <f>CEILING(E82*(100+SUMMARY!$C$24)%,1)</f>
        <v>0</v>
      </c>
      <c r="F108" s="310">
        <f>CEILING(F82*(100+SUMMARY!$C$24)%,1)</f>
        <v>0</v>
      </c>
      <c r="G108" s="294" t="s">
        <v>283</v>
      </c>
      <c r="H108" s="32" t="str">
        <f>IF(G108="Windows Server", "C:\", "/")</f>
        <v>C:\</v>
      </c>
      <c r="I108" s="146">
        <f>IF(G108="Windows Server", 150, 20)</f>
        <v>150</v>
      </c>
      <c r="J108" s="296">
        <f>SUM(I108:I111)</f>
        <v>300</v>
      </c>
      <c r="K108" s="297">
        <f>J108 *(IF(C108="AZURE", SUMMARY!C$20, SUMMARY!C$21))</f>
        <v>28.8</v>
      </c>
      <c r="L108" s="298"/>
      <c r="M108" s="299">
        <f>IF(C108="ON PREM", 0, SUMMARY!C$25%)</f>
        <v>0.12</v>
      </c>
      <c r="N108" s="299">
        <f>IF(C108="AWS",SUMMARY!C$26%, 0)</f>
        <v>0</v>
      </c>
      <c r="O108" s="300">
        <f>((SUM(K108:L108))-((SUM(K108:L108))*N108))*(1 + M108)</f>
        <v>32.256000000000007</v>
      </c>
      <c r="P108" s="300">
        <f>O108*12</f>
        <v>387.07200000000012</v>
      </c>
    </row>
    <row r="109" spans="1:16">
      <c r="A109" s="294"/>
      <c r="B109" s="294"/>
      <c r="C109" s="294"/>
      <c r="D109" s="295"/>
      <c r="E109" s="295"/>
      <c r="F109" s="295"/>
      <c r="G109" s="294"/>
      <c r="H109" s="148" t="str">
        <f>IF(G108="Windows Server", "F:\appdir", "/appdir")</f>
        <v>F:\appdir</v>
      </c>
      <c r="I109" s="149">
        <f>CEILING(I83*(100+SUMMARY!$C$24)%,1)</f>
        <v>0</v>
      </c>
      <c r="J109" s="296"/>
      <c r="K109" s="296"/>
      <c r="L109" s="296"/>
      <c r="M109" s="296"/>
      <c r="N109" s="296"/>
      <c r="O109" s="296"/>
      <c r="P109" s="296"/>
    </row>
    <row r="110" spans="1:16">
      <c r="A110" s="294"/>
      <c r="B110" s="294"/>
      <c r="C110" s="294"/>
      <c r="D110" s="295"/>
      <c r="E110" s="295"/>
      <c r="F110" s="295"/>
      <c r="G110" s="294"/>
      <c r="H110" s="32" t="str">
        <f>IF(G108="Windows Server", "G:\Log", "/var/log")</f>
        <v>G:\Log</v>
      </c>
      <c r="I110" s="146">
        <f>IF(G108="Windows Server", 50, 20)</f>
        <v>50</v>
      </c>
      <c r="J110" s="296"/>
      <c r="K110" s="296"/>
      <c r="L110" s="296"/>
      <c r="M110" s="296"/>
      <c r="N110" s="296"/>
      <c r="O110" s="296"/>
      <c r="P110" s="296"/>
    </row>
    <row r="111" spans="1:16">
      <c r="A111" s="294"/>
      <c r="B111" s="294"/>
      <c r="C111" s="294"/>
      <c r="D111" s="295"/>
      <c r="E111" s="295"/>
      <c r="F111" s="295"/>
      <c r="G111" s="294"/>
      <c r="H111" s="32" t="str">
        <f>IF(G108="Windows Server", "H:\Backup", "/backup")</f>
        <v>H:\Backup</v>
      </c>
      <c r="I111" s="146">
        <f>IF(G108="Windows Server", 100, 10)</f>
        <v>100</v>
      </c>
      <c r="J111" s="296"/>
      <c r="K111" s="296"/>
      <c r="L111" s="296"/>
      <c r="M111" s="296"/>
      <c r="N111" s="296"/>
      <c r="O111" s="296"/>
      <c r="P111" s="296"/>
    </row>
    <row r="112" spans="1:16" ht="13.5" customHeight="1">
      <c r="A112" s="294"/>
      <c r="B112" s="290">
        <f>((12*5*4)/(24*7*4))*730</f>
        <v>260.71428571428572</v>
      </c>
      <c r="C112" s="294" t="s">
        <v>288</v>
      </c>
      <c r="D112" s="295"/>
      <c r="E112" s="310">
        <f>CEILING(E86*(100+SUMMARY!$C$24)%,1)</f>
        <v>0</v>
      </c>
      <c r="F112" s="310">
        <f>CEILING(F86*(100+SUMMARY!$C$24)%,1)</f>
        <v>0</v>
      </c>
      <c r="G112" s="294" t="s">
        <v>293</v>
      </c>
      <c r="H112" s="32" t="str">
        <f>IF(G112="Windows Server", "C:\", "/")</f>
        <v>/</v>
      </c>
      <c r="I112" s="146">
        <f>IF(G112="Windows Server", 150, 20)</f>
        <v>20</v>
      </c>
      <c r="J112" s="296">
        <f>SUM(I112:I115)</f>
        <v>50</v>
      </c>
      <c r="K112" s="297">
        <f>J112 *(IF(C112="AZURE", SUMMARY!C$20, SUMMARY!C$21))</f>
        <v>4.8</v>
      </c>
      <c r="L112" s="298"/>
      <c r="M112" s="299">
        <f>IF(C112="ON PREM", 0, SUMMARY!C$25%)</f>
        <v>0</v>
      </c>
      <c r="N112" s="299">
        <f>IF(C112="AWS",SUMMARY!C$26%, 0)</f>
        <v>0</v>
      </c>
      <c r="O112" s="300">
        <f>((SUM(K112:L112))-((SUM(K112:L112))*N112))*(1 + M112)</f>
        <v>4.8</v>
      </c>
      <c r="P112" s="300">
        <f>O112*12</f>
        <v>57.599999999999994</v>
      </c>
    </row>
    <row r="113" spans="1:16">
      <c r="A113" s="294"/>
      <c r="B113" s="294"/>
      <c r="C113" s="294"/>
      <c r="D113" s="295"/>
      <c r="E113" s="295"/>
      <c r="F113" s="295"/>
      <c r="G113" s="294"/>
      <c r="H113" s="148" t="str">
        <f>IF(G112="Windows Server", "F:\appdir", "/appdir")</f>
        <v>/appdir</v>
      </c>
      <c r="I113" s="149">
        <f>CEILING(I87*(100+SUMMARY!$C$24)%,1)</f>
        <v>0</v>
      </c>
      <c r="J113" s="296"/>
      <c r="K113" s="296"/>
      <c r="L113" s="296"/>
      <c r="M113" s="296"/>
      <c r="N113" s="296"/>
      <c r="O113" s="296"/>
      <c r="P113" s="296"/>
    </row>
    <row r="114" spans="1:16">
      <c r="A114" s="294"/>
      <c r="B114" s="294"/>
      <c r="C114" s="294"/>
      <c r="D114" s="295"/>
      <c r="E114" s="295"/>
      <c r="F114" s="295"/>
      <c r="G114" s="294"/>
      <c r="H114" s="32" t="str">
        <f>IF(G112="Windows Server", "G:\Log", "/var/log")</f>
        <v>/var/log</v>
      </c>
      <c r="I114" s="146">
        <f>IF(G112="Windows Server", 50, 20)</f>
        <v>20</v>
      </c>
      <c r="J114" s="296"/>
      <c r="K114" s="296"/>
      <c r="L114" s="296"/>
      <c r="M114" s="296"/>
      <c r="N114" s="296"/>
      <c r="O114" s="296"/>
      <c r="P114" s="296"/>
    </row>
    <row r="115" spans="1:16">
      <c r="A115" s="294"/>
      <c r="B115" s="294"/>
      <c r="C115" s="294"/>
      <c r="D115" s="295"/>
      <c r="E115" s="295"/>
      <c r="F115" s="295"/>
      <c r="G115" s="294"/>
      <c r="H115" s="32" t="str">
        <f>IF(G112="Windows Server", "H:\Backup", "/backup")</f>
        <v>/backup</v>
      </c>
      <c r="I115" s="146">
        <f>IF(G112="Windows Server", 100, 10)</f>
        <v>10</v>
      </c>
      <c r="J115" s="296"/>
      <c r="K115" s="296"/>
      <c r="L115" s="296"/>
      <c r="M115" s="296"/>
      <c r="N115" s="296"/>
      <c r="O115" s="296"/>
      <c r="P115" s="296"/>
    </row>
    <row r="116" spans="1:16" ht="13.5" customHeight="1">
      <c r="A116" s="294"/>
      <c r="B116" s="290">
        <f>((12*5*4)/(24*7*4))*730</f>
        <v>260.71428571428572</v>
      </c>
      <c r="C116" s="294" t="s">
        <v>286</v>
      </c>
      <c r="D116" s="295"/>
      <c r="E116" s="310">
        <f>CEILING(E90*(100+SUMMARY!$C$24)%,1)</f>
        <v>0</v>
      </c>
      <c r="F116" s="310">
        <f>CEILING(F90*(100+SUMMARY!$C$24)%,1)</f>
        <v>0</v>
      </c>
      <c r="G116" s="294" t="s">
        <v>294</v>
      </c>
      <c r="H116" s="32" t="str">
        <f>IF(G116="Windows Server", "C:\", "/")</f>
        <v>/</v>
      </c>
      <c r="I116" s="146">
        <f>IF(G116="Windows Server", 150, 20)</f>
        <v>20</v>
      </c>
      <c r="J116" s="296">
        <f>SUM(I116:I119)</f>
        <v>50</v>
      </c>
      <c r="K116" s="297">
        <f>J116 *(IF(C116="AZURE", SUMMARY!C$20, SUMMARY!C$21))</f>
        <v>4.8</v>
      </c>
      <c r="L116" s="298"/>
      <c r="M116" s="299">
        <f>IF(C116="ON PREM", 0, SUMMARY!C$25%)</f>
        <v>0.12</v>
      </c>
      <c r="N116" s="299">
        <f>IF(C116="AWS",SUMMARY!C$26%, 0)</f>
        <v>0</v>
      </c>
      <c r="O116" s="300">
        <f>((SUM(K116:L116))-((SUM(K116:L116))*N116))*(1 + M116)</f>
        <v>5.3760000000000003</v>
      </c>
      <c r="P116" s="300">
        <f>O116*12</f>
        <v>64.512</v>
      </c>
    </row>
    <row r="117" spans="1:16">
      <c r="A117" s="294"/>
      <c r="B117" s="294"/>
      <c r="C117" s="294"/>
      <c r="D117" s="295"/>
      <c r="E117" s="295"/>
      <c r="F117" s="295"/>
      <c r="G117" s="294"/>
      <c r="H117" s="148" t="str">
        <f>IF(G116="Windows Server", "F:\appdir", "/appdir")</f>
        <v>/appdir</v>
      </c>
      <c r="I117" s="149">
        <f>CEILING(I91*(100+SUMMARY!$C$24)%,1)</f>
        <v>0</v>
      </c>
      <c r="J117" s="296"/>
      <c r="K117" s="296"/>
      <c r="L117" s="296"/>
      <c r="M117" s="296"/>
      <c r="N117" s="296"/>
      <c r="O117" s="296"/>
      <c r="P117" s="296"/>
    </row>
    <row r="118" spans="1:16">
      <c r="A118" s="294"/>
      <c r="B118" s="294"/>
      <c r="C118" s="294"/>
      <c r="D118" s="295"/>
      <c r="E118" s="295"/>
      <c r="F118" s="295"/>
      <c r="G118" s="294"/>
      <c r="H118" s="32" t="str">
        <f>IF(G116="Windows Server", "G:\Log", "/var/log")</f>
        <v>/var/log</v>
      </c>
      <c r="I118" s="146">
        <f>IF(G116="Windows Server", 50, 20)</f>
        <v>20</v>
      </c>
      <c r="J118" s="296"/>
      <c r="K118" s="296"/>
      <c r="L118" s="296"/>
      <c r="M118" s="296"/>
      <c r="N118" s="296"/>
      <c r="O118" s="296"/>
      <c r="P118" s="296"/>
    </row>
    <row r="119" spans="1:16">
      <c r="A119" s="294"/>
      <c r="B119" s="294"/>
      <c r="C119" s="294"/>
      <c r="D119" s="295"/>
      <c r="E119" s="295"/>
      <c r="F119" s="295"/>
      <c r="G119" s="294"/>
      <c r="H119" s="32" t="str">
        <f>IF(G116="Windows Server", "H:\Backup", "/backup")</f>
        <v>/backup</v>
      </c>
      <c r="I119" s="146">
        <f>IF(G116="Windows Server", 100, 10)</f>
        <v>10</v>
      </c>
      <c r="J119" s="296"/>
      <c r="K119" s="296"/>
      <c r="L119" s="296"/>
      <c r="M119" s="296"/>
      <c r="N119" s="296"/>
      <c r="O119" s="296"/>
      <c r="P119" s="296"/>
    </row>
    <row r="120" spans="1:16" ht="13.5" customHeight="1">
      <c r="A120" s="294"/>
      <c r="B120" s="290">
        <f>((12*5*4)/(24*7*4))*730</f>
        <v>260.71428571428572</v>
      </c>
      <c r="C120" s="294" t="s">
        <v>286</v>
      </c>
      <c r="D120" s="295"/>
      <c r="E120" s="310">
        <f>CEILING(E94*(100+SUMMARY!$C$24)%,1)</f>
        <v>0</v>
      </c>
      <c r="F120" s="310">
        <f>CEILING(F94*(100+SUMMARY!$C$24)%,1)</f>
        <v>0</v>
      </c>
      <c r="G120" s="294" t="s">
        <v>294</v>
      </c>
      <c r="H120" s="32" t="str">
        <f>IF(G120="Windows Server", "C:\", "/")</f>
        <v>/</v>
      </c>
      <c r="I120" s="146">
        <f>IF(G120="Windows Server", 150, 20)</f>
        <v>20</v>
      </c>
      <c r="J120" s="296">
        <f>SUM(I120:I123)</f>
        <v>50</v>
      </c>
      <c r="K120" s="297">
        <f>J120 *(IF(C120="AZURE", SUMMARY!C$20, SUMMARY!C$21))</f>
        <v>4.8</v>
      </c>
      <c r="L120" s="298"/>
      <c r="M120" s="299">
        <f>IF(C120="ON PREM", 0, SUMMARY!C$25%)</f>
        <v>0.12</v>
      </c>
      <c r="N120" s="299">
        <f>IF(C120="AWS",SUMMARY!C$26%, 0)</f>
        <v>0</v>
      </c>
      <c r="O120" s="300">
        <f>((SUM(K120:L120))-((SUM(K120:L120))*N120))*(1 + M120)</f>
        <v>5.3760000000000003</v>
      </c>
      <c r="P120" s="300">
        <f>O120*12</f>
        <v>64.512</v>
      </c>
    </row>
    <row r="121" spans="1:16">
      <c r="A121" s="294"/>
      <c r="B121" s="294"/>
      <c r="C121" s="294"/>
      <c r="D121" s="295"/>
      <c r="E121" s="295"/>
      <c r="F121" s="295"/>
      <c r="G121" s="294"/>
      <c r="H121" s="148" t="str">
        <f>IF(G120="Windows Server", "F:\appdir", "/appdir")</f>
        <v>/appdir</v>
      </c>
      <c r="I121" s="149">
        <f>CEILING(I95*(100+SUMMARY!$C$24)%,1)</f>
        <v>0</v>
      </c>
      <c r="J121" s="296"/>
      <c r="K121" s="296"/>
      <c r="L121" s="296"/>
      <c r="M121" s="296"/>
      <c r="N121" s="296"/>
      <c r="O121" s="296"/>
      <c r="P121" s="296"/>
    </row>
    <row r="122" spans="1:16">
      <c r="A122" s="294"/>
      <c r="B122" s="294"/>
      <c r="C122" s="294"/>
      <c r="D122" s="295"/>
      <c r="E122" s="295"/>
      <c r="F122" s="295"/>
      <c r="G122" s="294"/>
      <c r="H122" s="32" t="str">
        <f>IF(G120="Windows Server", "G:\Log", "/var/log")</f>
        <v>/var/log</v>
      </c>
      <c r="I122" s="146">
        <f>IF(G120="Windows Server", 50, 20)</f>
        <v>20</v>
      </c>
      <c r="J122" s="296"/>
      <c r="K122" s="296"/>
      <c r="L122" s="296"/>
      <c r="M122" s="296"/>
      <c r="N122" s="296"/>
      <c r="O122" s="296"/>
      <c r="P122" s="296"/>
    </row>
    <row r="123" spans="1:16">
      <c r="A123" s="294"/>
      <c r="B123" s="294"/>
      <c r="C123" s="294"/>
      <c r="D123" s="295"/>
      <c r="E123" s="295"/>
      <c r="F123" s="295"/>
      <c r="G123" s="294"/>
      <c r="H123" s="32" t="str">
        <f>IF(G120="Windows Server", "H:\Backup", "/backup")</f>
        <v>/backup</v>
      </c>
      <c r="I123" s="146">
        <f>IF(G120="Windows Server", 100, 10)</f>
        <v>10</v>
      </c>
      <c r="J123" s="296"/>
      <c r="K123" s="296"/>
      <c r="L123" s="296"/>
      <c r="M123" s="296"/>
      <c r="N123" s="296"/>
      <c r="O123" s="296"/>
      <c r="P123" s="296"/>
    </row>
    <row r="124" spans="1:16" ht="13.5" customHeight="1">
      <c r="A124" s="294"/>
      <c r="B124" s="290">
        <f>((12*5*4)/(24*7*4))*730</f>
        <v>260.71428571428572</v>
      </c>
      <c r="C124" s="294" t="s">
        <v>286</v>
      </c>
      <c r="D124" s="295"/>
      <c r="E124" s="310">
        <f>CEILING(E98*(100+SUMMARY!$C$24)%,1)</f>
        <v>0</v>
      </c>
      <c r="F124" s="310">
        <f>CEILING(F98*(100+SUMMARY!$C$24)%,1)</f>
        <v>0</v>
      </c>
      <c r="G124" s="294" t="s">
        <v>293</v>
      </c>
      <c r="H124" s="32" t="str">
        <f>IF(G124="Windows Server", "C:\", "/")</f>
        <v>/</v>
      </c>
      <c r="I124" s="146">
        <f>IF(G124="Windows Server", 150, 20)</f>
        <v>20</v>
      </c>
      <c r="J124" s="296">
        <f>SUM(I124:I127)</f>
        <v>50</v>
      </c>
      <c r="K124" s="297">
        <f>J124 *(IF(C124="AZURE", SUMMARY!C$20, SUMMARY!C$21))</f>
        <v>4.8</v>
      </c>
      <c r="L124" s="298"/>
      <c r="M124" s="299">
        <f>IF(C124="ON PREM", 0, SUMMARY!C$25%)</f>
        <v>0.12</v>
      </c>
      <c r="N124" s="299">
        <f>IF(C124="AWS",SUMMARY!C$26%, 0)</f>
        <v>0</v>
      </c>
      <c r="O124" s="300">
        <f>((SUM(K124:L124))-((SUM(K124:L124))*N124))*(1 + M124)</f>
        <v>5.3760000000000003</v>
      </c>
      <c r="P124" s="300">
        <f>O124*12</f>
        <v>64.512</v>
      </c>
    </row>
    <row r="125" spans="1:16">
      <c r="A125" s="294"/>
      <c r="B125" s="294"/>
      <c r="C125" s="294"/>
      <c r="D125" s="295"/>
      <c r="E125" s="295"/>
      <c r="F125" s="295"/>
      <c r="G125" s="294"/>
      <c r="H125" s="148" t="str">
        <f>IF(G124="Windows Server", "F:\appdir", "/appdir")</f>
        <v>/appdir</v>
      </c>
      <c r="I125" s="149">
        <f>CEILING(I99*(100+SUMMARY!$C$24)%,1)</f>
        <v>0</v>
      </c>
      <c r="J125" s="296"/>
      <c r="K125" s="296"/>
      <c r="L125" s="296"/>
      <c r="M125" s="296"/>
      <c r="N125" s="296"/>
      <c r="O125" s="296"/>
      <c r="P125" s="296"/>
    </row>
    <row r="126" spans="1:16">
      <c r="A126" s="294"/>
      <c r="B126" s="294"/>
      <c r="C126" s="294"/>
      <c r="D126" s="295"/>
      <c r="E126" s="295"/>
      <c r="F126" s="295"/>
      <c r="G126" s="294"/>
      <c r="H126" s="32" t="str">
        <f>IF(G124="Windows Server", "G:\Log", "/var/log")</f>
        <v>/var/log</v>
      </c>
      <c r="I126" s="146">
        <f>IF(G124="Windows Server", 50, 20)</f>
        <v>20</v>
      </c>
      <c r="J126" s="296"/>
      <c r="K126" s="296"/>
      <c r="L126" s="296"/>
      <c r="M126" s="296"/>
      <c r="N126" s="296"/>
      <c r="O126" s="296"/>
      <c r="P126" s="296"/>
    </row>
    <row r="127" spans="1:16">
      <c r="A127" s="294"/>
      <c r="B127" s="294"/>
      <c r="C127" s="294"/>
      <c r="D127" s="295"/>
      <c r="E127" s="295"/>
      <c r="F127" s="295"/>
      <c r="G127" s="294"/>
      <c r="H127" s="32" t="str">
        <f>IF(G124="Windows Server", "H:\Backup", "/backup")</f>
        <v>/backup</v>
      </c>
      <c r="I127" s="146">
        <f>IF(G124="Windows Server", 100, 10)</f>
        <v>10</v>
      </c>
      <c r="J127" s="296"/>
      <c r="K127" s="296"/>
      <c r="L127" s="296"/>
      <c r="M127" s="296"/>
      <c r="N127" s="296"/>
      <c r="O127" s="296"/>
      <c r="P127" s="296"/>
    </row>
    <row r="128" spans="1:16" ht="13.5" customHeight="1">
      <c r="A128" s="294"/>
      <c r="B128" s="290">
        <f>((12*5*4)/(24*7*4))*730</f>
        <v>260.71428571428572</v>
      </c>
      <c r="C128" s="294" t="s">
        <v>282</v>
      </c>
      <c r="D128" s="295"/>
      <c r="E128" s="310">
        <f>CEILING(E102*(100+SUMMARY!$C$24)%,1)</f>
        <v>0</v>
      </c>
      <c r="F128" s="310">
        <f>CEILING(F102*(100+SUMMARY!$C$24)%,1)</f>
        <v>0</v>
      </c>
      <c r="G128" s="294" t="s">
        <v>283</v>
      </c>
      <c r="H128" s="32" t="str">
        <f>IF(G128="Windows Server", "C:\", "/")</f>
        <v>C:\</v>
      </c>
      <c r="I128" s="146">
        <f>IF(G128="Windows Server", 150, 20)</f>
        <v>150</v>
      </c>
      <c r="J128" s="296">
        <f>SUM(I128:I131)</f>
        <v>300</v>
      </c>
      <c r="K128" s="297">
        <f>J128 *(IF(C128="AZURE", SUMMARY!C$20, SUMMARY!C$21))</f>
        <v>28.8</v>
      </c>
      <c r="L128" s="298"/>
      <c r="M128" s="299">
        <f>IF(C128="ON PREM", 0, SUMMARY!C$25%)</f>
        <v>0.12</v>
      </c>
      <c r="N128" s="299">
        <f>IF(C128="AWS",SUMMARY!C$26%, 0)</f>
        <v>0.13</v>
      </c>
      <c r="O128" s="300">
        <f>((SUM(K128:L128))-((SUM(K128:L128))*N128))*(1 + M128)</f>
        <v>28.062720000000002</v>
      </c>
      <c r="P128" s="300">
        <f>O128*12</f>
        <v>336.75264000000004</v>
      </c>
    </row>
    <row r="129" spans="1:16">
      <c r="A129" s="294"/>
      <c r="B129" s="294"/>
      <c r="C129" s="294"/>
      <c r="D129" s="295"/>
      <c r="E129" s="295"/>
      <c r="F129" s="295"/>
      <c r="G129" s="294"/>
      <c r="H129" s="148" t="str">
        <f>IF(G128="Windows Server", "F:\appdir", "/appdir")</f>
        <v>F:\appdir</v>
      </c>
      <c r="I129" s="149">
        <f>CEILING(I103*(100+SUMMARY!$C$24)%,1)</f>
        <v>0</v>
      </c>
      <c r="J129" s="296"/>
      <c r="K129" s="296"/>
      <c r="L129" s="296"/>
      <c r="M129" s="296"/>
      <c r="N129" s="296"/>
      <c r="O129" s="296"/>
      <c r="P129" s="296"/>
    </row>
    <row r="130" spans="1:16">
      <c r="A130" s="294"/>
      <c r="B130" s="294"/>
      <c r="C130" s="294"/>
      <c r="D130" s="295"/>
      <c r="E130" s="295"/>
      <c r="F130" s="295"/>
      <c r="G130" s="294"/>
      <c r="H130" s="32" t="str">
        <f>IF(G128="Windows Server", "G:\Log", "/var/log")</f>
        <v>G:\Log</v>
      </c>
      <c r="I130" s="146">
        <f>IF(G128="Windows Server", 50, 20)</f>
        <v>50</v>
      </c>
      <c r="J130" s="296"/>
      <c r="K130" s="296"/>
      <c r="L130" s="296"/>
      <c r="M130" s="296"/>
      <c r="N130" s="296"/>
      <c r="O130" s="296"/>
      <c r="P130" s="296"/>
    </row>
    <row r="131" spans="1:16">
      <c r="A131" s="294"/>
      <c r="B131" s="294"/>
      <c r="C131" s="294"/>
      <c r="D131" s="295"/>
      <c r="E131" s="295"/>
      <c r="F131" s="295"/>
      <c r="G131" s="294"/>
      <c r="H131" s="32" t="str">
        <f>IF(G128="Windows Server", "H:\Backup", "/backup")</f>
        <v>H:\Backup</v>
      </c>
      <c r="I131" s="146">
        <f>IF(G128="Windows Server", 100, 10)</f>
        <v>100</v>
      </c>
      <c r="J131" s="296"/>
      <c r="K131" s="296"/>
      <c r="L131" s="296"/>
      <c r="M131" s="296"/>
      <c r="N131" s="296"/>
      <c r="O131" s="296"/>
      <c r="P131" s="296"/>
    </row>
    <row r="132" spans="1:16">
      <c r="A132" s="3"/>
      <c r="B132" s="3"/>
      <c r="C132" s="3"/>
      <c r="D132" s="3"/>
      <c r="E132" s="157">
        <f>SUM(E108:E131)</f>
        <v>0</v>
      </c>
      <c r="F132" s="157">
        <f>SUM(F108:F131)</f>
        <v>0</v>
      </c>
      <c r="G132" s="3"/>
      <c r="H132" s="3"/>
      <c r="I132" s="3"/>
      <c r="J132" s="157">
        <f>SUM(J108:J131)</f>
        <v>800</v>
      </c>
      <c r="K132" s="133">
        <f>SUM(K108:K131)</f>
        <v>76.8</v>
      </c>
      <c r="L132" s="133">
        <f>SUM(L108:L131)</f>
        <v>0</v>
      </c>
      <c r="M132" s="133"/>
      <c r="N132" s="133"/>
      <c r="O132" s="133">
        <f>SUM(O108:O131)</f>
        <v>81.246719999999996</v>
      </c>
      <c r="P132" s="133">
        <f>SUM(P108:P131)</f>
        <v>974.96064000000013</v>
      </c>
    </row>
  </sheetData>
  <mergeCells count="427">
    <mergeCell ref="L128:L131"/>
    <mergeCell ref="M128:M131"/>
    <mergeCell ref="N128:N131"/>
    <mergeCell ref="O128:O131"/>
    <mergeCell ref="P128:P131"/>
    <mergeCell ref="A128:A131"/>
    <mergeCell ref="B128:B131"/>
    <mergeCell ref="C128:C131"/>
    <mergeCell ref="D128:D131"/>
    <mergeCell ref="E128:E131"/>
    <mergeCell ref="F128:F131"/>
    <mergeCell ref="G128:G131"/>
    <mergeCell ref="J128:J131"/>
    <mergeCell ref="K128:K131"/>
    <mergeCell ref="L124:L127"/>
    <mergeCell ref="M124:M127"/>
    <mergeCell ref="N124:N127"/>
    <mergeCell ref="O124:O127"/>
    <mergeCell ref="P124:P127"/>
    <mergeCell ref="A120:A123"/>
    <mergeCell ref="B120:B123"/>
    <mergeCell ref="C120:C123"/>
    <mergeCell ref="D120:D123"/>
    <mergeCell ref="E120:E123"/>
    <mergeCell ref="A124:A127"/>
    <mergeCell ref="B124:B127"/>
    <mergeCell ref="C124:C127"/>
    <mergeCell ref="D124:D127"/>
    <mergeCell ref="E124:E127"/>
    <mergeCell ref="F124:F127"/>
    <mergeCell ref="G124:G127"/>
    <mergeCell ref="J124:J127"/>
    <mergeCell ref="K124:K127"/>
    <mergeCell ref="F120:F123"/>
    <mergeCell ref="G120:G123"/>
    <mergeCell ref="J120:J123"/>
    <mergeCell ref="K120:K123"/>
    <mergeCell ref="L112:L115"/>
    <mergeCell ref="M112:M115"/>
    <mergeCell ref="N112:N115"/>
    <mergeCell ref="O112:O115"/>
    <mergeCell ref="P112:P115"/>
    <mergeCell ref="L116:L119"/>
    <mergeCell ref="M116:M119"/>
    <mergeCell ref="N116:N119"/>
    <mergeCell ref="O116:O119"/>
    <mergeCell ref="P116:P119"/>
    <mergeCell ref="L120:L123"/>
    <mergeCell ref="M120:M123"/>
    <mergeCell ref="N120:N123"/>
    <mergeCell ref="O120:O123"/>
    <mergeCell ref="P120:P123"/>
    <mergeCell ref="A116:A119"/>
    <mergeCell ref="B116:B119"/>
    <mergeCell ref="C116:C119"/>
    <mergeCell ref="D116:D119"/>
    <mergeCell ref="E116:E119"/>
    <mergeCell ref="F116:F119"/>
    <mergeCell ref="G116:G119"/>
    <mergeCell ref="J116:J119"/>
    <mergeCell ref="K116:K119"/>
    <mergeCell ref="A112:A115"/>
    <mergeCell ref="B112:B115"/>
    <mergeCell ref="C112:C115"/>
    <mergeCell ref="D112:D115"/>
    <mergeCell ref="E112:E115"/>
    <mergeCell ref="F112:F115"/>
    <mergeCell ref="G112:G115"/>
    <mergeCell ref="J112:J115"/>
    <mergeCell ref="K112:K115"/>
    <mergeCell ref="P102:P105"/>
    <mergeCell ref="B107:P107"/>
    <mergeCell ref="A108:A111"/>
    <mergeCell ref="B108:B111"/>
    <mergeCell ref="C108:C111"/>
    <mergeCell ref="D108:D111"/>
    <mergeCell ref="E108:E111"/>
    <mergeCell ref="F108:F111"/>
    <mergeCell ref="G108:G111"/>
    <mergeCell ref="J108:J111"/>
    <mergeCell ref="K108:K111"/>
    <mergeCell ref="L108:L111"/>
    <mergeCell ref="M108:M111"/>
    <mergeCell ref="N108:N111"/>
    <mergeCell ref="O108:O111"/>
    <mergeCell ref="P108:P111"/>
    <mergeCell ref="A102:A105"/>
    <mergeCell ref="B102:B105"/>
    <mergeCell ref="C102:C105"/>
    <mergeCell ref="D102:D105"/>
    <mergeCell ref="E102:E105"/>
    <mergeCell ref="F102:F105"/>
    <mergeCell ref="G102:G105"/>
    <mergeCell ref="J102:J105"/>
    <mergeCell ref="K102:K105"/>
    <mergeCell ref="L94:L97"/>
    <mergeCell ref="M94:M97"/>
    <mergeCell ref="N94:N97"/>
    <mergeCell ref="O94:O97"/>
    <mergeCell ref="L102:L105"/>
    <mergeCell ref="M102:M105"/>
    <mergeCell ref="N102:N105"/>
    <mergeCell ref="O102:O105"/>
    <mergeCell ref="P94:P97"/>
    <mergeCell ref="A98:A101"/>
    <mergeCell ref="B98:B101"/>
    <mergeCell ref="C98:C101"/>
    <mergeCell ref="D98:D101"/>
    <mergeCell ref="E98:E101"/>
    <mergeCell ref="F98:F101"/>
    <mergeCell ref="G98:G101"/>
    <mergeCell ref="J98:J101"/>
    <mergeCell ref="K98:K101"/>
    <mergeCell ref="L98:L101"/>
    <mergeCell ref="M98:M101"/>
    <mergeCell ref="N98:N101"/>
    <mergeCell ref="O98:O101"/>
    <mergeCell ref="P98:P101"/>
    <mergeCell ref="A94:A97"/>
    <mergeCell ref="B94:B97"/>
    <mergeCell ref="C94:C97"/>
    <mergeCell ref="D94:D97"/>
    <mergeCell ref="E94:E97"/>
    <mergeCell ref="F94:F97"/>
    <mergeCell ref="G94:G97"/>
    <mergeCell ref="J94:J97"/>
    <mergeCell ref="K94:K97"/>
    <mergeCell ref="L90:L93"/>
    <mergeCell ref="M90:M93"/>
    <mergeCell ref="N90:N93"/>
    <mergeCell ref="O90:O93"/>
    <mergeCell ref="P90:P93"/>
    <mergeCell ref="A86:A89"/>
    <mergeCell ref="B86:B89"/>
    <mergeCell ref="C86:C89"/>
    <mergeCell ref="D86:D89"/>
    <mergeCell ref="E86:E89"/>
    <mergeCell ref="A90:A93"/>
    <mergeCell ref="B90:B93"/>
    <mergeCell ref="C90:C93"/>
    <mergeCell ref="D90:D93"/>
    <mergeCell ref="E90:E93"/>
    <mergeCell ref="F90:F93"/>
    <mergeCell ref="G90:G93"/>
    <mergeCell ref="J90:J93"/>
    <mergeCell ref="K90:K93"/>
    <mergeCell ref="F86:F89"/>
    <mergeCell ref="G86:G89"/>
    <mergeCell ref="J86:J89"/>
    <mergeCell ref="K86:K89"/>
    <mergeCell ref="L76:L79"/>
    <mergeCell ref="M76:M79"/>
    <mergeCell ref="N76:N79"/>
    <mergeCell ref="O76:O79"/>
    <mergeCell ref="P76:P79"/>
    <mergeCell ref="B81:P81"/>
    <mergeCell ref="L82:L85"/>
    <mergeCell ref="M82:M85"/>
    <mergeCell ref="N82:N85"/>
    <mergeCell ref="O82:O85"/>
    <mergeCell ref="P82:P85"/>
    <mergeCell ref="L86:L89"/>
    <mergeCell ref="M86:M89"/>
    <mergeCell ref="N86:N89"/>
    <mergeCell ref="O86:O89"/>
    <mergeCell ref="P86:P89"/>
    <mergeCell ref="A82:A85"/>
    <mergeCell ref="B82:B85"/>
    <mergeCell ref="C82:C85"/>
    <mergeCell ref="D82:D85"/>
    <mergeCell ref="E82:E85"/>
    <mergeCell ref="F82:F85"/>
    <mergeCell ref="G82:G85"/>
    <mergeCell ref="J82:J85"/>
    <mergeCell ref="K82:K85"/>
    <mergeCell ref="A76:A79"/>
    <mergeCell ref="B76:B79"/>
    <mergeCell ref="C76:C79"/>
    <mergeCell ref="D76:D79"/>
    <mergeCell ref="E76:E79"/>
    <mergeCell ref="F76:F79"/>
    <mergeCell ref="G76:G79"/>
    <mergeCell ref="J76:J79"/>
    <mergeCell ref="K76:K79"/>
    <mergeCell ref="L72:L75"/>
    <mergeCell ref="M72:M75"/>
    <mergeCell ref="N72:N75"/>
    <mergeCell ref="O72:O75"/>
    <mergeCell ref="P72:P75"/>
    <mergeCell ref="A68:A71"/>
    <mergeCell ref="B68:B71"/>
    <mergeCell ref="C68:C71"/>
    <mergeCell ref="D68:D71"/>
    <mergeCell ref="E68:E71"/>
    <mergeCell ref="A72:A75"/>
    <mergeCell ref="B72:B75"/>
    <mergeCell ref="C72:C75"/>
    <mergeCell ref="D72:D75"/>
    <mergeCell ref="E72:E75"/>
    <mergeCell ref="F72:F75"/>
    <mergeCell ref="G72:G75"/>
    <mergeCell ref="J72:J75"/>
    <mergeCell ref="K72:K75"/>
    <mergeCell ref="F68:F71"/>
    <mergeCell ref="G68:G71"/>
    <mergeCell ref="J68:J71"/>
    <mergeCell ref="K68:K71"/>
    <mergeCell ref="L60:L63"/>
    <mergeCell ref="M60:M63"/>
    <mergeCell ref="N60:N63"/>
    <mergeCell ref="O60:O63"/>
    <mergeCell ref="P60:P63"/>
    <mergeCell ref="L64:L67"/>
    <mergeCell ref="M64:M67"/>
    <mergeCell ref="N64:N67"/>
    <mergeCell ref="O64:O67"/>
    <mergeCell ref="P64:P67"/>
    <mergeCell ref="L68:L71"/>
    <mergeCell ref="M68:M71"/>
    <mergeCell ref="N68:N71"/>
    <mergeCell ref="O68:O71"/>
    <mergeCell ref="P68:P71"/>
    <mergeCell ref="A64:A67"/>
    <mergeCell ref="B64:B67"/>
    <mergeCell ref="C64:C67"/>
    <mergeCell ref="D64:D67"/>
    <mergeCell ref="E64:E67"/>
    <mergeCell ref="F64:F67"/>
    <mergeCell ref="G64:G67"/>
    <mergeCell ref="J64:J67"/>
    <mergeCell ref="K64:K67"/>
    <mergeCell ref="A60:A63"/>
    <mergeCell ref="B60:B63"/>
    <mergeCell ref="C60:C63"/>
    <mergeCell ref="D60:D63"/>
    <mergeCell ref="E60:E63"/>
    <mergeCell ref="F60:F63"/>
    <mergeCell ref="G60:G63"/>
    <mergeCell ref="J60:J63"/>
    <mergeCell ref="K60:K63"/>
    <mergeCell ref="P50:P53"/>
    <mergeCell ref="B55:P55"/>
    <mergeCell ref="A56:A59"/>
    <mergeCell ref="B56:B59"/>
    <mergeCell ref="C56:C59"/>
    <mergeCell ref="D56:D59"/>
    <mergeCell ref="E56:E59"/>
    <mergeCell ref="F56:F59"/>
    <mergeCell ref="G56:G59"/>
    <mergeCell ref="J56:J59"/>
    <mergeCell ref="K56:K59"/>
    <mergeCell ref="L56:L59"/>
    <mergeCell ref="M56:M59"/>
    <mergeCell ref="N56:N59"/>
    <mergeCell ref="O56:O59"/>
    <mergeCell ref="P56:P59"/>
    <mergeCell ref="A50:A53"/>
    <mergeCell ref="B50:B53"/>
    <mergeCell ref="C50:C53"/>
    <mergeCell ref="D50:D53"/>
    <mergeCell ref="E50:E53"/>
    <mergeCell ref="F50:F53"/>
    <mergeCell ref="G50:G53"/>
    <mergeCell ref="J50:J53"/>
    <mergeCell ref="K50:K53"/>
    <mergeCell ref="L42:L45"/>
    <mergeCell ref="M42:M45"/>
    <mergeCell ref="N42:N45"/>
    <mergeCell ref="O42:O45"/>
    <mergeCell ref="L50:L53"/>
    <mergeCell ref="M50:M53"/>
    <mergeCell ref="N50:N53"/>
    <mergeCell ref="O50:O53"/>
    <mergeCell ref="P42:P45"/>
    <mergeCell ref="A46:A49"/>
    <mergeCell ref="B46:B49"/>
    <mergeCell ref="C46:C49"/>
    <mergeCell ref="D46:D49"/>
    <mergeCell ref="E46:E49"/>
    <mergeCell ref="F46:F49"/>
    <mergeCell ref="G46:G49"/>
    <mergeCell ref="J46:J49"/>
    <mergeCell ref="K46:K49"/>
    <mergeCell ref="L46:L49"/>
    <mergeCell ref="M46:M49"/>
    <mergeCell ref="N46:N49"/>
    <mergeCell ref="O46:O49"/>
    <mergeCell ref="P46:P49"/>
    <mergeCell ref="A42:A45"/>
    <mergeCell ref="B42:B45"/>
    <mergeCell ref="C42:C45"/>
    <mergeCell ref="D42:D45"/>
    <mergeCell ref="E42:E45"/>
    <mergeCell ref="F42:F45"/>
    <mergeCell ref="G42:G45"/>
    <mergeCell ref="J42:J45"/>
    <mergeCell ref="K42:K45"/>
    <mergeCell ref="L38:L41"/>
    <mergeCell ref="M38:M41"/>
    <mergeCell ref="N38:N41"/>
    <mergeCell ref="O38:O41"/>
    <mergeCell ref="P38:P41"/>
    <mergeCell ref="A34:A37"/>
    <mergeCell ref="B34:B37"/>
    <mergeCell ref="C34:C37"/>
    <mergeCell ref="D34:D37"/>
    <mergeCell ref="E34:E37"/>
    <mergeCell ref="A38:A41"/>
    <mergeCell ref="B38:B41"/>
    <mergeCell ref="C38:C41"/>
    <mergeCell ref="D38:D41"/>
    <mergeCell ref="E38:E41"/>
    <mergeCell ref="F38:F41"/>
    <mergeCell ref="G38:G41"/>
    <mergeCell ref="J38:J41"/>
    <mergeCell ref="K38:K41"/>
    <mergeCell ref="F34:F37"/>
    <mergeCell ref="G34:G37"/>
    <mergeCell ref="J34:J37"/>
    <mergeCell ref="K34:K37"/>
    <mergeCell ref="L24:L27"/>
    <mergeCell ref="M24:M27"/>
    <mergeCell ref="N24:N27"/>
    <mergeCell ref="O24:O27"/>
    <mergeCell ref="P24:P27"/>
    <mergeCell ref="B29:P29"/>
    <mergeCell ref="L30:L33"/>
    <mergeCell ref="M30:M33"/>
    <mergeCell ref="N30:N33"/>
    <mergeCell ref="O30:O33"/>
    <mergeCell ref="P30:P33"/>
    <mergeCell ref="L34:L37"/>
    <mergeCell ref="M34:M37"/>
    <mergeCell ref="N34:N37"/>
    <mergeCell ref="O34:O37"/>
    <mergeCell ref="P34:P37"/>
    <mergeCell ref="A30:A33"/>
    <mergeCell ref="B30:B33"/>
    <mergeCell ref="C30:C33"/>
    <mergeCell ref="D30:D33"/>
    <mergeCell ref="E30:E33"/>
    <mergeCell ref="F30:F33"/>
    <mergeCell ref="G30:G33"/>
    <mergeCell ref="J30:J33"/>
    <mergeCell ref="K30:K33"/>
    <mergeCell ref="A24:A27"/>
    <mergeCell ref="B24:B27"/>
    <mergeCell ref="C24:C27"/>
    <mergeCell ref="D24:D27"/>
    <mergeCell ref="E24:E27"/>
    <mergeCell ref="F24:F27"/>
    <mergeCell ref="G24:G27"/>
    <mergeCell ref="J24:J27"/>
    <mergeCell ref="K24:K27"/>
    <mergeCell ref="L20:L23"/>
    <mergeCell ref="M20:M23"/>
    <mergeCell ref="N20:N23"/>
    <mergeCell ref="O20:O23"/>
    <mergeCell ref="P20:P23"/>
    <mergeCell ref="A16:A19"/>
    <mergeCell ref="B16:B19"/>
    <mergeCell ref="C16:C19"/>
    <mergeCell ref="D16:D19"/>
    <mergeCell ref="E16:E19"/>
    <mergeCell ref="A20:A23"/>
    <mergeCell ref="B20:B23"/>
    <mergeCell ref="C20:C23"/>
    <mergeCell ref="D20:D23"/>
    <mergeCell ref="E20:E23"/>
    <mergeCell ref="F20:F23"/>
    <mergeCell ref="G20:G23"/>
    <mergeCell ref="J20:J23"/>
    <mergeCell ref="K20:K23"/>
    <mergeCell ref="F16:F19"/>
    <mergeCell ref="G16:G19"/>
    <mergeCell ref="J16:J19"/>
    <mergeCell ref="K16:K19"/>
    <mergeCell ref="L8:L11"/>
    <mergeCell ref="M8:M11"/>
    <mergeCell ref="N8:N11"/>
    <mergeCell ref="O8:O11"/>
    <mergeCell ref="P8:P11"/>
    <mergeCell ref="L12:L15"/>
    <mergeCell ref="M12:M15"/>
    <mergeCell ref="N12:N15"/>
    <mergeCell ref="O12:O15"/>
    <mergeCell ref="P12:P15"/>
    <mergeCell ref="L16:L19"/>
    <mergeCell ref="M16:M19"/>
    <mergeCell ref="N16:N19"/>
    <mergeCell ref="O16:O19"/>
    <mergeCell ref="P16:P19"/>
    <mergeCell ref="A12:A15"/>
    <mergeCell ref="B12:B15"/>
    <mergeCell ref="C12:C15"/>
    <mergeCell ref="D12:D15"/>
    <mergeCell ref="E12:E15"/>
    <mergeCell ref="F12:F15"/>
    <mergeCell ref="G12:G15"/>
    <mergeCell ref="J12:J15"/>
    <mergeCell ref="K12:K15"/>
    <mergeCell ref="A8:A11"/>
    <mergeCell ref="B8:B11"/>
    <mergeCell ref="C8:C11"/>
    <mergeCell ref="D8:D11"/>
    <mergeCell ref="E8:E11"/>
    <mergeCell ref="F8:F11"/>
    <mergeCell ref="G8:G11"/>
    <mergeCell ref="J8:J11"/>
    <mergeCell ref="K8:K11"/>
    <mergeCell ref="A1:P1"/>
    <mergeCell ref="B2:P2"/>
    <mergeCell ref="H3:I3"/>
    <mergeCell ref="A4:A7"/>
    <mergeCell ref="B4:B7"/>
    <mergeCell ref="C4:C7"/>
    <mergeCell ref="D4:D7"/>
    <mergeCell ref="E4:E7"/>
    <mergeCell ref="F4:F7"/>
    <mergeCell ref="G4:G7"/>
    <mergeCell ref="J4:J7"/>
    <mergeCell ref="K4:K7"/>
    <mergeCell ref="L4:L7"/>
    <mergeCell ref="M4:M7"/>
    <mergeCell ref="N4:N7"/>
    <mergeCell ref="O4:O7"/>
    <mergeCell ref="P4:P7"/>
  </mergeCells>
  <dataValidations count="2">
    <dataValidation type="list" allowBlank="1" showInputMessage="1" showErrorMessage="1" sqref="G4:G27 G30:G53 G56:G79 G82:G105 G108:G131" xr:uid="{00000000-0002-0000-0C00-000000000000}">
      <formula1>"RHEL,Windows Server,Oracle Linux,Ubuntu,Debian"</formula1>
      <formula2>0</formula2>
    </dataValidation>
    <dataValidation type="list" allowBlank="1" showInputMessage="1" showErrorMessage="1" sqref="C4:C27 C30:C53 C56:C79 C82:C105 C108:C131" xr:uid="{00000000-0002-0000-0C00-000001000000}">
      <formula1>"ON PREM,AWS,AZURE,EXACC"</formula1>
      <formula2>0</formula2>
    </dataValidation>
  </dataValidations>
  <hyperlinks>
    <hyperlink ref="H6" r:id="rId1" display="file:///H:/backup" xr:uid="{00000000-0004-0000-0C00-000000000000}"/>
    <hyperlink ref="H7" r:id="rId2" display="file:///G:/log" xr:uid="{00000000-0004-0000-0C00-000001000000}"/>
    <hyperlink ref="H10" r:id="rId3" display="file:///H:/backup" xr:uid="{00000000-0004-0000-0C00-000002000000}"/>
    <hyperlink ref="H11" r:id="rId4" display="file:///G:/log" xr:uid="{00000000-0004-0000-0C00-000003000000}"/>
    <hyperlink ref="H14" r:id="rId5" display="file:///H:/backup" xr:uid="{00000000-0004-0000-0C00-000004000000}"/>
    <hyperlink ref="H15" r:id="rId6" display="file:///G:/log" xr:uid="{00000000-0004-0000-0C00-000005000000}"/>
    <hyperlink ref="H18" r:id="rId7" display="file:///H:/backup" xr:uid="{00000000-0004-0000-0C00-000006000000}"/>
    <hyperlink ref="H19" r:id="rId8" display="file:///G:/log" xr:uid="{00000000-0004-0000-0C00-000007000000}"/>
    <hyperlink ref="H22" r:id="rId9" display="file:///H:/backup" xr:uid="{00000000-0004-0000-0C00-000008000000}"/>
    <hyperlink ref="H23" r:id="rId10" display="file:///G:/log" xr:uid="{00000000-0004-0000-0C00-000009000000}"/>
    <hyperlink ref="H26" r:id="rId11" display="file:///H:/backup" xr:uid="{00000000-0004-0000-0C00-00000A000000}"/>
    <hyperlink ref="H27" r:id="rId12" display="file:///G:/log" xr:uid="{00000000-0004-0000-0C00-00000B000000}"/>
    <hyperlink ref="H32" r:id="rId13" display="file:///H:/backup" xr:uid="{00000000-0004-0000-0C00-00000C000000}"/>
    <hyperlink ref="H33" r:id="rId14" display="file:///G:/log" xr:uid="{00000000-0004-0000-0C00-00000D000000}"/>
    <hyperlink ref="H36" r:id="rId15" display="file:///H:/backup" xr:uid="{00000000-0004-0000-0C00-00000E000000}"/>
    <hyperlink ref="H37" r:id="rId16" display="file:///G:/log" xr:uid="{00000000-0004-0000-0C00-00000F000000}"/>
    <hyperlink ref="H40" r:id="rId17" display="file:///H:/backup" xr:uid="{00000000-0004-0000-0C00-000010000000}"/>
    <hyperlink ref="H41" r:id="rId18" display="file:///G:/log" xr:uid="{00000000-0004-0000-0C00-000011000000}"/>
    <hyperlink ref="H44" r:id="rId19" display="file:///H:/backup" xr:uid="{00000000-0004-0000-0C00-000012000000}"/>
    <hyperlink ref="H45" r:id="rId20" display="file:///G:/log" xr:uid="{00000000-0004-0000-0C00-000013000000}"/>
    <hyperlink ref="H48" r:id="rId21" display="file:///H:/backup" xr:uid="{00000000-0004-0000-0C00-000014000000}"/>
    <hyperlink ref="H49" r:id="rId22" display="file:///G:/log" xr:uid="{00000000-0004-0000-0C00-000015000000}"/>
    <hyperlink ref="H52" r:id="rId23" display="file:///H:/backup" xr:uid="{00000000-0004-0000-0C00-000016000000}"/>
    <hyperlink ref="H53" r:id="rId24" display="file:///G:/log" xr:uid="{00000000-0004-0000-0C00-000017000000}"/>
    <hyperlink ref="H58" r:id="rId25" display="file:///H:/backup" xr:uid="{00000000-0004-0000-0C00-000018000000}"/>
    <hyperlink ref="H59" r:id="rId26" display="file:///G:/log" xr:uid="{00000000-0004-0000-0C00-000019000000}"/>
    <hyperlink ref="H62" r:id="rId27" display="file:///H:/backup" xr:uid="{00000000-0004-0000-0C00-00001A000000}"/>
    <hyperlink ref="H63" r:id="rId28" display="file:///G:/log" xr:uid="{00000000-0004-0000-0C00-00001B000000}"/>
    <hyperlink ref="H66" r:id="rId29" display="file:///H:/backup" xr:uid="{00000000-0004-0000-0C00-00001C000000}"/>
    <hyperlink ref="H67" r:id="rId30" display="file:///G:/log" xr:uid="{00000000-0004-0000-0C00-00001D000000}"/>
    <hyperlink ref="H70" r:id="rId31" display="file:///H:/backup" xr:uid="{00000000-0004-0000-0C00-00001E000000}"/>
    <hyperlink ref="H71" r:id="rId32" display="file:///G:/log" xr:uid="{00000000-0004-0000-0C00-00001F000000}"/>
    <hyperlink ref="H74" r:id="rId33" display="file:///H:/backup" xr:uid="{00000000-0004-0000-0C00-000020000000}"/>
    <hyperlink ref="H75" r:id="rId34" display="file:///G:/log" xr:uid="{00000000-0004-0000-0C00-000021000000}"/>
    <hyperlink ref="H78" r:id="rId35" display="file:///H:/backup" xr:uid="{00000000-0004-0000-0C00-000022000000}"/>
    <hyperlink ref="H79" r:id="rId36" display="file:///G:/log" xr:uid="{00000000-0004-0000-0C00-000023000000}"/>
    <hyperlink ref="H84" r:id="rId37" display="file:///H:/backup" xr:uid="{00000000-0004-0000-0C00-000024000000}"/>
    <hyperlink ref="H85" r:id="rId38" display="file:///G:/log" xr:uid="{00000000-0004-0000-0C00-000025000000}"/>
    <hyperlink ref="H88" r:id="rId39" display="file:///H:/backup" xr:uid="{00000000-0004-0000-0C00-000026000000}"/>
    <hyperlink ref="H89" r:id="rId40" display="file:///G:/log" xr:uid="{00000000-0004-0000-0C00-000027000000}"/>
    <hyperlink ref="H92" r:id="rId41" display="file:///H:/backup" xr:uid="{00000000-0004-0000-0C00-000028000000}"/>
    <hyperlink ref="H93" r:id="rId42" display="file:///G:/log" xr:uid="{00000000-0004-0000-0C00-000029000000}"/>
    <hyperlink ref="H96" r:id="rId43" display="file:///H:/backup" xr:uid="{00000000-0004-0000-0C00-00002A000000}"/>
    <hyperlink ref="H97" r:id="rId44" display="file:///G:/log" xr:uid="{00000000-0004-0000-0C00-00002B000000}"/>
    <hyperlink ref="H100" r:id="rId45" display="file:///H:/backup" xr:uid="{00000000-0004-0000-0C00-00002C000000}"/>
    <hyperlink ref="H101" r:id="rId46" display="file:///G:/log" xr:uid="{00000000-0004-0000-0C00-00002D000000}"/>
    <hyperlink ref="H104" r:id="rId47" display="file:///H:/backup" xr:uid="{00000000-0004-0000-0C00-00002E000000}"/>
    <hyperlink ref="H105" r:id="rId48" display="file:///G:/log" xr:uid="{00000000-0004-0000-0C00-00002F000000}"/>
    <hyperlink ref="H110" r:id="rId49" display="file:///H:/backup" xr:uid="{00000000-0004-0000-0C00-000030000000}"/>
    <hyperlink ref="H111" r:id="rId50" display="file:///G:/log" xr:uid="{00000000-0004-0000-0C00-000031000000}"/>
    <hyperlink ref="H114" r:id="rId51" display="file:///H:/backup" xr:uid="{00000000-0004-0000-0C00-000032000000}"/>
    <hyperlink ref="H115" r:id="rId52" display="file:///G:/log" xr:uid="{00000000-0004-0000-0C00-000033000000}"/>
    <hyperlink ref="H118" r:id="rId53" display="file:///H:/backup" xr:uid="{00000000-0004-0000-0C00-000034000000}"/>
    <hyperlink ref="H119" r:id="rId54" display="file:///G:/log" xr:uid="{00000000-0004-0000-0C00-000035000000}"/>
    <hyperlink ref="H122" r:id="rId55" display="file:///H:/backup" xr:uid="{00000000-0004-0000-0C00-000036000000}"/>
    <hyperlink ref="H123" r:id="rId56" display="file:///G:/log" xr:uid="{00000000-0004-0000-0C00-000037000000}"/>
    <hyperlink ref="H126" r:id="rId57" display="file:///H:/backup" xr:uid="{00000000-0004-0000-0C00-000038000000}"/>
    <hyperlink ref="H127" r:id="rId58" display="file:///G:/log" xr:uid="{00000000-0004-0000-0C00-000039000000}"/>
    <hyperlink ref="H130" r:id="rId59" display="file:///H:/backup" xr:uid="{00000000-0004-0000-0C00-00003A000000}"/>
    <hyperlink ref="H131" r:id="rId60" display="file:///G:/log" xr:uid="{00000000-0004-0000-0C00-00003B000000}"/>
  </hyperlinks>
  <pageMargins left="0.7" right="0.7" top="0.75" bottom="0.75"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4472C4"/>
  </sheetPr>
  <dimension ref="A1:AMK132"/>
  <sheetViews>
    <sheetView zoomScale="45" zoomScaleNormal="45" workbookViewId="0">
      <selection activeCell="M16" sqref="M16"/>
    </sheetView>
  </sheetViews>
  <sheetFormatPr defaultColWidth="0" defaultRowHeight="13.5"/>
  <cols>
    <col min="1" max="1" width="37.42578125" style="142" customWidth="1"/>
    <col min="2" max="3" width="22.42578125" style="142" customWidth="1"/>
    <col min="4" max="4" width="17.42578125" style="142" customWidth="1"/>
    <col min="5" max="5" width="10.42578125" style="142" customWidth="1"/>
    <col min="6" max="6" width="13.42578125" style="142" customWidth="1"/>
    <col min="7" max="8" width="21.5703125" style="142" customWidth="1"/>
    <col min="9" max="9" width="17.42578125" style="142" customWidth="1"/>
    <col min="10" max="10" width="15.42578125" style="142" customWidth="1"/>
    <col min="11" max="11" width="15.5703125" style="143" customWidth="1"/>
    <col min="12" max="14" width="19.5703125" style="143" customWidth="1"/>
    <col min="15" max="15" width="13.5703125" style="143" customWidth="1"/>
    <col min="16" max="16" width="14.5703125" style="143" customWidth="1"/>
    <col min="17" max="1025" width="8.5703125" style="50" hidden="1" customWidth="1"/>
    <col min="1026" max="16384" width="8.5703125" style="23" hidden="1"/>
  </cols>
  <sheetData>
    <row r="1" spans="1:16" ht="25.5" customHeight="1">
      <c r="A1" s="257" t="s">
        <v>292</v>
      </c>
      <c r="B1" s="257"/>
      <c r="C1" s="257"/>
      <c r="D1" s="257"/>
      <c r="E1" s="257"/>
      <c r="F1" s="257"/>
      <c r="G1" s="257"/>
      <c r="H1" s="257"/>
      <c r="I1" s="257"/>
      <c r="J1" s="257"/>
      <c r="K1" s="257"/>
      <c r="L1" s="257"/>
      <c r="M1" s="257"/>
      <c r="N1" s="257"/>
      <c r="O1" s="257"/>
      <c r="P1" s="257"/>
    </row>
    <row r="2" spans="1:16" s="129" customFormat="1">
      <c r="A2" s="144" t="s">
        <v>272</v>
      </c>
      <c r="B2" s="301"/>
      <c r="C2" s="301"/>
      <c r="D2" s="301"/>
      <c r="E2" s="301"/>
      <c r="F2" s="301"/>
      <c r="G2" s="301"/>
      <c r="H2" s="301"/>
      <c r="I2" s="301"/>
      <c r="J2" s="301"/>
      <c r="K2" s="301"/>
      <c r="L2" s="301"/>
      <c r="M2" s="301"/>
      <c r="N2" s="301"/>
      <c r="O2" s="301"/>
      <c r="P2" s="301"/>
    </row>
    <row r="3" spans="1:16" ht="25.5" customHeight="1">
      <c r="A3" s="65" t="s">
        <v>12</v>
      </c>
      <c r="B3" s="65" t="s">
        <v>246</v>
      </c>
      <c r="C3" s="88" t="s">
        <v>273</v>
      </c>
      <c r="D3" s="145" t="s">
        <v>274</v>
      </c>
      <c r="E3" s="65" t="s">
        <v>99</v>
      </c>
      <c r="F3" s="65" t="s">
        <v>100</v>
      </c>
      <c r="G3" s="65" t="s">
        <v>275</v>
      </c>
      <c r="H3" s="293" t="s">
        <v>276</v>
      </c>
      <c r="I3" s="293"/>
      <c r="J3" s="65" t="s">
        <v>277</v>
      </c>
      <c r="K3" s="114" t="s">
        <v>278</v>
      </c>
      <c r="L3" s="114" t="s">
        <v>247</v>
      </c>
      <c r="M3" s="114" t="s">
        <v>279</v>
      </c>
      <c r="N3" s="114" t="s">
        <v>280</v>
      </c>
      <c r="O3" s="114" t="s">
        <v>281</v>
      </c>
      <c r="P3" s="114" t="s">
        <v>250</v>
      </c>
    </row>
    <row r="4" spans="1:16" s="147" customFormat="1" ht="12" customHeight="1">
      <c r="A4" s="294"/>
      <c r="B4" s="290">
        <f>((12*5*4)/(24*7*4))*730</f>
        <v>260.71428571428572</v>
      </c>
      <c r="C4" s="294" t="s">
        <v>286</v>
      </c>
      <c r="D4" s="295"/>
      <c r="E4" s="295"/>
      <c r="F4" s="295"/>
      <c r="G4" s="294" t="s">
        <v>293</v>
      </c>
      <c r="H4" s="32" t="str">
        <f>IF(G4="Windows Server", "C:\", "/")</f>
        <v>/</v>
      </c>
      <c r="I4" s="146">
        <f>IF(G4="Windows Server", 150, 20)</f>
        <v>20</v>
      </c>
      <c r="J4" s="296">
        <f>SUM(I4:I7)</f>
        <v>50</v>
      </c>
      <c r="K4" s="297">
        <f>J4 *(IF(C4="AZURE", SUMMARY!C$20, SUMMARY!C$21))</f>
        <v>4.8</v>
      </c>
      <c r="L4" s="298"/>
      <c r="M4" s="299">
        <f>IF(C4="ON PREM", 0, SUMMARY!C$25%)</f>
        <v>0.12</v>
      </c>
      <c r="N4" s="299">
        <f>IF(C4="AWS",SUMMARY!C$26%, 0)</f>
        <v>0</v>
      </c>
      <c r="O4" s="300">
        <f>((SUM(K4:L4))-((SUM(K4:L4))*N4))*(1 + M4)</f>
        <v>5.3760000000000003</v>
      </c>
      <c r="P4" s="300">
        <f>O4*12</f>
        <v>64.512</v>
      </c>
    </row>
    <row r="5" spans="1:16" s="147" customFormat="1" ht="12" customHeight="1">
      <c r="A5" s="294"/>
      <c r="B5" s="294"/>
      <c r="C5" s="294"/>
      <c r="D5" s="295"/>
      <c r="E5" s="295"/>
      <c r="F5" s="295"/>
      <c r="G5" s="294"/>
      <c r="H5" s="148" t="str">
        <f>IF(G4="Windows Server", "F:\appdir", "/appdir")</f>
        <v>/appdir</v>
      </c>
      <c r="I5" s="149"/>
      <c r="J5" s="296"/>
      <c r="K5" s="296"/>
      <c r="L5" s="296"/>
      <c r="M5" s="296"/>
      <c r="N5" s="296"/>
      <c r="O5" s="296"/>
      <c r="P5" s="296"/>
    </row>
    <row r="6" spans="1:16" s="147" customFormat="1" ht="12" customHeight="1">
      <c r="A6" s="294"/>
      <c r="B6" s="294"/>
      <c r="C6" s="294"/>
      <c r="D6" s="295"/>
      <c r="E6" s="295"/>
      <c r="F6" s="295"/>
      <c r="G6" s="294"/>
      <c r="H6" s="32" t="str">
        <f>IF(G4="Windows Server", "G:\Log", "/var/log")</f>
        <v>/var/log</v>
      </c>
      <c r="I6" s="146">
        <f>IF(G4="Windows Server", 50, 20)</f>
        <v>20</v>
      </c>
      <c r="J6" s="296"/>
      <c r="K6" s="296"/>
      <c r="L6" s="296"/>
      <c r="M6" s="296"/>
      <c r="N6" s="296"/>
      <c r="O6" s="296"/>
      <c r="P6" s="296"/>
    </row>
    <row r="7" spans="1:16" s="147" customFormat="1" ht="12" customHeight="1">
      <c r="A7" s="294"/>
      <c r="B7" s="294"/>
      <c r="C7" s="294"/>
      <c r="D7" s="295"/>
      <c r="E7" s="295"/>
      <c r="F7" s="295"/>
      <c r="G7" s="294"/>
      <c r="H7" s="32" t="str">
        <f>IF(G4="Windows Server", "H:\Backup", "/backup")</f>
        <v>/backup</v>
      </c>
      <c r="I7" s="146">
        <f>IF(G4="Windows Server", 100, 10)</f>
        <v>10</v>
      </c>
      <c r="J7" s="296"/>
      <c r="K7" s="296"/>
      <c r="L7" s="296"/>
      <c r="M7" s="296"/>
      <c r="N7" s="296"/>
      <c r="O7" s="296"/>
      <c r="P7" s="296"/>
    </row>
    <row r="8" spans="1:16" s="147" customFormat="1" ht="12" customHeight="1">
      <c r="A8" s="294"/>
      <c r="B8" s="290">
        <f>((12*5*4)/(24*7*4))*730</f>
        <v>260.71428571428572</v>
      </c>
      <c r="C8" s="294" t="s">
        <v>288</v>
      </c>
      <c r="D8" s="295"/>
      <c r="E8" s="295"/>
      <c r="F8" s="295"/>
      <c r="G8" s="294" t="s">
        <v>287</v>
      </c>
      <c r="H8" s="32" t="str">
        <f>IF(G8="Windows Server", "C:\", "/")</f>
        <v>/</v>
      </c>
      <c r="I8" s="146">
        <f>IF(G8="Windows Server", 150, 20)</f>
        <v>20</v>
      </c>
      <c r="J8" s="296">
        <f>SUM(I8:I11)</f>
        <v>50</v>
      </c>
      <c r="K8" s="297">
        <f>J8 *(IF(C8="AZURE", SUMMARY!C$20, SUMMARY!C$21))</f>
        <v>4.8</v>
      </c>
      <c r="L8" s="298"/>
      <c r="M8" s="299">
        <f>IF(C8="ON PREM", 0, SUMMARY!C$25%)</f>
        <v>0</v>
      </c>
      <c r="N8" s="299">
        <f>IF(C8="AWS",SUMMARY!C$26%, 0)</f>
        <v>0</v>
      </c>
      <c r="O8" s="300">
        <f>((SUM(K8:L8))-((SUM(K8:L8))*N8))*(1 + M8)</f>
        <v>4.8</v>
      </c>
      <c r="P8" s="300">
        <f>O8*12</f>
        <v>57.599999999999994</v>
      </c>
    </row>
    <row r="9" spans="1:16" s="147" customFormat="1" ht="12" customHeight="1">
      <c r="A9" s="294"/>
      <c r="B9" s="294"/>
      <c r="C9" s="294"/>
      <c r="D9" s="295"/>
      <c r="E9" s="295"/>
      <c r="F9" s="295"/>
      <c r="G9" s="294"/>
      <c r="H9" s="148" t="str">
        <f>IF(G8="Windows Server", "F:\appdir", "/appdir")</f>
        <v>/appdir</v>
      </c>
      <c r="I9" s="149"/>
      <c r="J9" s="296"/>
      <c r="K9" s="296"/>
      <c r="L9" s="296"/>
      <c r="M9" s="296"/>
      <c r="N9" s="296"/>
      <c r="O9" s="296"/>
      <c r="P9" s="296"/>
    </row>
    <row r="10" spans="1:16" s="147" customFormat="1" ht="12" customHeight="1">
      <c r="A10" s="294"/>
      <c r="B10" s="294"/>
      <c r="C10" s="294"/>
      <c r="D10" s="295"/>
      <c r="E10" s="295"/>
      <c r="F10" s="295"/>
      <c r="G10" s="294"/>
      <c r="H10" s="32" t="str">
        <f>IF(G8="Windows Server", "G:\Log", "/var/log")</f>
        <v>/var/log</v>
      </c>
      <c r="I10" s="146">
        <f>IF(G8="Windows Server", 50, 20)</f>
        <v>20</v>
      </c>
      <c r="J10" s="296"/>
      <c r="K10" s="296"/>
      <c r="L10" s="296"/>
      <c r="M10" s="296"/>
      <c r="N10" s="296"/>
      <c r="O10" s="296"/>
      <c r="P10" s="296"/>
    </row>
    <row r="11" spans="1:16" s="147" customFormat="1" ht="12" customHeight="1">
      <c r="A11" s="294"/>
      <c r="B11" s="294"/>
      <c r="C11" s="294"/>
      <c r="D11" s="295"/>
      <c r="E11" s="295"/>
      <c r="F11" s="295"/>
      <c r="G11" s="294"/>
      <c r="H11" s="32" t="str">
        <f>IF(G8="Windows Server", "H:\Backup", "/backup")</f>
        <v>/backup</v>
      </c>
      <c r="I11" s="146">
        <f>IF(G8="Windows Server", 100, 10)</f>
        <v>10</v>
      </c>
      <c r="J11" s="296"/>
      <c r="K11" s="296"/>
      <c r="L11" s="296"/>
      <c r="M11" s="296"/>
      <c r="N11" s="296"/>
      <c r="O11" s="296"/>
      <c r="P11" s="296"/>
    </row>
    <row r="12" spans="1:16" s="147" customFormat="1" ht="12" customHeight="1">
      <c r="A12" s="294"/>
      <c r="B12" s="290">
        <f>((12*5*4)/(24*7*4))*730</f>
        <v>260.71428571428572</v>
      </c>
      <c r="C12" s="294" t="s">
        <v>286</v>
      </c>
      <c r="D12" s="295"/>
      <c r="E12" s="295"/>
      <c r="F12" s="295"/>
      <c r="G12" s="294" t="s">
        <v>294</v>
      </c>
      <c r="H12" s="32" t="str">
        <f>IF(G12="Windows Server", "C:\", "/")</f>
        <v>/</v>
      </c>
      <c r="I12" s="146">
        <f>IF(G12="Windows Server", 150, 20)</f>
        <v>20</v>
      </c>
      <c r="J12" s="296">
        <f>SUM(I12:I15)</f>
        <v>50</v>
      </c>
      <c r="K12" s="297">
        <f>J12 *(IF(C12="AZURE", SUMMARY!C$20, SUMMARY!C$21))</f>
        <v>4.8</v>
      </c>
      <c r="L12" s="298"/>
      <c r="M12" s="299">
        <f>IF(C12="ON PREM", 0, SUMMARY!C$25%)</f>
        <v>0.12</v>
      </c>
      <c r="N12" s="299">
        <f>IF(C12="AWS",SUMMARY!C$26%, 0)</f>
        <v>0</v>
      </c>
      <c r="O12" s="300">
        <f>((SUM(K12:L12))-((SUM(K12:L12))*N12))*(1 + M12)</f>
        <v>5.3760000000000003</v>
      </c>
      <c r="P12" s="300">
        <f>O12*12</f>
        <v>64.512</v>
      </c>
    </row>
    <row r="13" spans="1:16" s="147" customFormat="1" ht="12" customHeight="1">
      <c r="A13" s="294"/>
      <c r="B13" s="294"/>
      <c r="C13" s="294"/>
      <c r="D13" s="295"/>
      <c r="E13" s="295"/>
      <c r="F13" s="295"/>
      <c r="G13" s="294"/>
      <c r="H13" s="148" t="str">
        <f>IF(G12="Windows Server", "F:\appdir", "/appdir")</f>
        <v>/appdir</v>
      </c>
      <c r="I13" s="149"/>
      <c r="J13" s="296"/>
      <c r="K13" s="296"/>
      <c r="L13" s="296"/>
      <c r="M13" s="296"/>
      <c r="N13" s="296"/>
      <c r="O13" s="296"/>
      <c r="P13" s="296"/>
    </row>
    <row r="14" spans="1:16" s="147" customFormat="1" ht="12" customHeight="1">
      <c r="A14" s="294"/>
      <c r="B14" s="294"/>
      <c r="C14" s="294"/>
      <c r="D14" s="295"/>
      <c r="E14" s="295"/>
      <c r="F14" s="295"/>
      <c r="G14" s="294"/>
      <c r="H14" s="32" t="str">
        <f>IF(G12="Windows Server", "G:\Log", "/var/log")</f>
        <v>/var/log</v>
      </c>
      <c r="I14" s="146">
        <f>IF(G12="Windows Server", 50, 20)</f>
        <v>20</v>
      </c>
      <c r="J14" s="296"/>
      <c r="K14" s="296"/>
      <c r="L14" s="296"/>
      <c r="M14" s="296"/>
      <c r="N14" s="296"/>
      <c r="O14" s="296"/>
      <c r="P14" s="296"/>
    </row>
    <row r="15" spans="1:16" s="147" customFormat="1" ht="12" customHeight="1">
      <c r="A15" s="294"/>
      <c r="B15" s="294"/>
      <c r="C15" s="294"/>
      <c r="D15" s="295"/>
      <c r="E15" s="295"/>
      <c r="F15" s="295"/>
      <c r="G15" s="294"/>
      <c r="H15" s="32" t="str">
        <f>IF(G12="Windows Server", "H:\Backup", "/backup")</f>
        <v>/backup</v>
      </c>
      <c r="I15" s="146">
        <f>IF(G12="Windows Server", 100, 10)</f>
        <v>10</v>
      </c>
      <c r="J15" s="296"/>
      <c r="K15" s="296"/>
      <c r="L15" s="296"/>
      <c r="M15" s="296"/>
      <c r="N15" s="296"/>
      <c r="O15" s="296"/>
      <c r="P15" s="296"/>
    </row>
    <row r="16" spans="1:16" s="147" customFormat="1" ht="12" customHeight="1">
      <c r="A16" s="294"/>
      <c r="B16" s="290">
        <f>((12*5*4)/(24*7*4))*730</f>
        <v>260.71428571428572</v>
      </c>
      <c r="C16" s="294" t="s">
        <v>286</v>
      </c>
      <c r="D16" s="295"/>
      <c r="E16" s="295"/>
      <c r="F16" s="295"/>
      <c r="G16" s="294" t="s">
        <v>294</v>
      </c>
      <c r="H16" s="32" t="str">
        <f>IF(G16="Windows Server", "C:\", "/")</f>
        <v>/</v>
      </c>
      <c r="I16" s="146">
        <f>IF(G16="Windows Server", 150, 20)</f>
        <v>20</v>
      </c>
      <c r="J16" s="296">
        <f>SUM(I16:I19)</f>
        <v>50</v>
      </c>
      <c r="K16" s="297">
        <f>J16 *(IF(C16="AZURE", SUMMARY!C$20, SUMMARY!C$21))</f>
        <v>4.8</v>
      </c>
      <c r="L16" s="298"/>
      <c r="M16" s="299">
        <f>IF(C16="ON PREM", 0, SUMMARY!C$25%)</f>
        <v>0.12</v>
      </c>
      <c r="N16" s="299">
        <f>IF(C16="AWS",SUMMARY!C$26%, 0)</f>
        <v>0</v>
      </c>
      <c r="O16" s="300">
        <f>((SUM(K16:L16))-((SUM(K16:L16))*N16))*(1 + M16)</f>
        <v>5.3760000000000003</v>
      </c>
      <c r="P16" s="300">
        <f>O16*12</f>
        <v>64.512</v>
      </c>
    </row>
    <row r="17" spans="1:16" s="147" customFormat="1" ht="12" customHeight="1">
      <c r="A17" s="294"/>
      <c r="B17" s="294"/>
      <c r="C17" s="294"/>
      <c r="D17" s="295"/>
      <c r="E17" s="295"/>
      <c r="F17" s="295"/>
      <c r="G17" s="294"/>
      <c r="H17" s="148" t="str">
        <f>IF(G16="Windows Server", "F:\appdir", "/appdir")</f>
        <v>/appdir</v>
      </c>
      <c r="I17" s="149"/>
      <c r="J17" s="296"/>
      <c r="K17" s="296"/>
      <c r="L17" s="296"/>
      <c r="M17" s="296"/>
      <c r="N17" s="296"/>
      <c r="O17" s="296"/>
      <c r="P17" s="296"/>
    </row>
    <row r="18" spans="1:16" s="147" customFormat="1" ht="12" customHeight="1">
      <c r="A18" s="294"/>
      <c r="B18" s="294"/>
      <c r="C18" s="294"/>
      <c r="D18" s="295"/>
      <c r="E18" s="295"/>
      <c r="F18" s="295"/>
      <c r="G18" s="294"/>
      <c r="H18" s="32" t="str">
        <f>IF(G16="Windows Server", "G:\Log", "/var/log")</f>
        <v>/var/log</v>
      </c>
      <c r="I18" s="146">
        <f>IF(G16="Windows Server", 50, 20)</f>
        <v>20</v>
      </c>
      <c r="J18" s="296"/>
      <c r="K18" s="296"/>
      <c r="L18" s="296"/>
      <c r="M18" s="296"/>
      <c r="N18" s="296"/>
      <c r="O18" s="296"/>
      <c r="P18" s="296"/>
    </row>
    <row r="19" spans="1:16" s="147" customFormat="1" ht="12" customHeight="1">
      <c r="A19" s="294"/>
      <c r="B19" s="294"/>
      <c r="C19" s="294"/>
      <c r="D19" s="295"/>
      <c r="E19" s="295"/>
      <c r="F19" s="295"/>
      <c r="G19" s="294"/>
      <c r="H19" s="32" t="str">
        <f>IF(G16="Windows Server", "H:\Backup", "/backup")</f>
        <v>/backup</v>
      </c>
      <c r="I19" s="146">
        <f>IF(G16="Windows Server", 100, 10)</f>
        <v>10</v>
      </c>
      <c r="J19" s="296"/>
      <c r="K19" s="296"/>
      <c r="L19" s="296"/>
      <c r="M19" s="296"/>
      <c r="N19" s="296"/>
      <c r="O19" s="296"/>
      <c r="P19" s="296"/>
    </row>
    <row r="20" spans="1:16" s="147" customFormat="1" ht="12" customHeight="1">
      <c r="A20" s="294"/>
      <c r="B20" s="290">
        <f>((12*5*4)/(24*7*4))*730</f>
        <v>260.71428571428572</v>
      </c>
      <c r="C20" s="294" t="s">
        <v>286</v>
      </c>
      <c r="D20" s="295"/>
      <c r="E20" s="295"/>
      <c r="F20" s="295"/>
      <c r="G20" s="294" t="s">
        <v>293</v>
      </c>
      <c r="H20" s="32" t="str">
        <f>IF(G20="Windows Server", "C:\", "/")</f>
        <v>/</v>
      </c>
      <c r="I20" s="146">
        <f>IF(G20="Windows Server", 150, 20)</f>
        <v>20</v>
      </c>
      <c r="J20" s="296">
        <f>SUM(I20:I23)</f>
        <v>50</v>
      </c>
      <c r="K20" s="297">
        <f>J20 *(IF(C20="AZURE", SUMMARY!C$20, SUMMARY!C$21))</f>
        <v>4.8</v>
      </c>
      <c r="L20" s="298"/>
      <c r="M20" s="299">
        <f>IF(C20="ON PREM", 0, SUMMARY!C$25%)</f>
        <v>0.12</v>
      </c>
      <c r="N20" s="299">
        <f>IF(C20="AWS",SUMMARY!C$26%, 0)</f>
        <v>0</v>
      </c>
      <c r="O20" s="300">
        <f>((SUM(K20:L20))-((SUM(K20:L20))*N20))*(1 + M20)</f>
        <v>5.3760000000000003</v>
      </c>
      <c r="P20" s="300">
        <f>O20*12</f>
        <v>64.512</v>
      </c>
    </row>
    <row r="21" spans="1:16" s="147" customFormat="1" ht="12" customHeight="1">
      <c r="A21" s="294"/>
      <c r="B21" s="294"/>
      <c r="C21" s="294"/>
      <c r="D21" s="295"/>
      <c r="E21" s="295"/>
      <c r="F21" s="295"/>
      <c r="G21" s="294"/>
      <c r="H21" s="148" t="str">
        <f>IF(G20="Windows Server", "F:\appdir", "/appdir")</f>
        <v>/appdir</v>
      </c>
      <c r="I21" s="149"/>
      <c r="J21" s="296"/>
      <c r="K21" s="296"/>
      <c r="L21" s="296"/>
      <c r="M21" s="296"/>
      <c r="N21" s="296"/>
      <c r="O21" s="296"/>
      <c r="P21" s="296"/>
    </row>
    <row r="22" spans="1:16" s="147" customFormat="1" ht="12" customHeight="1">
      <c r="A22" s="294"/>
      <c r="B22" s="294"/>
      <c r="C22" s="294"/>
      <c r="D22" s="295"/>
      <c r="E22" s="295"/>
      <c r="F22" s="295"/>
      <c r="G22" s="294"/>
      <c r="H22" s="32" t="str">
        <f>IF(G20="Windows Server", "G:\Log", "/var/log")</f>
        <v>/var/log</v>
      </c>
      <c r="I22" s="146">
        <f>IF(G20="Windows Server", 50, 20)</f>
        <v>20</v>
      </c>
      <c r="J22" s="296"/>
      <c r="K22" s="296"/>
      <c r="L22" s="296"/>
      <c r="M22" s="296"/>
      <c r="N22" s="296"/>
      <c r="O22" s="296"/>
      <c r="P22" s="296"/>
    </row>
    <row r="23" spans="1:16" s="147" customFormat="1" ht="12" customHeight="1">
      <c r="A23" s="294"/>
      <c r="B23" s="294"/>
      <c r="C23" s="294"/>
      <c r="D23" s="295"/>
      <c r="E23" s="295"/>
      <c r="F23" s="295"/>
      <c r="G23" s="294"/>
      <c r="H23" s="32" t="str">
        <f>IF(G20="Windows Server", "H:\Backup", "/backup")</f>
        <v>/backup</v>
      </c>
      <c r="I23" s="146">
        <f>IF(G20="Windows Server", 100, 10)</f>
        <v>10</v>
      </c>
      <c r="J23" s="296"/>
      <c r="K23" s="296"/>
      <c r="L23" s="296"/>
      <c r="M23" s="296"/>
      <c r="N23" s="296"/>
      <c r="O23" s="296"/>
      <c r="P23" s="296"/>
    </row>
    <row r="24" spans="1:16" s="147" customFormat="1" ht="12" customHeight="1">
      <c r="A24" s="294"/>
      <c r="B24" s="290">
        <f>((12*5*4)/(24*7*4))*730</f>
        <v>260.71428571428572</v>
      </c>
      <c r="C24" s="294" t="s">
        <v>286</v>
      </c>
      <c r="D24" s="295"/>
      <c r="E24" s="295"/>
      <c r="F24" s="295"/>
      <c r="G24" s="294" t="s">
        <v>287</v>
      </c>
      <c r="H24" s="32" t="str">
        <f>IF(G24="Windows Server", "C:\", "/")</f>
        <v>/</v>
      </c>
      <c r="I24" s="146">
        <f>IF(G24="Windows Server", 150, 20)</f>
        <v>20</v>
      </c>
      <c r="J24" s="296">
        <f>SUM(I24:I27)</f>
        <v>50</v>
      </c>
      <c r="K24" s="297">
        <f>J24 *(IF(C24="AZURE", SUMMARY!C$20, SUMMARY!C$21))</f>
        <v>4.8</v>
      </c>
      <c r="L24" s="298"/>
      <c r="M24" s="299">
        <f>IF(C24="ON PREM", 0, SUMMARY!C$25%)</f>
        <v>0.12</v>
      </c>
      <c r="N24" s="299">
        <f>IF(C24="AWS",SUMMARY!C$26%, 0)</f>
        <v>0</v>
      </c>
      <c r="O24" s="300">
        <f>((SUM(K24:L24))-((SUM(K24:L24))*N24))*(1 + M24)</f>
        <v>5.3760000000000003</v>
      </c>
      <c r="P24" s="300">
        <f>O24*12</f>
        <v>64.512</v>
      </c>
    </row>
    <row r="25" spans="1:16" s="147" customFormat="1" ht="12" customHeight="1">
      <c r="A25" s="294"/>
      <c r="B25" s="294"/>
      <c r="C25" s="294"/>
      <c r="D25" s="295"/>
      <c r="E25" s="295"/>
      <c r="F25" s="295"/>
      <c r="G25" s="294"/>
      <c r="H25" s="148" t="str">
        <f>IF(G24="Windows Server", "F:\appdir", "/appdir")</f>
        <v>/appdir</v>
      </c>
      <c r="I25" s="149"/>
      <c r="J25" s="296"/>
      <c r="K25" s="296"/>
      <c r="L25" s="296"/>
      <c r="M25" s="296"/>
      <c r="N25" s="296"/>
      <c r="O25" s="296"/>
      <c r="P25" s="296"/>
    </row>
    <row r="26" spans="1:16" s="147" customFormat="1" ht="12" customHeight="1">
      <c r="A26" s="294"/>
      <c r="B26" s="294"/>
      <c r="C26" s="294"/>
      <c r="D26" s="295"/>
      <c r="E26" s="295"/>
      <c r="F26" s="295"/>
      <c r="G26" s="294"/>
      <c r="H26" s="32" t="str">
        <f>IF(G24="Windows Server", "G:\Log", "/var/log")</f>
        <v>/var/log</v>
      </c>
      <c r="I26" s="146">
        <f>IF(G24="Windows Server", 50, 20)</f>
        <v>20</v>
      </c>
      <c r="J26" s="296"/>
      <c r="K26" s="296"/>
      <c r="L26" s="296"/>
      <c r="M26" s="296"/>
      <c r="N26" s="296"/>
      <c r="O26" s="296"/>
      <c r="P26" s="296"/>
    </row>
    <row r="27" spans="1:16" s="147" customFormat="1" ht="12" customHeight="1">
      <c r="A27" s="294"/>
      <c r="B27" s="294"/>
      <c r="C27" s="294"/>
      <c r="D27" s="295"/>
      <c r="E27" s="295"/>
      <c r="F27" s="295"/>
      <c r="G27" s="294"/>
      <c r="H27" s="32" t="str">
        <f>IF(G24="Windows Server", "H:\Backup", "/backup")</f>
        <v>/backup</v>
      </c>
      <c r="I27" s="146">
        <f>IF(G24="Windows Server", 100, 10)</f>
        <v>10</v>
      </c>
      <c r="J27" s="296"/>
      <c r="K27" s="296"/>
      <c r="L27" s="296"/>
      <c r="M27" s="296"/>
      <c r="N27" s="296"/>
      <c r="O27" s="296"/>
      <c r="P27" s="296"/>
    </row>
    <row r="28" spans="1:16" ht="14.25" customHeight="1">
      <c r="A28" s="3"/>
      <c r="B28" s="153"/>
      <c r="C28" s="153"/>
      <c r="D28" s="153"/>
      <c r="E28" s="153">
        <f>SUM(E4:E27)</f>
        <v>0</v>
      </c>
      <c r="F28" s="153">
        <f>SUM(F4:F27)</f>
        <v>0</v>
      </c>
      <c r="G28" s="153"/>
      <c r="H28" s="153"/>
      <c r="I28" s="153"/>
      <c r="J28" s="153">
        <f>SUM(J4:J27)</f>
        <v>300</v>
      </c>
      <c r="K28" s="154">
        <f>SUM(K4:K27)</f>
        <v>28.8</v>
      </c>
      <c r="L28" s="154">
        <f>SUM(L4:L27)</f>
        <v>0</v>
      </c>
      <c r="M28" s="154"/>
      <c r="N28" s="154"/>
      <c r="O28" s="154">
        <f>SUM(O4:O27)</f>
        <v>31.680000000000003</v>
      </c>
      <c r="P28" s="154">
        <f>SUM(P4:P27)</f>
        <v>380.16</v>
      </c>
    </row>
    <row r="29" spans="1:16" s="129" customFormat="1">
      <c r="A29" s="144" t="s">
        <v>284</v>
      </c>
      <c r="B29" s="301"/>
      <c r="C29" s="301"/>
      <c r="D29" s="301"/>
      <c r="E29" s="301"/>
      <c r="F29" s="301"/>
      <c r="G29" s="301"/>
      <c r="H29" s="301"/>
      <c r="I29" s="301"/>
      <c r="J29" s="301"/>
      <c r="K29" s="301"/>
      <c r="L29" s="301"/>
      <c r="M29" s="301"/>
      <c r="N29" s="301"/>
      <c r="O29" s="301"/>
      <c r="P29" s="301"/>
    </row>
    <row r="30" spans="1:16" s="147" customFormat="1" ht="12" customHeight="1">
      <c r="A30" s="302"/>
      <c r="B30" s="290">
        <f>((12*5*4)/(24*7*4))*730</f>
        <v>260.71428571428572</v>
      </c>
      <c r="C30" s="303" t="s">
        <v>282</v>
      </c>
      <c r="D30" s="311"/>
      <c r="E30" s="305">
        <f>CEILING(E4*(100+SUMMARY!$C$24)%,1)</f>
        <v>0</v>
      </c>
      <c r="F30" s="305">
        <f>CEILING(F4*(100+SUMMARY!$C$24)%,1)</f>
        <v>0</v>
      </c>
      <c r="G30" s="306" t="s">
        <v>283</v>
      </c>
      <c r="H30" s="32" t="str">
        <f>IF(G30="Windows Server", "C:\", "/")</f>
        <v>C:\</v>
      </c>
      <c r="I30" s="146">
        <f>IF(G30="Windows Server", 150, 20)</f>
        <v>150</v>
      </c>
      <c r="J30" s="296">
        <f>SUM(I30:I33)</f>
        <v>300</v>
      </c>
      <c r="K30" s="307">
        <f>J30 *(IF(C30="AZURE", SUMMARY!C$20, SUMMARY!C$21))</f>
        <v>28.8</v>
      </c>
      <c r="L30" s="308"/>
      <c r="M30" s="299">
        <f>IF(C30="ON PREM", 0, SUMMARY!C$25%)</f>
        <v>0.12</v>
      </c>
      <c r="N30" s="299">
        <f>IF(C30="AWS",SUMMARY!C$26%, 0)</f>
        <v>0.13</v>
      </c>
      <c r="O30" s="300">
        <f>((SUM(K30:L30))-((SUM(K30:L30))*N30))*(1 + M30)</f>
        <v>28.062720000000002</v>
      </c>
      <c r="P30" s="312">
        <f>O30*12</f>
        <v>336.75264000000004</v>
      </c>
    </row>
    <row r="31" spans="1:16" s="147" customFormat="1" ht="12" customHeight="1">
      <c r="A31" s="302"/>
      <c r="B31" s="302"/>
      <c r="C31" s="303"/>
      <c r="D31" s="311"/>
      <c r="E31" s="311"/>
      <c r="F31" s="311"/>
      <c r="G31" s="306"/>
      <c r="H31" s="155" t="str">
        <f>IF(G30="Windows Server", "F:\appdir", "/appdir")</f>
        <v>F:\appdir</v>
      </c>
      <c r="I31" s="152">
        <f>CEILING(I5*(100+SUMMARY!$C$24)%,1)</f>
        <v>0</v>
      </c>
      <c r="J31" s="296"/>
      <c r="K31" s="296"/>
      <c r="L31" s="296"/>
      <c r="M31" s="296"/>
      <c r="N31" s="296"/>
      <c r="O31" s="296"/>
      <c r="P31" s="296"/>
    </row>
    <row r="32" spans="1:16" s="147" customFormat="1" ht="12" customHeight="1">
      <c r="A32" s="302"/>
      <c r="B32" s="302"/>
      <c r="C32" s="303"/>
      <c r="D32" s="311"/>
      <c r="E32" s="311"/>
      <c r="F32" s="311"/>
      <c r="G32" s="306"/>
      <c r="H32" s="32" t="str">
        <f>IF(G30="Windows Server", "G:\Log", "/var/log")</f>
        <v>G:\Log</v>
      </c>
      <c r="I32" s="146">
        <f>IF(G30="Windows Server", 50, 20)</f>
        <v>50</v>
      </c>
      <c r="J32" s="296"/>
      <c r="K32" s="296"/>
      <c r="L32" s="296"/>
      <c r="M32" s="296"/>
      <c r="N32" s="296"/>
      <c r="O32" s="296"/>
      <c r="P32" s="296"/>
    </row>
    <row r="33" spans="1:16" s="147" customFormat="1" ht="12" customHeight="1">
      <c r="A33" s="302"/>
      <c r="B33" s="302"/>
      <c r="C33" s="303"/>
      <c r="D33" s="311"/>
      <c r="E33" s="311"/>
      <c r="F33" s="311"/>
      <c r="G33" s="306"/>
      <c r="H33" s="32" t="str">
        <f>IF(G30="Windows Server", "H:\Backup", "/backup")</f>
        <v>H:\Backup</v>
      </c>
      <c r="I33" s="146">
        <f>IF(G30="Windows Server", 100, 10)</f>
        <v>100</v>
      </c>
      <c r="J33" s="296"/>
      <c r="K33" s="296"/>
      <c r="L33" s="296"/>
      <c r="M33" s="296"/>
      <c r="N33" s="296"/>
      <c r="O33" s="296"/>
      <c r="P33" s="296"/>
    </row>
    <row r="34" spans="1:16" s="147" customFormat="1" ht="12" customHeight="1">
      <c r="A34" s="302"/>
      <c r="B34" s="290">
        <f>((12*5*4)/(24*7*4))*730</f>
        <v>260.71428571428572</v>
      </c>
      <c r="C34" s="303" t="s">
        <v>282</v>
      </c>
      <c r="D34" s="311"/>
      <c r="E34" s="305">
        <f>CEILING(E8*(100+SUMMARY!$C$24)%,1)</f>
        <v>0</v>
      </c>
      <c r="F34" s="305">
        <f>CEILING(F8*(100+SUMMARY!$C$24)%,1)</f>
        <v>0</v>
      </c>
      <c r="G34" s="306" t="s">
        <v>287</v>
      </c>
      <c r="H34" s="32" t="str">
        <f>IF(G34="Windows Server", "C:\", "/")</f>
        <v>/</v>
      </c>
      <c r="I34" s="146">
        <f>IF(G34="Windows Server", 150, 20)</f>
        <v>20</v>
      </c>
      <c r="J34" s="296">
        <f>SUM(I34:I37)</f>
        <v>50</v>
      </c>
      <c r="K34" s="307">
        <f>J34 *(IF(C34="AZURE", SUMMARY!C$20, SUMMARY!C$21))</f>
        <v>4.8</v>
      </c>
      <c r="L34" s="308"/>
      <c r="M34" s="299">
        <f>IF(C34="ON PREM", 0, SUMMARY!C$25%)</f>
        <v>0.12</v>
      </c>
      <c r="N34" s="299">
        <f>IF(C34="AWS",SUMMARY!C$26%, 0)</f>
        <v>0.13</v>
      </c>
      <c r="O34" s="300">
        <f>((SUM(K34:L34))-((SUM(K34:L34))*N34))*(1 + M34)</f>
        <v>4.6771200000000004</v>
      </c>
      <c r="P34" s="300">
        <f>O34*12</f>
        <v>56.125440000000005</v>
      </c>
    </row>
    <row r="35" spans="1:16" s="147" customFormat="1" ht="12" customHeight="1">
      <c r="A35" s="302"/>
      <c r="B35" s="302"/>
      <c r="C35" s="303"/>
      <c r="D35" s="311"/>
      <c r="E35" s="311"/>
      <c r="F35" s="311"/>
      <c r="G35" s="306"/>
      <c r="H35" s="155" t="str">
        <f>IF(G34="Windows Server", "F:\appdir", "/appdir")</f>
        <v>/appdir</v>
      </c>
      <c r="I35" s="152">
        <f>CEILING(I9*(100+SUMMARY!$C$24)%,1)</f>
        <v>0</v>
      </c>
      <c r="J35" s="296"/>
      <c r="K35" s="296"/>
      <c r="L35" s="296"/>
      <c r="M35" s="296"/>
      <c r="N35" s="296"/>
      <c r="O35" s="296"/>
      <c r="P35" s="296"/>
    </row>
    <row r="36" spans="1:16" s="147" customFormat="1" ht="12" customHeight="1">
      <c r="A36" s="302"/>
      <c r="B36" s="302"/>
      <c r="C36" s="303"/>
      <c r="D36" s="311"/>
      <c r="E36" s="311"/>
      <c r="F36" s="311"/>
      <c r="G36" s="306"/>
      <c r="H36" s="32" t="str">
        <f>IF(G34="Windows Server", "G:\Log", "/var/log")</f>
        <v>/var/log</v>
      </c>
      <c r="I36" s="146">
        <f>IF(G34="Windows Server", 50, 20)</f>
        <v>20</v>
      </c>
      <c r="J36" s="296"/>
      <c r="K36" s="296"/>
      <c r="L36" s="296"/>
      <c r="M36" s="296"/>
      <c r="N36" s="296"/>
      <c r="O36" s="296"/>
      <c r="P36" s="296"/>
    </row>
    <row r="37" spans="1:16" s="147" customFormat="1" ht="12" customHeight="1">
      <c r="A37" s="302"/>
      <c r="B37" s="302"/>
      <c r="C37" s="303"/>
      <c r="D37" s="311"/>
      <c r="E37" s="311"/>
      <c r="F37" s="311"/>
      <c r="G37" s="306"/>
      <c r="H37" s="32" t="str">
        <f>IF(G34="Windows Server", "H:\Backup", "/backup")</f>
        <v>/backup</v>
      </c>
      <c r="I37" s="146">
        <f>IF(G34="Windows Server", 100, 10)</f>
        <v>10</v>
      </c>
      <c r="J37" s="296"/>
      <c r="K37" s="296"/>
      <c r="L37" s="296"/>
      <c r="M37" s="296"/>
      <c r="N37" s="296"/>
      <c r="O37" s="296"/>
      <c r="P37" s="296"/>
    </row>
    <row r="38" spans="1:16" s="147" customFormat="1" ht="12" customHeight="1">
      <c r="A38" s="302"/>
      <c r="B38" s="290">
        <f>((12*5*4)/(24*7*4))*730</f>
        <v>260.71428571428572</v>
      </c>
      <c r="C38" s="303" t="s">
        <v>282</v>
      </c>
      <c r="D38" s="311"/>
      <c r="E38" s="305">
        <f>CEILING(E12*(100+SUMMARY!$C$24)%,1)</f>
        <v>0</v>
      </c>
      <c r="F38" s="305">
        <f>CEILING(F12*(100+SUMMARY!$C$24)%,1)</f>
        <v>0</v>
      </c>
      <c r="G38" s="306" t="s">
        <v>283</v>
      </c>
      <c r="H38" s="32" t="str">
        <f>IF(G38="Windows Server", "C:\", "/")</f>
        <v>C:\</v>
      </c>
      <c r="I38" s="146">
        <f>IF(G38="Windows Server", 150, 20)</f>
        <v>150</v>
      </c>
      <c r="J38" s="296">
        <f>SUM(I38:I41)</f>
        <v>300</v>
      </c>
      <c r="K38" s="307">
        <f>J38 *(IF(C38="AZURE", SUMMARY!C$20, SUMMARY!C$21))</f>
        <v>28.8</v>
      </c>
      <c r="L38" s="308"/>
      <c r="M38" s="299">
        <f>IF(C38="ON PREM", 0, SUMMARY!C$25%)</f>
        <v>0.12</v>
      </c>
      <c r="N38" s="299">
        <f>IF(C38="AWS",SUMMARY!C$26%, 0)</f>
        <v>0.13</v>
      </c>
      <c r="O38" s="300">
        <f>((SUM(K38:L38))-((SUM(K38:L38))*N38))*(1 + M38)</f>
        <v>28.062720000000002</v>
      </c>
      <c r="P38" s="300">
        <f>O38*12</f>
        <v>336.75264000000004</v>
      </c>
    </row>
    <row r="39" spans="1:16" s="147" customFormat="1" ht="12" customHeight="1">
      <c r="A39" s="302"/>
      <c r="B39" s="302"/>
      <c r="C39" s="303"/>
      <c r="D39" s="311"/>
      <c r="E39" s="311"/>
      <c r="F39" s="311"/>
      <c r="G39" s="306"/>
      <c r="H39" s="155" t="str">
        <f>IF(G38="Windows Server", "F:\appdir", "/appdir")</f>
        <v>F:\appdir</v>
      </c>
      <c r="I39" s="152">
        <f>CEILING(I13*(100+SUMMARY!$C$24)%,1)</f>
        <v>0</v>
      </c>
      <c r="J39" s="296"/>
      <c r="K39" s="296"/>
      <c r="L39" s="296"/>
      <c r="M39" s="296"/>
      <c r="N39" s="296"/>
      <c r="O39" s="296"/>
      <c r="P39" s="296"/>
    </row>
    <row r="40" spans="1:16" s="147" customFormat="1" ht="12" customHeight="1">
      <c r="A40" s="302"/>
      <c r="B40" s="302"/>
      <c r="C40" s="303"/>
      <c r="D40" s="311"/>
      <c r="E40" s="311"/>
      <c r="F40" s="311"/>
      <c r="G40" s="306"/>
      <c r="H40" s="32" t="str">
        <f>IF(G38="Windows Server", "G:\Log", "/var/log")</f>
        <v>G:\Log</v>
      </c>
      <c r="I40" s="146">
        <f>IF(G38="Windows Server", 50, 20)</f>
        <v>50</v>
      </c>
      <c r="J40" s="296"/>
      <c r="K40" s="296"/>
      <c r="L40" s="296"/>
      <c r="M40" s="296"/>
      <c r="N40" s="296"/>
      <c r="O40" s="296"/>
      <c r="P40" s="296"/>
    </row>
    <row r="41" spans="1:16" s="147" customFormat="1" ht="12" customHeight="1">
      <c r="A41" s="302"/>
      <c r="B41" s="302"/>
      <c r="C41" s="303"/>
      <c r="D41" s="311"/>
      <c r="E41" s="311"/>
      <c r="F41" s="311"/>
      <c r="G41" s="306"/>
      <c r="H41" s="32" t="str">
        <f>IF(G38="Windows Server", "H:\Backup", "/backup")</f>
        <v>H:\Backup</v>
      </c>
      <c r="I41" s="146">
        <f>IF(G38="Windows Server", 100, 10)</f>
        <v>100</v>
      </c>
      <c r="J41" s="296"/>
      <c r="K41" s="296"/>
      <c r="L41" s="296"/>
      <c r="M41" s="296"/>
      <c r="N41" s="296"/>
      <c r="O41" s="296"/>
      <c r="P41" s="296"/>
    </row>
    <row r="42" spans="1:16" s="147" customFormat="1" ht="12" customHeight="1">
      <c r="A42" s="302"/>
      <c r="B42" s="290">
        <f>((12*5*4)/(24*7*4))*730</f>
        <v>260.71428571428572</v>
      </c>
      <c r="C42" s="303" t="s">
        <v>282</v>
      </c>
      <c r="D42" s="311"/>
      <c r="E42" s="305">
        <f>CEILING(E16*(100+SUMMARY!$C$24)%,1)</f>
        <v>0</v>
      </c>
      <c r="F42" s="305">
        <f>CEILING(F16*(100+SUMMARY!$C$24)%,1)</f>
        <v>0</v>
      </c>
      <c r="G42" s="306" t="s">
        <v>283</v>
      </c>
      <c r="H42" s="32" t="str">
        <f>IF(G42="Windows Server", "C:\", "/")</f>
        <v>C:\</v>
      </c>
      <c r="I42" s="146">
        <f>IF(G42="Windows Server", 150, 20)</f>
        <v>150</v>
      </c>
      <c r="J42" s="296">
        <f>SUM(I42:I45)</f>
        <v>300</v>
      </c>
      <c r="K42" s="307">
        <f>J42 *(IF(C42="AZURE", SUMMARY!C$20, SUMMARY!C$21))</f>
        <v>28.8</v>
      </c>
      <c r="L42" s="308"/>
      <c r="M42" s="299">
        <f>IF(C42="ON PREM", 0, SUMMARY!C$25%)</f>
        <v>0.12</v>
      </c>
      <c r="N42" s="299">
        <f>IF(C42="AWS",SUMMARY!C$26%, 0)</f>
        <v>0.13</v>
      </c>
      <c r="O42" s="300">
        <f>((SUM(K42:L42))-((SUM(K42:L42))*N42))*(1 + M42)</f>
        <v>28.062720000000002</v>
      </c>
      <c r="P42" s="300">
        <f>O42*12</f>
        <v>336.75264000000004</v>
      </c>
    </row>
    <row r="43" spans="1:16" s="147" customFormat="1" ht="12" customHeight="1">
      <c r="A43" s="302"/>
      <c r="B43" s="302"/>
      <c r="C43" s="303"/>
      <c r="D43" s="311"/>
      <c r="E43" s="311"/>
      <c r="F43" s="311"/>
      <c r="G43" s="306"/>
      <c r="H43" s="155" t="str">
        <f>IF(G42="Windows Server", "F:\appdir", "/appdir")</f>
        <v>F:\appdir</v>
      </c>
      <c r="I43" s="152">
        <f>CEILING(I17*(100+SUMMARY!$C$24)%,1)</f>
        <v>0</v>
      </c>
      <c r="J43" s="296"/>
      <c r="K43" s="296"/>
      <c r="L43" s="296"/>
      <c r="M43" s="296"/>
      <c r="N43" s="296"/>
      <c r="O43" s="296"/>
      <c r="P43" s="296"/>
    </row>
    <row r="44" spans="1:16" s="147" customFormat="1" ht="12" customHeight="1">
      <c r="A44" s="302"/>
      <c r="B44" s="302"/>
      <c r="C44" s="303"/>
      <c r="D44" s="311"/>
      <c r="E44" s="311"/>
      <c r="F44" s="311"/>
      <c r="G44" s="306"/>
      <c r="H44" s="32" t="str">
        <f>IF(G42="Windows Server", "G:\Log", "/var/log")</f>
        <v>G:\Log</v>
      </c>
      <c r="I44" s="146">
        <f>IF(G42="Windows Server", 50, 20)</f>
        <v>50</v>
      </c>
      <c r="J44" s="296"/>
      <c r="K44" s="296"/>
      <c r="L44" s="296"/>
      <c r="M44" s="296"/>
      <c r="N44" s="296"/>
      <c r="O44" s="296"/>
      <c r="P44" s="296"/>
    </row>
    <row r="45" spans="1:16" s="147" customFormat="1" ht="12" customHeight="1">
      <c r="A45" s="302"/>
      <c r="B45" s="302"/>
      <c r="C45" s="303"/>
      <c r="D45" s="311"/>
      <c r="E45" s="311"/>
      <c r="F45" s="311"/>
      <c r="G45" s="306"/>
      <c r="H45" s="32" t="str">
        <f>IF(G42="Windows Server", "H:\Backup", "/backup")</f>
        <v>H:\Backup</v>
      </c>
      <c r="I45" s="146">
        <f>IF(G42="Windows Server", 100, 10)</f>
        <v>100</v>
      </c>
      <c r="J45" s="296"/>
      <c r="K45" s="296"/>
      <c r="L45" s="296"/>
      <c r="M45" s="296"/>
      <c r="N45" s="296"/>
      <c r="O45" s="296"/>
      <c r="P45" s="296"/>
    </row>
    <row r="46" spans="1:16" s="147" customFormat="1" ht="12" customHeight="1">
      <c r="A46" s="302"/>
      <c r="B46" s="290">
        <f>((12*5*4)/(24*7*4))*730</f>
        <v>260.71428571428572</v>
      </c>
      <c r="C46" s="303" t="s">
        <v>282</v>
      </c>
      <c r="D46" s="311"/>
      <c r="E46" s="305">
        <f>CEILING(E20*(100+SUMMARY!$C$24)%,1)</f>
        <v>0</v>
      </c>
      <c r="F46" s="305">
        <f>CEILING(F20*(100+SUMMARY!$C$24)%,1)</f>
        <v>0</v>
      </c>
      <c r="G46" s="306" t="s">
        <v>283</v>
      </c>
      <c r="H46" s="32" t="str">
        <f>IF(G46="Windows Server", "C:\", "/")</f>
        <v>C:\</v>
      </c>
      <c r="I46" s="146">
        <f>IF(G46="Windows Server", 150, 20)</f>
        <v>150</v>
      </c>
      <c r="J46" s="296">
        <f>SUM(I46:I49)</f>
        <v>300</v>
      </c>
      <c r="K46" s="307">
        <f>J46 *(IF(C46="AZURE", SUMMARY!C$20, SUMMARY!C$21))</f>
        <v>28.8</v>
      </c>
      <c r="L46" s="308"/>
      <c r="M46" s="299">
        <f>IF(C46="ON PREM", 0, SUMMARY!C$25%)</f>
        <v>0.12</v>
      </c>
      <c r="N46" s="299">
        <f>IF(C46="AWS",SUMMARY!C$26%, 0)</f>
        <v>0.13</v>
      </c>
      <c r="O46" s="300">
        <f>((SUM(K46:L46))-((SUM(K46:L46))*N46))*(1 + M46)</f>
        <v>28.062720000000002</v>
      </c>
      <c r="P46" s="300">
        <f>O46*12</f>
        <v>336.75264000000004</v>
      </c>
    </row>
    <row r="47" spans="1:16" s="147" customFormat="1" ht="12" customHeight="1">
      <c r="A47" s="302"/>
      <c r="B47" s="302"/>
      <c r="C47" s="303"/>
      <c r="D47" s="311"/>
      <c r="E47" s="311"/>
      <c r="F47" s="311"/>
      <c r="G47" s="306"/>
      <c r="H47" s="155" t="str">
        <f>IF(G46="Windows Server", "F:\appdir", "/appdir")</f>
        <v>F:\appdir</v>
      </c>
      <c r="I47" s="152">
        <f>CEILING(I21*(100+SUMMARY!$C$24)%,1)</f>
        <v>0</v>
      </c>
      <c r="J47" s="296"/>
      <c r="K47" s="296"/>
      <c r="L47" s="296"/>
      <c r="M47" s="296"/>
      <c r="N47" s="296"/>
      <c r="O47" s="296"/>
      <c r="P47" s="296"/>
    </row>
    <row r="48" spans="1:16" s="147" customFormat="1" ht="12" customHeight="1">
      <c r="A48" s="302"/>
      <c r="B48" s="302"/>
      <c r="C48" s="303"/>
      <c r="D48" s="311"/>
      <c r="E48" s="311"/>
      <c r="F48" s="311"/>
      <c r="G48" s="306"/>
      <c r="H48" s="32" t="str">
        <f>IF(G46="Windows Server", "G:\Log", "/var/log")</f>
        <v>G:\Log</v>
      </c>
      <c r="I48" s="146">
        <f>IF(G46="Windows Server", 50, 20)</f>
        <v>50</v>
      </c>
      <c r="J48" s="296"/>
      <c r="K48" s="296"/>
      <c r="L48" s="296"/>
      <c r="M48" s="296"/>
      <c r="N48" s="296"/>
      <c r="O48" s="296"/>
      <c r="P48" s="296"/>
    </row>
    <row r="49" spans="1:16" s="147" customFormat="1" ht="12" customHeight="1">
      <c r="A49" s="302"/>
      <c r="B49" s="302"/>
      <c r="C49" s="303"/>
      <c r="D49" s="311"/>
      <c r="E49" s="311"/>
      <c r="F49" s="311"/>
      <c r="G49" s="306"/>
      <c r="H49" s="32" t="str">
        <f>IF(G46="Windows Server", "H:\Backup", "/backup")</f>
        <v>H:\Backup</v>
      </c>
      <c r="I49" s="146">
        <f>IF(G46="Windows Server", 100, 10)</f>
        <v>100</v>
      </c>
      <c r="J49" s="296"/>
      <c r="K49" s="296"/>
      <c r="L49" s="296"/>
      <c r="M49" s="296"/>
      <c r="N49" s="296"/>
      <c r="O49" s="296"/>
      <c r="P49" s="296"/>
    </row>
    <row r="50" spans="1:16" s="147" customFormat="1" ht="12" customHeight="1">
      <c r="A50" s="302"/>
      <c r="B50" s="290">
        <f>((12*5*4)/(24*7*4))*730</f>
        <v>260.71428571428572</v>
      </c>
      <c r="C50" s="303" t="s">
        <v>282</v>
      </c>
      <c r="D50" s="311"/>
      <c r="E50" s="305">
        <f>CEILING(E24*(100+SUMMARY!$C$24)%,1)</f>
        <v>0</v>
      </c>
      <c r="F50" s="305">
        <f>CEILING(F24*(100+SUMMARY!$C$24)%,1)</f>
        <v>0</v>
      </c>
      <c r="G50" s="306" t="s">
        <v>283</v>
      </c>
      <c r="H50" s="32" t="str">
        <f>IF(G50="Windows Server", "C:\", "/")</f>
        <v>C:\</v>
      </c>
      <c r="I50" s="146">
        <f>IF(G50="Windows Server", 150, 20)</f>
        <v>150</v>
      </c>
      <c r="J50" s="296">
        <f>SUM(I50:I53)</f>
        <v>300</v>
      </c>
      <c r="K50" s="307">
        <f>J50 *(IF(C50="AZURE", SUMMARY!C$20, SUMMARY!C$21))</f>
        <v>28.8</v>
      </c>
      <c r="L50" s="308"/>
      <c r="M50" s="299">
        <f>IF(C50="ON PREM", 0, SUMMARY!C$25%)</f>
        <v>0.12</v>
      </c>
      <c r="N50" s="299">
        <f>IF(C50="AWS",SUMMARY!C$26%, 0)</f>
        <v>0.13</v>
      </c>
      <c r="O50" s="300">
        <f>((SUM(K50:L50))-((SUM(K50:L50))*N50))*(1 + M50)</f>
        <v>28.062720000000002</v>
      </c>
      <c r="P50" s="312">
        <f>O50*12</f>
        <v>336.75264000000004</v>
      </c>
    </row>
    <row r="51" spans="1:16" s="147" customFormat="1" ht="12" customHeight="1">
      <c r="A51" s="302"/>
      <c r="B51" s="302"/>
      <c r="C51" s="303"/>
      <c r="D51" s="311"/>
      <c r="E51" s="311"/>
      <c r="F51" s="311"/>
      <c r="G51" s="306"/>
      <c r="H51" s="155" t="str">
        <f>IF(G50="Windows Server", "F:\appdir", "/appdir")</f>
        <v>F:\appdir</v>
      </c>
      <c r="I51" s="152">
        <f>CEILING(I25*(100+SUMMARY!$C$24)%,1)</f>
        <v>0</v>
      </c>
      <c r="J51" s="296"/>
      <c r="K51" s="296"/>
      <c r="L51" s="296"/>
      <c r="M51" s="296"/>
      <c r="N51" s="296"/>
      <c r="O51" s="296"/>
      <c r="P51" s="296"/>
    </row>
    <row r="52" spans="1:16" s="147" customFormat="1" ht="12" customHeight="1">
      <c r="A52" s="302"/>
      <c r="B52" s="302"/>
      <c r="C52" s="303"/>
      <c r="D52" s="311"/>
      <c r="E52" s="311"/>
      <c r="F52" s="311"/>
      <c r="G52" s="306"/>
      <c r="H52" s="32" t="str">
        <f>IF(G50="Windows Server", "G:\Log", "/var/log")</f>
        <v>G:\Log</v>
      </c>
      <c r="I52" s="146">
        <f>IF(G50="Windows Server", 50, 20)</f>
        <v>50</v>
      </c>
      <c r="J52" s="296"/>
      <c r="K52" s="296"/>
      <c r="L52" s="296"/>
      <c r="M52" s="296"/>
      <c r="N52" s="296"/>
      <c r="O52" s="296"/>
      <c r="P52" s="296"/>
    </row>
    <row r="53" spans="1:16" s="147" customFormat="1" ht="12" customHeight="1">
      <c r="A53" s="302"/>
      <c r="B53" s="302"/>
      <c r="C53" s="303"/>
      <c r="D53" s="311"/>
      <c r="E53" s="311"/>
      <c r="F53" s="311"/>
      <c r="G53" s="306"/>
      <c r="H53" s="32" t="str">
        <f>IF(G50="Windows Server", "H:\Backup", "/backup")</f>
        <v>H:\Backup</v>
      </c>
      <c r="I53" s="146">
        <f>IF(G50="Windows Server", 100, 10)</f>
        <v>100</v>
      </c>
      <c r="J53" s="296"/>
      <c r="K53" s="296"/>
      <c r="L53" s="296"/>
      <c r="M53" s="296"/>
      <c r="N53" s="296"/>
      <c r="O53" s="296"/>
      <c r="P53" s="296"/>
    </row>
    <row r="54" spans="1:16" s="147" customFormat="1" ht="13.5" customHeight="1">
      <c r="A54" s="3"/>
      <c r="B54" s="153"/>
      <c r="C54" s="153"/>
      <c r="D54" s="153"/>
      <c r="E54" s="156">
        <f>SUM(E30:E53)</f>
        <v>0</v>
      </c>
      <c r="F54" s="156">
        <f>SUM(F30:F53)</f>
        <v>0</v>
      </c>
      <c r="G54" s="153"/>
      <c r="H54" s="153"/>
      <c r="I54" s="153"/>
      <c r="J54" s="156">
        <f>SUM(J30:J53)</f>
        <v>1550</v>
      </c>
      <c r="K54" s="154">
        <f>SUM(K30:K53)</f>
        <v>148.80000000000001</v>
      </c>
      <c r="L54" s="154">
        <f>SUM(L30:L53)</f>
        <v>0</v>
      </c>
      <c r="M54" s="154"/>
      <c r="N54" s="154"/>
      <c r="O54" s="154">
        <f>SUM(O30:O53)</f>
        <v>144.99072000000001</v>
      </c>
      <c r="P54" s="154">
        <f>SUM(P30:P53)</f>
        <v>1739.8886400000006</v>
      </c>
    </row>
    <row r="55" spans="1:16" s="129" customFormat="1">
      <c r="A55" s="144" t="s">
        <v>285</v>
      </c>
      <c r="B55" s="301"/>
      <c r="C55" s="301"/>
      <c r="D55" s="301"/>
      <c r="E55" s="301"/>
      <c r="F55" s="301"/>
      <c r="G55" s="301"/>
      <c r="H55" s="301"/>
      <c r="I55" s="301"/>
      <c r="J55" s="301"/>
      <c r="K55" s="301"/>
      <c r="L55" s="301"/>
      <c r="M55" s="301"/>
      <c r="N55" s="301"/>
      <c r="O55" s="301"/>
      <c r="P55" s="301"/>
    </row>
    <row r="56" spans="1:16" ht="13.5" customHeight="1">
      <c r="A56" s="294"/>
      <c r="B56" s="290">
        <f>((12*5*4)/(24*7*4))*730</f>
        <v>260.71428571428572</v>
      </c>
      <c r="C56" s="294" t="s">
        <v>286</v>
      </c>
      <c r="D56" s="295"/>
      <c r="E56" s="310">
        <f>CEILING(E30*(100+SUMMARY!$C$24)%,1)</f>
        <v>0</v>
      </c>
      <c r="F56" s="310">
        <f>CEILING(F30*(100+SUMMARY!$C$24)%,1)</f>
        <v>0</v>
      </c>
      <c r="G56" s="294" t="s">
        <v>283</v>
      </c>
      <c r="H56" s="32" t="str">
        <f>IF(G56="Windows Server", "C:\", "/")</f>
        <v>C:\</v>
      </c>
      <c r="I56" s="146">
        <f>IF(G56="Windows Server", 150, 20)</f>
        <v>150</v>
      </c>
      <c r="J56" s="296">
        <f>SUM(I56:I59)</f>
        <v>300</v>
      </c>
      <c r="K56" s="297">
        <f>J56 *(IF(C56="AZURE", SUMMARY!C$20, SUMMARY!C$21))</f>
        <v>28.8</v>
      </c>
      <c r="L56" s="298"/>
      <c r="M56" s="299">
        <f>IF(C56="ON PREM", 0, SUMMARY!C$25%)</f>
        <v>0.12</v>
      </c>
      <c r="N56" s="299">
        <f>IF(C56="AWS",SUMMARY!C$26%, 0)</f>
        <v>0</v>
      </c>
      <c r="O56" s="300">
        <f>((SUM(K56:L56))-((SUM(K56:L56))*N56))*(1 + M56)</f>
        <v>32.256000000000007</v>
      </c>
      <c r="P56" s="300">
        <f>O56*12</f>
        <v>387.07200000000012</v>
      </c>
    </row>
    <row r="57" spans="1:16">
      <c r="A57" s="294"/>
      <c r="B57" s="294"/>
      <c r="C57" s="294"/>
      <c r="D57" s="295"/>
      <c r="E57" s="295"/>
      <c r="F57" s="295"/>
      <c r="G57" s="294"/>
      <c r="H57" s="148" t="str">
        <f>IF(G56="Windows Server", "F:\appdir", "/appdir")</f>
        <v>F:\appdir</v>
      </c>
      <c r="I57" s="149">
        <f>CEILING(I31*(100+SUMMARY!$C$24)%,1)</f>
        <v>0</v>
      </c>
      <c r="J57" s="296"/>
      <c r="K57" s="296"/>
      <c r="L57" s="296"/>
      <c r="M57" s="296"/>
      <c r="N57" s="296"/>
      <c r="O57" s="296"/>
      <c r="P57" s="296"/>
    </row>
    <row r="58" spans="1:16">
      <c r="A58" s="294"/>
      <c r="B58" s="294"/>
      <c r="C58" s="294"/>
      <c r="D58" s="295"/>
      <c r="E58" s="295"/>
      <c r="F58" s="295"/>
      <c r="G58" s="294"/>
      <c r="H58" s="32" t="str">
        <f>IF(G56="Windows Server", "G:\Log", "/var/log")</f>
        <v>G:\Log</v>
      </c>
      <c r="I58" s="146">
        <f>IF(G56="Windows Server", 50, 20)</f>
        <v>50</v>
      </c>
      <c r="J58" s="296"/>
      <c r="K58" s="296"/>
      <c r="L58" s="296"/>
      <c r="M58" s="296"/>
      <c r="N58" s="296"/>
      <c r="O58" s="296"/>
      <c r="P58" s="296"/>
    </row>
    <row r="59" spans="1:16">
      <c r="A59" s="294"/>
      <c r="B59" s="294"/>
      <c r="C59" s="294"/>
      <c r="D59" s="295"/>
      <c r="E59" s="295"/>
      <c r="F59" s="295"/>
      <c r="G59" s="294"/>
      <c r="H59" s="32" t="str">
        <f>IF(G56="Windows Server", "H:\Backup", "/backup")</f>
        <v>H:\Backup</v>
      </c>
      <c r="I59" s="146">
        <f>IF(G56="Windows Server", 100, 10)</f>
        <v>100</v>
      </c>
      <c r="J59" s="296"/>
      <c r="K59" s="296"/>
      <c r="L59" s="296"/>
      <c r="M59" s="296"/>
      <c r="N59" s="296"/>
      <c r="O59" s="296"/>
      <c r="P59" s="296"/>
    </row>
    <row r="60" spans="1:16" ht="13.5" customHeight="1">
      <c r="A60" s="294"/>
      <c r="B60" s="290">
        <f>((12*5*4)/(24*7*4))*730</f>
        <v>260.71428571428572</v>
      </c>
      <c r="C60" s="294" t="s">
        <v>288</v>
      </c>
      <c r="D60" s="295"/>
      <c r="E60" s="310">
        <f>CEILING(E34*(100+SUMMARY!$C$24)%,1)</f>
        <v>0</v>
      </c>
      <c r="F60" s="310">
        <f>CEILING(F34*(100+SUMMARY!$C$24)%,1)</f>
        <v>0</v>
      </c>
      <c r="G60" s="294" t="s">
        <v>293</v>
      </c>
      <c r="H60" s="32" t="str">
        <f>IF(G60="Windows Server", "C:\", "/")</f>
        <v>/</v>
      </c>
      <c r="I60" s="146">
        <f>IF(G60="Windows Server", 150, 20)</f>
        <v>20</v>
      </c>
      <c r="J60" s="296">
        <f>SUM(I60:I63)</f>
        <v>50</v>
      </c>
      <c r="K60" s="297">
        <f>J60 *(IF(C60="AZURE", SUMMARY!C$20, SUMMARY!C$21))</f>
        <v>4.8</v>
      </c>
      <c r="L60" s="298"/>
      <c r="M60" s="299">
        <f>IF(C60="ON PREM", 0, SUMMARY!C$25%)</f>
        <v>0</v>
      </c>
      <c r="N60" s="299">
        <f>IF(C60="AWS",SUMMARY!C$26%, 0)</f>
        <v>0</v>
      </c>
      <c r="O60" s="300">
        <f>((SUM(K60:L60))-((SUM(K60:L60))*N60))*(1 + M60)</f>
        <v>4.8</v>
      </c>
      <c r="P60" s="300">
        <f>O60*12</f>
        <v>57.599999999999994</v>
      </c>
    </row>
    <row r="61" spans="1:16">
      <c r="A61" s="294"/>
      <c r="B61" s="294"/>
      <c r="C61" s="294"/>
      <c r="D61" s="295"/>
      <c r="E61" s="295"/>
      <c r="F61" s="295"/>
      <c r="G61" s="294"/>
      <c r="H61" s="148" t="str">
        <f>IF(G60="Windows Server", "F:\appdir", "/appdir")</f>
        <v>/appdir</v>
      </c>
      <c r="I61" s="149">
        <f>CEILING(I35*(100+SUMMARY!$C$24)%,1)</f>
        <v>0</v>
      </c>
      <c r="J61" s="296"/>
      <c r="K61" s="296"/>
      <c r="L61" s="296"/>
      <c r="M61" s="296"/>
      <c r="N61" s="296"/>
      <c r="O61" s="296"/>
      <c r="P61" s="296"/>
    </row>
    <row r="62" spans="1:16">
      <c r="A62" s="294"/>
      <c r="B62" s="294"/>
      <c r="C62" s="294"/>
      <c r="D62" s="295"/>
      <c r="E62" s="295"/>
      <c r="F62" s="295"/>
      <c r="G62" s="294"/>
      <c r="H62" s="32" t="str">
        <f>IF(G60="Windows Server", "G:\Log", "/var/log")</f>
        <v>/var/log</v>
      </c>
      <c r="I62" s="146">
        <f>IF(G60="Windows Server", 50, 20)</f>
        <v>20</v>
      </c>
      <c r="J62" s="296"/>
      <c r="K62" s="296"/>
      <c r="L62" s="296"/>
      <c r="M62" s="296"/>
      <c r="N62" s="296"/>
      <c r="O62" s="296"/>
      <c r="P62" s="296"/>
    </row>
    <row r="63" spans="1:16">
      <c r="A63" s="294"/>
      <c r="B63" s="294"/>
      <c r="C63" s="294"/>
      <c r="D63" s="295"/>
      <c r="E63" s="295"/>
      <c r="F63" s="295"/>
      <c r="G63" s="294"/>
      <c r="H63" s="32" t="str">
        <f>IF(G60="Windows Server", "H:\Backup", "/backup")</f>
        <v>/backup</v>
      </c>
      <c r="I63" s="146">
        <f>IF(G60="Windows Server", 100, 10)</f>
        <v>10</v>
      </c>
      <c r="J63" s="296"/>
      <c r="K63" s="296"/>
      <c r="L63" s="296"/>
      <c r="M63" s="296"/>
      <c r="N63" s="296"/>
      <c r="O63" s="296"/>
      <c r="P63" s="296"/>
    </row>
    <row r="64" spans="1:16" ht="13.5" customHeight="1">
      <c r="A64" s="294"/>
      <c r="B64" s="290">
        <f>((12*5*4)/(24*7*4))*730</f>
        <v>260.71428571428572</v>
      </c>
      <c r="C64" s="294" t="s">
        <v>286</v>
      </c>
      <c r="D64" s="295"/>
      <c r="E64" s="310">
        <f>CEILING(E38*(100+SUMMARY!$C$24)%,1)</f>
        <v>0</v>
      </c>
      <c r="F64" s="310">
        <f>CEILING(F38*(100+SUMMARY!$C$24)%,1)</f>
        <v>0</v>
      </c>
      <c r="G64" s="294" t="s">
        <v>283</v>
      </c>
      <c r="H64" s="32" t="str">
        <f>IF(G64="Windows Server", "C:\", "/")</f>
        <v>C:\</v>
      </c>
      <c r="I64" s="146">
        <f>IF(G64="Windows Server", 150, 20)</f>
        <v>150</v>
      </c>
      <c r="J64" s="296">
        <f>SUM(I64:I67)</f>
        <v>300</v>
      </c>
      <c r="K64" s="297">
        <f>J64 *(IF(C64="AZURE", SUMMARY!C$20, SUMMARY!C$21))</f>
        <v>28.8</v>
      </c>
      <c r="L64" s="298"/>
      <c r="M64" s="299">
        <f>IF(C64="ON PREM", 0, SUMMARY!C$25%)</f>
        <v>0.12</v>
      </c>
      <c r="N64" s="299">
        <f>IF(C64="AWS",SUMMARY!C$26%, 0)</f>
        <v>0</v>
      </c>
      <c r="O64" s="300">
        <f>((SUM(K64:L64))-((SUM(K64:L64))*N64))*(1 + M64)</f>
        <v>32.256000000000007</v>
      </c>
      <c r="P64" s="300">
        <f>O64*12</f>
        <v>387.07200000000012</v>
      </c>
    </row>
    <row r="65" spans="1:16">
      <c r="A65" s="294"/>
      <c r="B65" s="294"/>
      <c r="C65" s="294"/>
      <c r="D65" s="295"/>
      <c r="E65" s="295"/>
      <c r="F65" s="295"/>
      <c r="G65" s="294"/>
      <c r="H65" s="148" t="str">
        <f>IF(G64="Windows Server", "F:\appdir", "/appdir")</f>
        <v>F:\appdir</v>
      </c>
      <c r="I65" s="149">
        <f>CEILING(I39*(100+SUMMARY!$C$24)%,1)</f>
        <v>0</v>
      </c>
      <c r="J65" s="296"/>
      <c r="K65" s="296"/>
      <c r="L65" s="296"/>
      <c r="M65" s="296"/>
      <c r="N65" s="296"/>
      <c r="O65" s="296"/>
      <c r="P65" s="296"/>
    </row>
    <row r="66" spans="1:16">
      <c r="A66" s="294"/>
      <c r="B66" s="294"/>
      <c r="C66" s="294"/>
      <c r="D66" s="295"/>
      <c r="E66" s="295"/>
      <c r="F66" s="295"/>
      <c r="G66" s="294"/>
      <c r="H66" s="32" t="str">
        <f>IF(G64="Windows Server", "G:\Log", "/var/log")</f>
        <v>G:\Log</v>
      </c>
      <c r="I66" s="146">
        <f>IF(G64="Windows Server", 50, 20)</f>
        <v>50</v>
      </c>
      <c r="J66" s="296"/>
      <c r="K66" s="296"/>
      <c r="L66" s="296"/>
      <c r="M66" s="296"/>
      <c r="N66" s="296"/>
      <c r="O66" s="296"/>
      <c r="P66" s="296"/>
    </row>
    <row r="67" spans="1:16">
      <c r="A67" s="294"/>
      <c r="B67" s="294"/>
      <c r="C67" s="294"/>
      <c r="D67" s="295"/>
      <c r="E67" s="295"/>
      <c r="F67" s="295"/>
      <c r="G67" s="294"/>
      <c r="H67" s="32" t="str">
        <f>IF(G64="Windows Server", "H:\Backup", "/backup")</f>
        <v>H:\Backup</v>
      </c>
      <c r="I67" s="146">
        <f>IF(G64="Windows Server", 100, 10)</f>
        <v>100</v>
      </c>
      <c r="J67" s="296"/>
      <c r="K67" s="296"/>
      <c r="L67" s="296"/>
      <c r="M67" s="296"/>
      <c r="N67" s="296"/>
      <c r="O67" s="296"/>
      <c r="P67" s="296"/>
    </row>
    <row r="68" spans="1:16" ht="13.5" customHeight="1">
      <c r="A68" s="294"/>
      <c r="B68" s="290">
        <f>((12*5*4)/(24*7*4))*730</f>
        <v>260.71428571428572</v>
      </c>
      <c r="C68" s="294" t="s">
        <v>286</v>
      </c>
      <c r="D68" s="295"/>
      <c r="E68" s="310">
        <f>CEILING(E42*(100+SUMMARY!$C$24)%,1)</f>
        <v>0</v>
      </c>
      <c r="F68" s="310">
        <f>CEILING(F42*(100+SUMMARY!$C$24)%,1)</f>
        <v>0</v>
      </c>
      <c r="G68" s="294" t="s">
        <v>294</v>
      </c>
      <c r="H68" s="32" t="str">
        <f>IF(G68="Windows Server", "C:\", "/")</f>
        <v>/</v>
      </c>
      <c r="I68" s="146">
        <f>IF(G68="Windows Server", 150, 20)</f>
        <v>20</v>
      </c>
      <c r="J68" s="296">
        <f>SUM(I68:I71)</f>
        <v>50</v>
      </c>
      <c r="K68" s="297">
        <f>J68 *(IF(C68="AZURE", SUMMARY!C$20, SUMMARY!C$21))</f>
        <v>4.8</v>
      </c>
      <c r="L68" s="298"/>
      <c r="M68" s="299">
        <f>IF(C68="ON PREM", 0, SUMMARY!C$25%)</f>
        <v>0.12</v>
      </c>
      <c r="N68" s="299">
        <f>IF(C68="AWS",SUMMARY!C$26%, 0)</f>
        <v>0</v>
      </c>
      <c r="O68" s="300">
        <f>((SUM(K68:L68))-((SUM(K68:L68))*N68))*(1 + M68)</f>
        <v>5.3760000000000003</v>
      </c>
      <c r="P68" s="300">
        <f>O68*12</f>
        <v>64.512</v>
      </c>
    </row>
    <row r="69" spans="1:16">
      <c r="A69" s="294"/>
      <c r="B69" s="294"/>
      <c r="C69" s="294"/>
      <c r="D69" s="295"/>
      <c r="E69" s="295"/>
      <c r="F69" s="295"/>
      <c r="G69" s="294"/>
      <c r="H69" s="148" t="str">
        <f>IF(G68="Windows Server", "F:\appdir", "/appdir")</f>
        <v>/appdir</v>
      </c>
      <c r="I69" s="149">
        <f>CEILING(I43*(100+SUMMARY!$C$24)%,1)</f>
        <v>0</v>
      </c>
      <c r="J69" s="296"/>
      <c r="K69" s="296"/>
      <c r="L69" s="296"/>
      <c r="M69" s="296"/>
      <c r="N69" s="296"/>
      <c r="O69" s="296"/>
      <c r="P69" s="296"/>
    </row>
    <row r="70" spans="1:16">
      <c r="A70" s="294"/>
      <c r="B70" s="294"/>
      <c r="C70" s="294"/>
      <c r="D70" s="295"/>
      <c r="E70" s="295"/>
      <c r="F70" s="295"/>
      <c r="G70" s="294"/>
      <c r="H70" s="32" t="str">
        <f>IF(G68="Windows Server", "G:\Log", "/var/log")</f>
        <v>/var/log</v>
      </c>
      <c r="I70" s="146">
        <f>IF(G68="Windows Server", 50, 20)</f>
        <v>20</v>
      </c>
      <c r="J70" s="296"/>
      <c r="K70" s="296"/>
      <c r="L70" s="296"/>
      <c r="M70" s="296"/>
      <c r="N70" s="296"/>
      <c r="O70" s="296"/>
      <c r="P70" s="296"/>
    </row>
    <row r="71" spans="1:16">
      <c r="A71" s="294"/>
      <c r="B71" s="294"/>
      <c r="C71" s="294"/>
      <c r="D71" s="295"/>
      <c r="E71" s="295"/>
      <c r="F71" s="295"/>
      <c r="G71" s="294"/>
      <c r="H71" s="32" t="str">
        <f>IF(G68="Windows Server", "H:\Backup", "/backup")</f>
        <v>/backup</v>
      </c>
      <c r="I71" s="146">
        <f>IF(G68="Windows Server", 100, 10)</f>
        <v>10</v>
      </c>
      <c r="J71" s="296"/>
      <c r="K71" s="296"/>
      <c r="L71" s="296"/>
      <c r="M71" s="296"/>
      <c r="N71" s="296"/>
      <c r="O71" s="296"/>
      <c r="P71" s="296"/>
    </row>
    <row r="72" spans="1:16" ht="13.5" customHeight="1">
      <c r="A72" s="294"/>
      <c r="B72" s="290">
        <f>((12*5*4)/(24*7*4))*730</f>
        <v>260.71428571428572</v>
      </c>
      <c r="C72" s="294" t="s">
        <v>286</v>
      </c>
      <c r="D72" s="295"/>
      <c r="E72" s="310">
        <f>CEILING(E46*(100+SUMMARY!$C$24)%,1)</f>
        <v>0</v>
      </c>
      <c r="F72" s="310">
        <f>CEILING(F46*(100+SUMMARY!$C$24)%,1)</f>
        <v>0</v>
      </c>
      <c r="G72" s="294" t="s">
        <v>293</v>
      </c>
      <c r="H72" s="32" t="str">
        <f>IF(G72="Windows Server", "C:\", "/")</f>
        <v>/</v>
      </c>
      <c r="I72" s="146">
        <f>IF(G72="Windows Server", 150, 20)</f>
        <v>20</v>
      </c>
      <c r="J72" s="296">
        <f>SUM(I72:I75)</f>
        <v>50</v>
      </c>
      <c r="K72" s="297">
        <f>J72 *(IF(C72="AZURE", SUMMARY!C$20, SUMMARY!C$21))</f>
        <v>4.8</v>
      </c>
      <c r="L72" s="298"/>
      <c r="M72" s="299">
        <f>IF(C72="ON PREM", 0, SUMMARY!C$25%)</f>
        <v>0.12</v>
      </c>
      <c r="N72" s="299">
        <f>IF(C72="AWS",SUMMARY!C$26%, 0)</f>
        <v>0</v>
      </c>
      <c r="O72" s="300">
        <f>((SUM(K72:L72))-((SUM(K72:L72))*N72))*(1 + M72)</f>
        <v>5.3760000000000003</v>
      </c>
      <c r="P72" s="300">
        <f>O72*12</f>
        <v>64.512</v>
      </c>
    </row>
    <row r="73" spans="1:16">
      <c r="A73" s="294"/>
      <c r="B73" s="294"/>
      <c r="C73" s="294"/>
      <c r="D73" s="295"/>
      <c r="E73" s="295"/>
      <c r="F73" s="295"/>
      <c r="G73" s="294"/>
      <c r="H73" s="148" t="str">
        <f>IF(G72="Windows Server", "F:\appdir", "/appdir")</f>
        <v>/appdir</v>
      </c>
      <c r="I73" s="149">
        <f>CEILING(I47*(100+SUMMARY!$C$24)%,1)</f>
        <v>0</v>
      </c>
      <c r="J73" s="296"/>
      <c r="K73" s="296"/>
      <c r="L73" s="296"/>
      <c r="M73" s="296"/>
      <c r="N73" s="296"/>
      <c r="O73" s="296"/>
      <c r="P73" s="296"/>
    </row>
    <row r="74" spans="1:16">
      <c r="A74" s="294"/>
      <c r="B74" s="294"/>
      <c r="C74" s="294"/>
      <c r="D74" s="295"/>
      <c r="E74" s="295"/>
      <c r="F74" s="295"/>
      <c r="G74" s="294"/>
      <c r="H74" s="32" t="str">
        <f>IF(G72="Windows Server", "G:\Log", "/var/log")</f>
        <v>/var/log</v>
      </c>
      <c r="I74" s="146">
        <f>IF(G72="Windows Server", 50, 20)</f>
        <v>20</v>
      </c>
      <c r="J74" s="296"/>
      <c r="K74" s="296"/>
      <c r="L74" s="296"/>
      <c r="M74" s="296"/>
      <c r="N74" s="296"/>
      <c r="O74" s="296"/>
      <c r="P74" s="296"/>
    </row>
    <row r="75" spans="1:16">
      <c r="A75" s="294"/>
      <c r="B75" s="294"/>
      <c r="C75" s="294"/>
      <c r="D75" s="295"/>
      <c r="E75" s="295"/>
      <c r="F75" s="295"/>
      <c r="G75" s="294"/>
      <c r="H75" s="32" t="str">
        <f>IF(G72="Windows Server", "H:\Backup", "/backup")</f>
        <v>/backup</v>
      </c>
      <c r="I75" s="146">
        <f>IF(G72="Windows Server", 100, 10)</f>
        <v>10</v>
      </c>
      <c r="J75" s="296"/>
      <c r="K75" s="296"/>
      <c r="L75" s="296"/>
      <c r="M75" s="296"/>
      <c r="N75" s="296"/>
      <c r="O75" s="296"/>
      <c r="P75" s="296"/>
    </row>
    <row r="76" spans="1:16" ht="13.5" customHeight="1">
      <c r="A76" s="294"/>
      <c r="B76" s="290">
        <f>((12*5*4)/(24*7*4))*730</f>
        <v>260.71428571428572</v>
      </c>
      <c r="C76" s="294" t="s">
        <v>286</v>
      </c>
      <c r="D76" s="295"/>
      <c r="E76" s="310">
        <f>CEILING(E50*(100+SUMMARY!$C$24)%,1)</f>
        <v>0</v>
      </c>
      <c r="F76" s="310">
        <f>CEILING(F50*(100+SUMMARY!$C$24)%,1)</f>
        <v>0</v>
      </c>
      <c r="G76" s="294" t="s">
        <v>283</v>
      </c>
      <c r="H76" s="32" t="str">
        <f>IF(G76="Windows Server", "C:\", "/")</f>
        <v>C:\</v>
      </c>
      <c r="I76" s="146">
        <f>IF(G76="Windows Server", 150, 20)</f>
        <v>150</v>
      </c>
      <c r="J76" s="296">
        <f>SUM(I76:I79)</f>
        <v>300</v>
      </c>
      <c r="K76" s="297">
        <f>J76 *(IF(C76="AZURE", SUMMARY!C$20, SUMMARY!C$21))</f>
        <v>28.8</v>
      </c>
      <c r="L76" s="298"/>
      <c r="M76" s="299">
        <f>IF(C76="ON PREM", 0, SUMMARY!C$25%)</f>
        <v>0.12</v>
      </c>
      <c r="N76" s="299">
        <f>IF(C76="AWS",SUMMARY!C$26%, 0)</f>
        <v>0</v>
      </c>
      <c r="O76" s="300">
        <f>((SUM(K76:L76))-((SUM(K76:L76))*N76))*(1 + M76)</f>
        <v>32.256000000000007</v>
      </c>
      <c r="P76" s="300">
        <f>O76*12</f>
        <v>387.07200000000012</v>
      </c>
    </row>
    <row r="77" spans="1:16">
      <c r="A77" s="294"/>
      <c r="B77" s="294"/>
      <c r="C77" s="294"/>
      <c r="D77" s="295"/>
      <c r="E77" s="295"/>
      <c r="F77" s="295"/>
      <c r="G77" s="294"/>
      <c r="H77" s="148" t="str">
        <f>IF(G76="Windows Server", "F:\appdir", "/appdir")</f>
        <v>F:\appdir</v>
      </c>
      <c r="I77" s="149">
        <f>CEILING(I51*(100+SUMMARY!$C$24)%,1)</f>
        <v>0</v>
      </c>
      <c r="J77" s="296"/>
      <c r="K77" s="296"/>
      <c r="L77" s="296"/>
      <c r="M77" s="296"/>
      <c r="N77" s="296"/>
      <c r="O77" s="296"/>
      <c r="P77" s="296"/>
    </row>
    <row r="78" spans="1:16">
      <c r="A78" s="294"/>
      <c r="B78" s="294"/>
      <c r="C78" s="294"/>
      <c r="D78" s="295"/>
      <c r="E78" s="295"/>
      <c r="F78" s="295"/>
      <c r="G78" s="294"/>
      <c r="H78" s="32" t="str">
        <f>IF(G76="Windows Server", "G:\Log", "/var/log")</f>
        <v>G:\Log</v>
      </c>
      <c r="I78" s="146">
        <f>IF(G76="Windows Server", 50, 20)</f>
        <v>50</v>
      </c>
      <c r="J78" s="296"/>
      <c r="K78" s="296"/>
      <c r="L78" s="296"/>
      <c r="M78" s="296"/>
      <c r="N78" s="296"/>
      <c r="O78" s="296"/>
      <c r="P78" s="296"/>
    </row>
    <row r="79" spans="1:16">
      <c r="A79" s="294"/>
      <c r="B79" s="294"/>
      <c r="C79" s="294"/>
      <c r="D79" s="295"/>
      <c r="E79" s="295"/>
      <c r="F79" s="295"/>
      <c r="G79" s="294"/>
      <c r="H79" s="32" t="str">
        <f>IF(G76="Windows Server", "H:\Backup", "/backup")</f>
        <v>H:\Backup</v>
      </c>
      <c r="I79" s="146">
        <f>IF(G76="Windows Server", 100, 10)</f>
        <v>100</v>
      </c>
      <c r="J79" s="296"/>
      <c r="K79" s="296"/>
      <c r="L79" s="296"/>
      <c r="M79" s="296"/>
      <c r="N79" s="296"/>
      <c r="O79" s="296"/>
      <c r="P79" s="296"/>
    </row>
    <row r="80" spans="1:16" ht="14.25" customHeight="1">
      <c r="A80" s="3"/>
      <c r="B80" s="153"/>
      <c r="C80" s="153"/>
      <c r="D80" s="153"/>
      <c r="E80" s="156">
        <f>SUM(E56:E79)</f>
        <v>0</v>
      </c>
      <c r="F80" s="156">
        <f>SUM(F56:F79)</f>
        <v>0</v>
      </c>
      <c r="G80" s="153"/>
      <c r="H80" s="153"/>
      <c r="I80" s="153"/>
      <c r="J80" s="153">
        <f>SUM(J56:J79)</f>
        <v>1050</v>
      </c>
      <c r="K80" s="154">
        <f>SUM(K56:K79)</f>
        <v>100.8</v>
      </c>
      <c r="L80" s="154">
        <f>SUM(L56:L79)</f>
        <v>0</v>
      </c>
      <c r="M80" s="154"/>
      <c r="N80" s="154"/>
      <c r="O80" s="154">
        <f>SUM(O56:O79)</f>
        <v>112.32000000000002</v>
      </c>
      <c r="P80" s="154">
        <f>SUM(P56:P79)</f>
        <v>1347.8400000000004</v>
      </c>
    </row>
    <row r="81" spans="1:16" s="129" customFormat="1">
      <c r="A81" s="144" t="s">
        <v>289</v>
      </c>
      <c r="B81" s="301"/>
      <c r="C81" s="301"/>
      <c r="D81" s="301"/>
      <c r="E81" s="301"/>
      <c r="F81" s="301"/>
      <c r="G81" s="301"/>
      <c r="H81" s="301"/>
      <c r="I81" s="301"/>
      <c r="J81" s="301"/>
      <c r="K81" s="301"/>
      <c r="L81" s="301"/>
      <c r="M81" s="301"/>
      <c r="N81" s="301"/>
      <c r="O81" s="301"/>
      <c r="P81" s="301"/>
    </row>
    <row r="82" spans="1:16" ht="13.5" customHeight="1">
      <c r="A82" s="302"/>
      <c r="B82" s="290">
        <f>((12*5*4)/(24*7*4))*730</f>
        <v>260.71428571428572</v>
      </c>
      <c r="C82" s="303" t="s">
        <v>282</v>
      </c>
      <c r="D82" s="311"/>
      <c r="E82" s="305">
        <f>CEILING(E56*(100+SUMMARY!$C$24)%,1)</f>
        <v>0</v>
      </c>
      <c r="F82" s="305">
        <f>CEILING(F56*(100+SUMMARY!$C$24)%,1)</f>
        <v>0</v>
      </c>
      <c r="G82" s="306" t="s">
        <v>283</v>
      </c>
      <c r="H82" s="32" t="str">
        <f>IF(G82="Windows Server", "C:\", "/")</f>
        <v>C:\</v>
      </c>
      <c r="I82" s="146">
        <f>IF(G82="Windows Server", 150, 20)</f>
        <v>150</v>
      </c>
      <c r="J82" s="296">
        <f>SUM(I82:I85)</f>
        <v>300</v>
      </c>
      <c r="K82" s="307">
        <f>J82 *(IF(C82="AZURE", SUMMARY!C$20, SUMMARY!C$21))</f>
        <v>28.8</v>
      </c>
      <c r="L82" s="308"/>
      <c r="M82" s="299">
        <f>IF(C82="ON PREM", 0, SUMMARY!C$25%)</f>
        <v>0.12</v>
      </c>
      <c r="N82" s="299">
        <f>IF(C82="AWS",SUMMARY!C$26%, 0)</f>
        <v>0.13</v>
      </c>
      <c r="O82" s="300">
        <f>((SUM(K82:L82))-((SUM(K82:L82))*N82))*(1 + M82)</f>
        <v>28.062720000000002</v>
      </c>
      <c r="P82" s="300">
        <f>O82*12</f>
        <v>336.75264000000004</v>
      </c>
    </row>
    <row r="83" spans="1:16">
      <c r="A83" s="302"/>
      <c r="B83" s="302"/>
      <c r="C83" s="303"/>
      <c r="D83" s="311"/>
      <c r="E83" s="311"/>
      <c r="F83" s="311"/>
      <c r="G83" s="306"/>
      <c r="H83" s="155" t="str">
        <f>IF(G82="Windows Server", "F:\appdir", "/appdir")</f>
        <v>F:\appdir</v>
      </c>
      <c r="I83" s="152">
        <f>CEILING(I57*(100+SUMMARY!$C$24)%,1)</f>
        <v>0</v>
      </c>
      <c r="J83" s="296"/>
      <c r="K83" s="296"/>
      <c r="L83" s="296"/>
      <c r="M83" s="296"/>
      <c r="N83" s="296"/>
      <c r="O83" s="296"/>
      <c r="P83" s="296"/>
    </row>
    <row r="84" spans="1:16">
      <c r="A84" s="302"/>
      <c r="B84" s="302"/>
      <c r="C84" s="303"/>
      <c r="D84" s="311"/>
      <c r="E84" s="311"/>
      <c r="F84" s="311"/>
      <c r="G84" s="306"/>
      <c r="H84" s="32" t="str">
        <f>IF(G82="Windows Server", "G:\Log", "/var/log")</f>
        <v>G:\Log</v>
      </c>
      <c r="I84" s="146">
        <f>IF(G82="Windows Server", 50, 20)</f>
        <v>50</v>
      </c>
      <c r="J84" s="296"/>
      <c r="K84" s="296"/>
      <c r="L84" s="296"/>
      <c r="M84" s="296"/>
      <c r="N84" s="296"/>
      <c r="O84" s="296"/>
      <c r="P84" s="296"/>
    </row>
    <row r="85" spans="1:16">
      <c r="A85" s="302"/>
      <c r="B85" s="302"/>
      <c r="C85" s="303"/>
      <c r="D85" s="311"/>
      <c r="E85" s="311"/>
      <c r="F85" s="311"/>
      <c r="G85" s="306"/>
      <c r="H85" s="32" t="str">
        <f>IF(G82="Windows Server", "H:\Backup", "/backup")</f>
        <v>H:\Backup</v>
      </c>
      <c r="I85" s="146">
        <f>IF(G82="Windows Server", 100, 10)</f>
        <v>100</v>
      </c>
      <c r="J85" s="296"/>
      <c r="K85" s="296"/>
      <c r="L85" s="296"/>
      <c r="M85" s="296"/>
      <c r="N85" s="296"/>
      <c r="O85" s="296"/>
      <c r="P85" s="296"/>
    </row>
    <row r="86" spans="1:16" ht="13.5" customHeight="1">
      <c r="A86" s="302"/>
      <c r="B86" s="290">
        <f>((12*5*4)/(24*7*4))*730</f>
        <v>260.71428571428572</v>
      </c>
      <c r="C86" s="303" t="s">
        <v>282</v>
      </c>
      <c r="D86" s="311"/>
      <c r="E86" s="305">
        <f>CEILING(E60*(100+SUMMARY!$C$24)%,1)</f>
        <v>0</v>
      </c>
      <c r="F86" s="305">
        <f>CEILING(F60*(100+SUMMARY!$C$24)%,1)</f>
        <v>0</v>
      </c>
      <c r="G86" s="306" t="s">
        <v>287</v>
      </c>
      <c r="H86" s="32" t="str">
        <f>IF(G86="Windows Server", "C:\", "/")</f>
        <v>/</v>
      </c>
      <c r="I86" s="146">
        <f>IF(G86="Windows Server", 150, 20)</f>
        <v>20</v>
      </c>
      <c r="J86" s="296">
        <f>SUM(I86:I89)</f>
        <v>50</v>
      </c>
      <c r="K86" s="307">
        <f>J86 *(IF(C86="AZURE", SUMMARY!C$20, SUMMARY!C$21))</f>
        <v>4.8</v>
      </c>
      <c r="L86" s="308"/>
      <c r="M86" s="299">
        <f>IF(C86="ON PREM", 0, SUMMARY!C$25%)</f>
        <v>0.12</v>
      </c>
      <c r="N86" s="299">
        <f>IF(C86="AWS",SUMMARY!C$26%, 0)</f>
        <v>0.13</v>
      </c>
      <c r="O86" s="300">
        <f>((SUM(K86:L86))-((SUM(K86:L86))*N86))*(1 + M86)</f>
        <v>4.6771200000000004</v>
      </c>
      <c r="P86" s="300">
        <f>O86*12</f>
        <v>56.125440000000005</v>
      </c>
    </row>
    <row r="87" spans="1:16">
      <c r="A87" s="302"/>
      <c r="B87" s="302"/>
      <c r="C87" s="303"/>
      <c r="D87" s="311"/>
      <c r="E87" s="311"/>
      <c r="F87" s="311"/>
      <c r="G87" s="306"/>
      <c r="H87" s="155" t="str">
        <f>IF(G86="Windows Server", "F:\appdir", "/appdir")</f>
        <v>/appdir</v>
      </c>
      <c r="I87" s="152">
        <f>CEILING(I61*(100+SUMMARY!$C$24)%,1)</f>
        <v>0</v>
      </c>
      <c r="J87" s="296"/>
      <c r="K87" s="296"/>
      <c r="L87" s="296"/>
      <c r="M87" s="296"/>
      <c r="N87" s="296"/>
      <c r="O87" s="296"/>
      <c r="P87" s="296"/>
    </row>
    <row r="88" spans="1:16">
      <c r="A88" s="302"/>
      <c r="B88" s="302"/>
      <c r="C88" s="303"/>
      <c r="D88" s="311"/>
      <c r="E88" s="311"/>
      <c r="F88" s="311"/>
      <c r="G88" s="306"/>
      <c r="H88" s="32" t="str">
        <f>IF(G86="Windows Server", "G:\Log", "/var/log")</f>
        <v>/var/log</v>
      </c>
      <c r="I88" s="146">
        <f>IF(G86="Windows Server", 50, 20)</f>
        <v>20</v>
      </c>
      <c r="J88" s="296"/>
      <c r="K88" s="296"/>
      <c r="L88" s="296"/>
      <c r="M88" s="296"/>
      <c r="N88" s="296"/>
      <c r="O88" s="296"/>
      <c r="P88" s="296"/>
    </row>
    <row r="89" spans="1:16">
      <c r="A89" s="302"/>
      <c r="B89" s="302"/>
      <c r="C89" s="303"/>
      <c r="D89" s="311"/>
      <c r="E89" s="311"/>
      <c r="F89" s="311"/>
      <c r="G89" s="306"/>
      <c r="H89" s="32" t="str">
        <f>IF(G86="Windows Server", "H:\Backup", "/backup")</f>
        <v>/backup</v>
      </c>
      <c r="I89" s="146">
        <f>IF(G86="Windows Server", 100, 10)</f>
        <v>10</v>
      </c>
      <c r="J89" s="296"/>
      <c r="K89" s="296"/>
      <c r="L89" s="296"/>
      <c r="M89" s="296"/>
      <c r="N89" s="296"/>
      <c r="O89" s="296"/>
      <c r="P89" s="296"/>
    </row>
    <row r="90" spans="1:16" ht="13.5" customHeight="1">
      <c r="A90" s="302"/>
      <c r="B90" s="290">
        <f>((12*5*4)/(24*7*4))*730</f>
        <v>260.71428571428572</v>
      </c>
      <c r="C90" s="303" t="s">
        <v>282</v>
      </c>
      <c r="D90" s="311"/>
      <c r="E90" s="305">
        <f>CEILING(E64*(100+SUMMARY!$C$24)%,1)</f>
        <v>0</v>
      </c>
      <c r="F90" s="305">
        <f>CEILING(F64*(100+SUMMARY!$C$24)%,1)</f>
        <v>0</v>
      </c>
      <c r="G90" s="306" t="s">
        <v>283</v>
      </c>
      <c r="H90" s="32" t="str">
        <f>IF(G90="Windows Server", "C:\", "/")</f>
        <v>C:\</v>
      </c>
      <c r="I90" s="146">
        <f>IF(G90="Windows Server", 150, 20)</f>
        <v>150</v>
      </c>
      <c r="J90" s="296">
        <f>SUM(I90:I93)</f>
        <v>300</v>
      </c>
      <c r="K90" s="307">
        <f>J90 *(IF(C90="AZURE", SUMMARY!C$20, SUMMARY!C$21))</f>
        <v>28.8</v>
      </c>
      <c r="L90" s="308"/>
      <c r="M90" s="299">
        <f>IF(C90="ON PREM", 0, SUMMARY!C$25%)</f>
        <v>0.12</v>
      </c>
      <c r="N90" s="299">
        <f>IF(C90="AWS",SUMMARY!C$26%, 0)</f>
        <v>0.13</v>
      </c>
      <c r="O90" s="300">
        <f>((SUM(K90:L90))-((SUM(K90:L90))*N90))*(1 + M90)</f>
        <v>28.062720000000002</v>
      </c>
      <c r="P90" s="300">
        <f>O90*12</f>
        <v>336.75264000000004</v>
      </c>
    </row>
    <row r="91" spans="1:16">
      <c r="A91" s="302"/>
      <c r="B91" s="302"/>
      <c r="C91" s="303"/>
      <c r="D91" s="311"/>
      <c r="E91" s="311"/>
      <c r="F91" s="311"/>
      <c r="G91" s="306"/>
      <c r="H91" s="155" t="str">
        <f>IF(G90="Windows Server", "F:\appdir", "/appdir")</f>
        <v>F:\appdir</v>
      </c>
      <c r="I91" s="152">
        <f>CEILING(I65*(100+SUMMARY!$C$24)%,1)</f>
        <v>0</v>
      </c>
      <c r="J91" s="296"/>
      <c r="K91" s="296"/>
      <c r="L91" s="296"/>
      <c r="M91" s="296"/>
      <c r="N91" s="296"/>
      <c r="O91" s="296"/>
      <c r="P91" s="296"/>
    </row>
    <row r="92" spans="1:16">
      <c r="A92" s="302"/>
      <c r="B92" s="302"/>
      <c r="C92" s="303"/>
      <c r="D92" s="311"/>
      <c r="E92" s="311"/>
      <c r="F92" s="311"/>
      <c r="G92" s="306"/>
      <c r="H92" s="32" t="str">
        <f>IF(G90="Windows Server", "G:\Log", "/var/log")</f>
        <v>G:\Log</v>
      </c>
      <c r="I92" s="146">
        <f>IF(G90="Windows Server", 50, 20)</f>
        <v>50</v>
      </c>
      <c r="J92" s="296"/>
      <c r="K92" s="296"/>
      <c r="L92" s="296"/>
      <c r="M92" s="296"/>
      <c r="N92" s="296"/>
      <c r="O92" s="296"/>
      <c r="P92" s="296"/>
    </row>
    <row r="93" spans="1:16">
      <c r="A93" s="302"/>
      <c r="B93" s="302"/>
      <c r="C93" s="303"/>
      <c r="D93" s="311"/>
      <c r="E93" s="311"/>
      <c r="F93" s="311"/>
      <c r="G93" s="306"/>
      <c r="H93" s="32" t="str">
        <f>IF(G90="Windows Server", "H:\Backup", "/backup")</f>
        <v>H:\Backup</v>
      </c>
      <c r="I93" s="146">
        <f>IF(G90="Windows Server", 100, 10)</f>
        <v>100</v>
      </c>
      <c r="J93" s="296"/>
      <c r="K93" s="296"/>
      <c r="L93" s="296"/>
      <c r="M93" s="296"/>
      <c r="N93" s="296"/>
      <c r="O93" s="296"/>
      <c r="P93" s="296"/>
    </row>
    <row r="94" spans="1:16" ht="13.5" customHeight="1">
      <c r="A94" s="302"/>
      <c r="B94" s="290">
        <f>((12*5*4)/(24*7*4))*730</f>
        <v>260.71428571428572</v>
      </c>
      <c r="C94" s="303" t="s">
        <v>282</v>
      </c>
      <c r="D94" s="311"/>
      <c r="E94" s="305">
        <f>CEILING(E68*(100+SUMMARY!$C$24)%,1)</f>
        <v>0</v>
      </c>
      <c r="F94" s="305">
        <f>CEILING(F68*(100+SUMMARY!$C$24)%,1)</f>
        <v>0</v>
      </c>
      <c r="G94" s="306" t="s">
        <v>283</v>
      </c>
      <c r="H94" s="32" t="str">
        <f>IF(G94="Windows Server", "C:\", "/")</f>
        <v>C:\</v>
      </c>
      <c r="I94" s="146">
        <f>IF(G94="Windows Server", 150, 20)</f>
        <v>150</v>
      </c>
      <c r="J94" s="296">
        <f>SUM(I94:I97)</f>
        <v>300</v>
      </c>
      <c r="K94" s="307">
        <f>J94 *(IF(C94="AZURE", SUMMARY!C$20, SUMMARY!C$21))</f>
        <v>28.8</v>
      </c>
      <c r="L94" s="308"/>
      <c r="M94" s="299">
        <f>IF(C94="ON PREM", 0, SUMMARY!C$25%)</f>
        <v>0.12</v>
      </c>
      <c r="N94" s="299">
        <f>IF(C94="AWS",SUMMARY!C$26%, 0)</f>
        <v>0.13</v>
      </c>
      <c r="O94" s="300">
        <f>((SUM(K94:L94))-((SUM(K94:L94))*N94))*(1 + M94)</f>
        <v>28.062720000000002</v>
      </c>
      <c r="P94" s="300">
        <f>O94*12</f>
        <v>336.75264000000004</v>
      </c>
    </row>
    <row r="95" spans="1:16">
      <c r="A95" s="302"/>
      <c r="B95" s="302"/>
      <c r="C95" s="303"/>
      <c r="D95" s="311"/>
      <c r="E95" s="311"/>
      <c r="F95" s="311"/>
      <c r="G95" s="306"/>
      <c r="H95" s="155" t="str">
        <f>IF(G94="Windows Server", "F:\appdir", "/appdir")</f>
        <v>F:\appdir</v>
      </c>
      <c r="I95" s="152">
        <f>CEILING(I69*(100+SUMMARY!$C$24)%,1)</f>
        <v>0</v>
      </c>
      <c r="J95" s="296"/>
      <c r="K95" s="296"/>
      <c r="L95" s="296"/>
      <c r="M95" s="296"/>
      <c r="N95" s="296"/>
      <c r="O95" s="296"/>
      <c r="P95" s="296"/>
    </row>
    <row r="96" spans="1:16">
      <c r="A96" s="302"/>
      <c r="B96" s="302"/>
      <c r="C96" s="303"/>
      <c r="D96" s="311"/>
      <c r="E96" s="311"/>
      <c r="F96" s="311"/>
      <c r="G96" s="306"/>
      <c r="H96" s="32" t="str">
        <f>IF(G94="Windows Server", "G:\Log", "/var/log")</f>
        <v>G:\Log</v>
      </c>
      <c r="I96" s="146">
        <f>IF(G94="Windows Server", 50, 20)</f>
        <v>50</v>
      </c>
      <c r="J96" s="296"/>
      <c r="K96" s="296"/>
      <c r="L96" s="296"/>
      <c r="M96" s="296"/>
      <c r="N96" s="296"/>
      <c r="O96" s="296"/>
      <c r="P96" s="296"/>
    </row>
    <row r="97" spans="1:16">
      <c r="A97" s="302"/>
      <c r="B97" s="302"/>
      <c r="C97" s="303"/>
      <c r="D97" s="311"/>
      <c r="E97" s="311"/>
      <c r="F97" s="311"/>
      <c r="G97" s="306"/>
      <c r="H97" s="32" t="str">
        <f>IF(G94="Windows Server", "H:\Backup", "/backup")</f>
        <v>H:\Backup</v>
      </c>
      <c r="I97" s="146">
        <f>IF(G94="Windows Server", 100, 10)</f>
        <v>100</v>
      </c>
      <c r="J97" s="296"/>
      <c r="K97" s="296"/>
      <c r="L97" s="296"/>
      <c r="M97" s="296"/>
      <c r="N97" s="296"/>
      <c r="O97" s="296"/>
      <c r="P97" s="296"/>
    </row>
    <row r="98" spans="1:16" ht="13.5" customHeight="1">
      <c r="A98" s="302"/>
      <c r="B98" s="290">
        <f>((12*5*4)/(24*7*4))*730</f>
        <v>260.71428571428572</v>
      </c>
      <c r="C98" s="303" t="s">
        <v>282</v>
      </c>
      <c r="D98" s="311"/>
      <c r="E98" s="305">
        <f>CEILING(E72*(100+SUMMARY!$C$24)%,1)</f>
        <v>0</v>
      </c>
      <c r="F98" s="305">
        <f>CEILING(F72*(100+SUMMARY!$C$24)%,1)</f>
        <v>0</v>
      </c>
      <c r="G98" s="306" t="s">
        <v>283</v>
      </c>
      <c r="H98" s="32" t="str">
        <f>IF(G98="Windows Server", "C:\", "/")</f>
        <v>C:\</v>
      </c>
      <c r="I98" s="146">
        <f>IF(G98="Windows Server", 150, 20)</f>
        <v>150</v>
      </c>
      <c r="J98" s="296">
        <f>SUM(I98:I101)</f>
        <v>300</v>
      </c>
      <c r="K98" s="307">
        <f>J98 *(IF(C98="AZURE", SUMMARY!C$20, SUMMARY!C$21))</f>
        <v>28.8</v>
      </c>
      <c r="L98" s="308"/>
      <c r="M98" s="299">
        <f>IF(C98="ON PREM", 0, SUMMARY!C$25%)</f>
        <v>0.12</v>
      </c>
      <c r="N98" s="299">
        <f>IF(C98="AWS",SUMMARY!C$26%, 0)</f>
        <v>0.13</v>
      </c>
      <c r="O98" s="300">
        <f>((SUM(K98:L98))-((SUM(K98:L98))*N98))*(1 + M98)</f>
        <v>28.062720000000002</v>
      </c>
      <c r="P98" s="300">
        <f>O98*12</f>
        <v>336.75264000000004</v>
      </c>
    </row>
    <row r="99" spans="1:16">
      <c r="A99" s="302"/>
      <c r="B99" s="302"/>
      <c r="C99" s="303"/>
      <c r="D99" s="311"/>
      <c r="E99" s="311"/>
      <c r="F99" s="311"/>
      <c r="G99" s="306"/>
      <c r="H99" s="155" t="str">
        <f>IF(G98="Windows Server", "F:\appdir", "/appdir")</f>
        <v>F:\appdir</v>
      </c>
      <c r="I99" s="152">
        <f>CEILING(I73*(100+SUMMARY!$C$24)%,1)</f>
        <v>0</v>
      </c>
      <c r="J99" s="296"/>
      <c r="K99" s="296"/>
      <c r="L99" s="296"/>
      <c r="M99" s="296"/>
      <c r="N99" s="296"/>
      <c r="O99" s="296"/>
      <c r="P99" s="296"/>
    </row>
    <row r="100" spans="1:16">
      <c r="A100" s="302"/>
      <c r="B100" s="302"/>
      <c r="C100" s="303"/>
      <c r="D100" s="311"/>
      <c r="E100" s="311"/>
      <c r="F100" s="311"/>
      <c r="G100" s="306"/>
      <c r="H100" s="32" t="str">
        <f>IF(G98="Windows Server", "G:\Log", "/var/log")</f>
        <v>G:\Log</v>
      </c>
      <c r="I100" s="146">
        <f>IF(G98="Windows Server", 50, 20)</f>
        <v>50</v>
      </c>
      <c r="J100" s="296"/>
      <c r="K100" s="296"/>
      <c r="L100" s="296"/>
      <c r="M100" s="296"/>
      <c r="N100" s="296"/>
      <c r="O100" s="296"/>
      <c r="P100" s="296"/>
    </row>
    <row r="101" spans="1:16">
      <c r="A101" s="302"/>
      <c r="B101" s="302"/>
      <c r="C101" s="303"/>
      <c r="D101" s="311"/>
      <c r="E101" s="311"/>
      <c r="F101" s="311"/>
      <c r="G101" s="306"/>
      <c r="H101" s="32" t="str">
        <f>IF(G98="Windows Server", "H:\Backup", "/backup")</f>
        <v>H:\Backup</v>
      </c>
      <c r="I101" s="146">
        <f>IF(G98="Windows Server", 100, 10)</f>
        <v>100</v>
      </c>
      <c r="J101" s="296"/>
      <c r="K101" s="296"/>
      <c r="L101" s="296"/>
      <c r="M101" s="296"/>
      <c r="N101" s="296"/>
      <c r="O101" s="296"/>
      <c r="P101" s="296"/>
    </row>
    <row r="102" spans="1:16" ht="13.5" customHeight="1">
      <c r="A102" s="302"/>
      <c r="B102" s="290">
        <f>((12*5*4)/(24*7*4))*730</f>
        <v>260.71428571428572</v>
      </c>
      <c r="C102" s="303" t="s">
        <v>282</v>
      </c>
      <c r="D102" s="311"/>
      <c r="E102" s="305">
        <f>CEILING(E76*(100+SUMMARY!$C$24)%,1)</f>
        <v>0</v>
      </c>
      <c r="F102" s="305">
        <f>CEILING(F76*(100+SUMMARY!$C$24)%,1)</f>
        <v>0</v>
      </c>
      <c r="G102" s="306" t="s">
        <v>283</v>
      </c>
      <c r="H102" s="32" t="str">
        <f>IF(G102="Windows Server", "C:\", "/")</f>
        <v>C:\</v>
      </c>
      <c r="I102" s="146">
        <f>IF(G102="Windows Server", 150, 20)</f>
        <v>150</v>
      </c>
      <c r="J102" s="296">
        <f>SUM(I102:I105)</f>
        <v>300</v>
      </c>
      <c r="K102" s="307">
        <f>J102 *(IF(C102="AZURE", SUMMARY!C$20, SUMMARY!C$21))</f>
        <v>28.8</v>
      </c>
      <c r="L102" s="308"/>
      <c r="M102" s="299">
        <f>IF(C102="ON PREM", 0, SUMMARY!C$25%)</f>
        <v>0.12</v>
      </c>
      <c r="N102" s="299">
        <f>IF(C102="AWS",SUMMARY!C$26%, 0)</f>
        <v>0.13</v>
      </c>
      <c r="O102" s="300">
        <f>((SUM(K102:L102))-((SUM(K102:L102))*N102))*(1 + M102)</f>
        <v>28.062720000000002</v>
      </c>
      <c r="P102" s="300">
        <f>O102*12</f>
        <v>336.75264000000004</v>
      </c>
    </row>
    <row r="103" spans="1:16">
      <c r="A103" s="302"/>
      <c r="B103" s="302"/>
      <c r="C103" s="303"/>
      <c r="D103" s="311"/>
      <c r="E103" s="311"/>
      <c r="F103" s="311"/>
      <c r="G103" s="306"/>
      <c r="H103" s="155" t="str">
        <f>IF(G102="Windows Server", "F:\appdir", "/appdir")</f>
        <v>F:\appdir</v>
      </c>
      <c r="I103" s="152">
        <f>CEILING(I77*(100+SUMMARY!$C$24)%,1)</f>
        <v>0</v>
      </c>
      <c r="J103" s="296"/>
      <c r="K103" s="296"/>
      <c r="L103" s="296"/>
      <c r="M103" s="296"/>
      <c r="N103" s="296"/>
      <c r="O103" s="296"/>
      <c r="P103" s="296"/>
    </row>
    <row r="104" spans="1:16">
      <c r="A104" s="302"/>
      <c r="B104" s="302"/>
      <c r="C104" s="303"/>
      <c r="D104" s="311"/>
      <c r="E104" s="311"/>
      <c r="F104" s="311"/>
      <c r="G104" s="306"/>
      <c r="H104" s="32" t="str">
        <f>IF(G102="Windows Server", "G:\Log", "/var/log")</f>
        <v>G:\Log</v>
      </c>
      <c r="I104" s="146">
        <f>IF(G102="Windows Server", 50, 20)</f>
        <v>50</v>
      </c>
      <c r="J104" s="296"/>
      <c r="K104" s="296"/>
      <c r="L104" s="296"/>
      <c r="M104" s="296"/>
      <c r="N104" s="296"/>
      <c r="O104" s="296"/>
      <c r="P104" s="296"/>
    </row>
    <row r="105" spans="1:16">
      <c r="A105" s="302"/>
      <c r="B105" s="302"/>
      <c r="C105" s="303"/>
      <c r="D105" s="311"/>
      <c r="E105" s="311"/>
      <c r="F105" s="311"/>
      <c r="G105" s="306"/>
      <c r="H105" s="32" t="str">
        <f>IF(G102="Windows Server", "H:\Backup", "/backup")</f>
        <v>H:\Backup</v>
      </c>
      <c r="I105" s="146">
        <f>IF(G102="Windows Server", 100, 10)</f>
        <v>100</v>
      </c>
      <c r="J105" s="296"/>
      <c r="K105" s="296"/>
      <c r="L105" s="296"/>
      <c r="M105" s="296"/>
      <c r="N105" s="296"/>
      <c r="O105" s="296"/>
      <c r="P105" s="296"/>
    </row>
    <row r="106" spans="1:16" ht="14.25" customHeight="1">
      <c r="A106" s="3"/>
      <c r="B106" s="153"/>
      <c r="C106" s="153"/>
      <c r="D106" s="153"/>
      <c r="E106" s="156">
        <f>SUM(E82:E105)</f>
        <v>0</v>
      </c>
      <c r="F106" s="156">
        <f>SUM(F82:F105)</f>
        <v>0</v>
      </c>
      <c r="G106" s="156"/>
      <c r="H106" s="153"/>
      <c r="I106" s="153"/>
      <c r="J106" s="156">
        <f>SUM(J82:J105)</f>
        <v>1550</v>
      </c>
      <c r="K106" s="154">
        <f>SUM(K82:K105)</f>
        <v>148.80000000000001</v>
      </c>
      <c r="L106" s="154">
        <f>SUM(L82:L105)</f>
        <v>0</v>
      </c>
      <c r="M106" s="154"/>
      <c r="N106" s="154"/>
      <c r="O106" s="154">
        <f>SUM(O82:O105)</f>
        <v>144.99072000000001</v>
      </c>
      <c r="P106" s="154">
        <f>SUM(P82:P105)</f>
        <v>1739.8886400000006</v>
      </c>
    </row>
    <row r="107" spans="1:16" s="129" customFormat="1">
      <c r="A107" s="144" t="s">
        <v>290</v>
      </c>
      <c r="B107" s="301"/>
      <c r="C107" s="301"/>
      <c r="D107" s="301"/>
      <c r="E107" s="301"/>
      <c r="F107" s="301"/>
      <c r="G107" s="301"/>
      <c r="H107" s="301"/>
      <c r="I107" s="301"/>
      <c r="J107" s="301"/>
      <c r="K107" s="301"/>
      <c r="L107" s="301"/>
      <c r="M107" s="301"/>
      <c r="N107" s="301"/>
      <c r="O107" s="301"/>
      <c r="P107" s="301"/>
    </row>
    <row r="108" spans="1:16" ht="13.5" customHeight="1">
      <c r="A108" s="294"/>
      <c r="B108" s="290">
        <f>((12*5*4)/(24*7*4))*730</f>
        <v>260.71428571428572</v>
      </c>
      <c r="C108" s="294" t="s">
        <v>286</v>
      </c>
      <c r="D108" s="295"/>
      <c r="E108" s="310">
        <f>CEILING(E82*(100+SUMMARY!$C$24)%,1)</f>
        <v>0</v>
      </c>
      <c r="F108" s="310">
        <f>CEILING(F82*(100+SUMMARY!$C$24)%,1)</f>
        <v>0</v>
      </c>
      <c r="G108" s="294" t="s">
        <v>283</v>
      </c>
      <c r="H108" s="32" t="str">
        <f>IF(G108="Windows Server", "C:\", "/")</f>
        <v>C:\</v>
      </c>
      <c r="I108" s="146">
        <f>IF(G108="Windows Server", 150, 20)</f>
        <v>150</v>
      </c>
      <c r="J108" s="296">
        <f>SUM(I108:I111)</f>
        <v>300</v>
      </c>
      <c r="K108" s="297">
        <f>J108 *(IF(C108="AZURE", SUMMARY!C$20, SUMMARY!C$21))</f>
        <v>28.8</v>
      </c>
      <c r="L108" s="298"/>
      <c r="M108" s="299">
        <f>IF(C108="ON PREM", 0, SUMMARY!C$25%)</f>
        <v>0.12</v>
      </c>
      <c r="N108" s="299">
        <f>IF(C108="AWS",SUMMARY!C$26%, 0)</f>
        <v>0</v>
      </c>
      <c r="O108" s="300">
        <f>((SUM(K108:L108))-((SUM(K108:L108))*N108))*(1 + M108)</f>
        <v>32.256000000000007</v>
      </c>
      <c r="P108" s="300">
        <f>O108*12</f>
        <v>387.07200000000012</v>
      </c>
    </row>
    <row r="109" spans="1:16">
      <c r="A109" s="294"/>
      <c r="B109" s="294"/>
      <c r="C109" s="294"/>
      <c r="D109" s="295"/>
      <c r="E109" s="295"/>
      <c r="F109" s="295"/>
      <c r="G109" s="294"/>
      <c r="H109" s="148" t="str">
        <f>IF(G108="Windows Server", "F:\appdir", "/appdir")</f>
        <v>F:\appdir</v>
      </c>
      <c r="I109" s="149">
        <f>CEILING(I83*(100+SUMMARY!$C$24)%,1)</f>
        <v>0</v>
      </c>
      <c r="J109" s="296"/>
      <c r="K109" s="296"/>
      <c r="L109" s="296"/>
      <c r="M109" s="296"/>
      <c r="N109" s="296"/>
      <c r="O109" s="296"/>
      <c r="P109" s="296"/>
    </row>
    <row r="110" spans="1:16">
      <c r="A110" s="294"/>
      <c r="B110" s="294"/>
      <c r="C110" s="294"/>
      <c r="D110" s="295"/>
      <c r="E110" s="295"/>
      <c r="F110" s="295"/>
      <c r="G110" s="294"/>
      <c r="H110" s="32" t="str">
        <f>IF(G108="Windows Server", "G:\Log", "/var/log")</f>
        <v>G:\Log</v>
      </c>
      <c r="I110" s="146">
        <f>IF(G108="Windows Server", 50, 20)</f>
        <v>50</v>
      </c>
      <c r="J110" s="296"/>
      <c r="K110" s="296"/>
      <c r="L110" s="296"/>
      <c r="M110" s="296"/>
      <c r="N110" s="296"/>
      <c r="O110" s="296"/>
      <c r="P110" s="296"/>
    </row>
    <row r="111" spans="1:16">
      <c r="A111" s="294"/>
      <c r="B111" s="294"/>
      <c r="C111" s="294"/>
      <c r="D111" s="295"/>
      <c r="E111" s="295"/>
      <c r="F111" s="295"/>
      <c r="G111" s="294"/>
      <c r="H111" s="32" t="str">
        <f>IF(G108="Windows Server", "H:\Backup", "/backup")</f>
        <v>H:\Backup</v>
      </c>
      <c r="I111" s="146">
        <f>IF(G108="Windows Server", 100, 10)</f>
        <v>100</v>
      </c>
      <c r="J111" s="296"/>
      <c r="K111" s="296"/>
      <c r="L111" s="296"/>
      <c r="M111" s="296"/>
      <c r="N111" s="296"/>
      <c r="O111" s="296"/>
      <c r="P111" s="296"/>
    </row>
    <row r="112" spans="1:16" ht="13.5" customHeight="1">
      <c r="A112" s="294"/>
      <c r="B112" s="290">
        <f>((12*5*4)/(24*7*4))*730</f>
        <v>260.71428571428572</v>
      </c>
      <c r="C112" s="294" t="s">
        <v>288</v>
      </c>
      <c r="D112" s="295"/>
      <c r="E112" s="310">
        <f>CEILING(E86*(100+SUMMARY!$C$24)%,1)</f>
        <v>0</v>
      </c>
      <c r="F112" s="310">
        <f>CEILING(F86*(100+SUMMARY!$C$24)%,1)</f>
        <v>0</v>
      </c>
      <c r="G112" s="294" t="s">
        <v>293</v>
      </c>
      <c r="H112" s="32" t="str">
        <f>IF(G112="Windows Server", "C:\", "/")</f>
        <v>/</v>
      </c>
      <c r="I112" s="146">
        <f>IF(G112="Windows Server", 150, 20)</f>
        <v>20</v>
      </c>
      <c r="J112" s="296">
        <f>SUM(I112:I115)</f>
        <v>50</v>
      </c>
      <c r="K112" s="297">
        <f>J112 *(IF(C112="AZURE", SUMMARY!C$20, SUMMARY!C$21))</f>
        <v>4.8</v>
      </c>
      <c r="L112" s="298"/>
      <c r="M112" s="299">
        <f>IF(C112="ON PREM", 0, SUMMARY!C$25%)</f>
        <v>0</v>
      </c>
      <c r="N112" s="299">
        <f>IF(C112="AWS",SUMMARY!C$26%, 0)</f>
        <v>0</v>
      </c>
      <c r="O112" s="300">
        <f>((SUM(K112:L112))-((SUM(K112:L112))*N112))*(1 + M112)</f>
        <v>4.8</v>
      </c>
      <c r="P112" s="300">
        <f>O112*12</f>
        <v>57.599999999999994</v>
      </c>
    </row>
    <row r="113" spans="1:16">
      <c r="A113" s="294"/>
      <c r="B113" s="294"/>
      <c r="C113" s="294"/>
      <c r="D113" s="295"/>
      <c r="E113" s="295"/>
      <c r="F113" s="295"/>
      <c r="G113" s="294"/>
      <c r="H113" s="148" t="str">
        <f>IF(G112="Windows Server", "F:\appdir", "/appdir")</f>
        <v>/appdir</v>
      </c>
      <c r="I113" s="149">
        <f>CEILING(I87*(100+SUMMARY!$C$24)%,1)</f>
        <v>0</v>
      </c>
      <c r="J113" s="296"/>
      <c r="K113" s="296"/>
      <c r="L113" s="296"/>
      <c r="M113" s="296"/>
      <c r="N113" s="296"/>
      <c r="O113" s="296"/>
      <c r="P113" s="296"/>
    </row>
    <row r="114" spans="1:16">
      <c r="A114" s="294"/>
      <c r="B114" s="294"/>
      <c r="C114" s="294"/>
      <c r="D114" s="295"/>
      <c r="E114" s="295"/>
      <c r="F114" s="295"/>
      <c r="G114" s="294"/>
      <c r="H114" s="32" t="str">
        <f>IF(G112="Windows Server", "G:\Log", "/var/log")</f>
        <v>/var/log</v>
      </c>
      <c r="I114" s="146">
        <f>IF(G112="Windows Server", 50, 20)</f>
        <v>20</v>
      </c>
      <c r="J114" s="296"/>
      <c r="K114" s="296"/>
      <c r="L114" s="296"/>
      <c r="M114" s="296"/>
      <c r="N114" s="296"/>
      <c r="O114" s="296"/>
      <c r="P114" s="296"/>
    </row>
    <row r="115" spans="1:16">
      <c r="A115" s="294"/>
      <c r="B115" s="294"/>
      <c r="C115" s="294"/>
      <c r="D115" s="295"/>
      <c r="E115" s="295"/>
      <c r="F115" s="295"/>
      <c r="G115" s="294"/>
      <c r="H115" s="32" t="str">
        <f>IF(G112="Windows Server", "H:\Backup", "/backup")</f>
        <v>/backup</v>
      </c>
      <c r="I115" s="146">
        <f>IF(G112="Windows Server", 100, 10)</f>
        <v>10</v>
      </c>
      <c r="J115" s="296"/>
      <c r="K115" s="296"/>
      <c r="L115" s="296"/>
      <c r="M115" s="296"/>
      <c r="N115" s="296"/>
      <c r="O115" s="296"/>
      <c r="P115" s="296"/>
    </row>
    <row r="116" spans="1:16" ht="13.5" customHeight="1">
      <c r="A116" s="294"/>
      <c r="B116" s="290">
        <f>((12*5*4)/(24*7*4))*730</f>
        <v>260.71428571428572</v>
      </c>
      <c r="C116" s="294" t="s">
        <v>286</v>
      </c>
      <c r="D116" s="295"/>
      <c r="E116" s="310">
        <f>CEILING(E90*(100+SUMMARY!$C$24)%,1)</f>
        <v>0</v>
      </c>
      <c r="F116" s="310">
        <f>CEILING(F90*(100+SUMMARY!$C$24)%,1)</f>
        <v>0</v>
      </c>
      <c r="G116" s="294" t="s">
        <v>294</v>
      </c>
      <c r="H116" s="32" t="str">
        <f>IF(G116="Windows Server", "C:\", "/")</f>
        <v>/</v>
      </c>
      <c r="I116" s="146">
        <f>IF(G116="Windows Server", 150, 20)</f>
        <v>20</v>
      </c>
      <c r="J116" s="296">
        <f>SUM(I116:I119)</f>
        <v>50</v>
      </c>
      <c r="K116" s="297">
        <f>J116 *(IF(C116="AZURE", SUMMARY!C$20, SUMMARY!C$21))</f>
        <v>4.8</v>
      </c>
      <c r="L116" s="298"/>
      <c r="M116" s="299">
        <f>IF(C116="ON PREM", 0, SUMMARY!C$25%)</f>
        <v>0.12</v>
      </c>
      <c r="N116" s="299">
        <f>IF(C116="AWS",SUMMARY!C$26%, 0)</f>
        <v>0</v>
      </c>
      <c r="O116" s="300">
        <f>((SUM(K116:L116))-((SUM(K116:L116))*N116))*(1 + M116)</f>
        <v>5.3760000000000003</v>
      </c>
      <c r="P116" s="300">
        <f>O116*12</f>
        <v>64.512</v>
      </c>
    </row>
    <row r="117" spans="1:16">
      <c r="A117" s="294"/>
      <c r="B117" s="294"/>
      <c r="C117" s="294"/>
      <c r="D117" s="295"/>
      <c r="E117" s="295"/>
      <c r="F117" s="295"/>
      <c r="G117" s="294"/>
      <c r="H117" s="148" t="str">
        <f>IF(G116="Windows Server", "F:\appdir", "/appdir")</f>
        <v>/appdir</v>
      </c>
      <c r="I117" s="149">
        <f>CEILING(I91*(100+SUMMARY!$C$24)%,1)</f>
        <v>0</v>
      </c>
      <c r="J117" s="296"/>
      <c r="K117" s="296"/>
      <c r="L117" s="296"/>
      <c r="M117" s="296"/>
      <c r="N117" s="296"/>
      <c r="O117" s="296"/>
      <c r="P117" s="296"/>
    </row>
    <row r="118" spans="1:16">
      <c r="A118" s="294"/>
      <c r="B118" s="294"/>
      <c r="C118" s="294"/>
      <c r="D118" s="295"/>
      <c r="E118" s="295"/>
      <c r="F118" s="295"/>
      <c r="G118" s="294"/>
      <c r="H118" s="32" t="str">
        <f>IF(G116="Windows Server", "G:\Log", "/var/log")</f>
        <v>/var/log</v>
      </c>
      <c r="I118" s="146">
        <f>IF(G116="Windows Server", 50, 20)</f>
        <v>20</v>
      </c>
      <c r="J118" s="296"/>
      <c r="K118" s="296"/>
      <c r="L118" s="296"/>
      <c r="M118" s="296"/>
      <c r="N118" s="296"/>
      <c r="O118" s="296"/>
      <c r="P118" s="296"/>
    </row>
    <row r="119" spans="1:16">
      <c r="A119" s="294"/>
      <c r="B119" s="294"/>
      <c r="C119" s="294"/>
      <c r="D119" s="295"/>
      <c r="E119" s="295"/>
      <c r="F119" s="295"/>
      <c r="G119" s="294"/>
      <c r="H119" s="32" t="str">
        <f>IF(G116="Windows Server", "H:\Backup", "/backup")</f>
        <v>/backup</v>
      </c>
      <c r="I119" s="146">
        <f>IF(G116="Windows Server", 100, 10)</f>
        <v>10</v>
      </c>
      <c r="J119" s="296"/>
      <c r="K119" s="296"/>
      <c r="L119" s="296"/>
      <c r="M119" s="296"/>
      <c r="N119" s="296"/>
      <c r="O119" s="296"/>
      <c r="P119" s="296"/>
    </row>
    <row r="120" spans="1:16" ht="13.5" customHeight="1">
      <c r="A120" s="294"/>
      <c r="B120" s="290">
        <f>((12*5*4)/(24*7*4))*730</f>
        <v>260.71428571428572</v>
      </c>
      <c r="C120" s="294" t="s">
        <v>286</v>
      </c>
      <c r="D120" s="295"/>
      <c r="E120" s="310">
        <f>CEILING(E94*(100+SUMMARY!$C$24)%,1)</f>
        <v>0</v>
      </c>
      <c r="F120" s="310">
        <f>CEILING(F94*(100+SUMMARY!$C$24)%,1)</f>
        <v>0</v>
      </c>
      <c r="G120" s="294" t="s">
        <v>294</v>
      </c>
      <c r="H120" s="32" t="str">
        <f>IF(G120="Windows Server", "C:\", "/")</f>
        <v>/</v>
      </c>
      <c r="I120" s="146">
        <f>IF(G120="Windows Server", 150, 20)</f>
        <v>20</v>
      </c>
      <c r="J120" s="296">
        <f>SUM(I120:I123)</f>
        <v>50</v>
      </c>
      <c r="K120" s="297">
        <f>J120 *(IF(C120="AZURE", SUMMARY!C$20, SUMMARY!C$21))</f>
        <v>4.8</v>
      </c>
      <c r="L120" s="298"/>
      <c r="M120" s="299">
        <f>IF(C120="ON PREM", 0, SUMMARY!C$25%)</f>
        <v>0.12</v>
      </c>
      <c r="N120" s="299">
        <f>IF(C120="AWS",SUMMARY!C$26%, 0)</f>
        <v>0</v>
      </c>
      <c r="O120" s="300">
        <f>((SUM(K120:L120))-((SUM(K120:L120))*N120))*(1 + M120)</f>
        <v>5.3760000000000003</v>
      </c>
      <c r="P120" s="300">
        <f>O120*12</f>
        <v>64.512</v>
      </c>
    </row>
    <row r="121" spans="1:16">
      <c r="A121" s="294"/>
      <c r="B121" s="294"/>
      <c r="C121" s="294"/>
      <c r="D121" s="295"/>
      <c r="E121" s="295"/>
      <c r="F121" s="295"/>
      <c r="G121" s="294"/>
      <c r="H121" s="148" t="str">
        <f>IF(G120="Windows Server", "F:\appdir", "/appdir")</f>
        <v>/appdir</v>
      </c>
      <c r="I121" s="149">
        <f>CEILING(I95*(100+SUMMARY!$C$24)%,1)</f>
        <v>0</v>
      </c>
      <c r="J121" s="296"/>
      <c r="K121" s="296"/>
      <c r="L121" s="296"/>
      <c r="M121" s="296"/>
      <c r="N121" s="296"/>
      <c r="O121" s="296"/>
      <c r="P121" s="296"/>
    </row>
    <row r="122" spans="1:16">
      <c r="A122" s="294"/>
      <c r="B122" s="294"/>
      <c r="C122" s="294"/>
      <c r="D122" s="295"/>
      <c r="E122" s="295"/>
      <c r="F122" s="295"/>
      <c r="G122" s="294"/>
      <c r="H122" s="32" t="str">
        <f>IF(G120="Windows Server", "G:\Log", "/var/log")</f>
        <v>/var/log</v>
      </c>
      <c r="I122" s="146">
        <f>IF(G120="Windows Server", 50, 20)</f>
        <v>20</v>
      </c>
      <c r="J122" s="296"/>
      <c r="K122" s="296"/>
      <c r="L122" s="296"/>
      <c r="M122" s="296"/>
      <c r="N122" s="296"/>
      <c r="O122" s="296"/>
      <c r="P122" s="296"/>
    </row>
    <row r="123" spans="1:16">
      <c r="A123" s="294"/>
      <c r="B123" s="294"/>
      <c r="C123" s="294"/>
      <c r="D123" s="295"/>
      <c r="E123" s="295"/>
      <c r="F123" s="295"/>
      <c r="G123" s="294"/>
      <c r="H123" s="32" t="str">
        <f>IF(G120="Windows Server", "H:\Backup", "/backup")</f>
        <v>/backup</v>
      </c>
      <c r="I123" s="146">
        <f>IF(G120="Windows Server", 100, 10)</f>
        <v>10</v>
      </c>
      <c r="J123" s="296"/>
      <c r="K123" s="296"/>
      <c r="L123" s="296"/>
      <c r="M123" s="296"/>
      <c r="N123" s="296"/>
      <c r="O123" s="296"/>
      <c r="P123" s="296"/>
    </row>
    <row r="124" spans="1:16" ht="13.5" customHeight="1">
      <c r="A124" s="294"/>
      <c r="B124" s="290">
        <f>((12*5*4)/(24*7*4))*730</f>
        <v>260.71428571428572</v>
      </c>
      <c r="C124" s="294" t="s">
        <v>286</v>
      </c>
      <c r="D124" s="295"/>
      <c r="E124" s="310">
        <f>CEILING(E98*(100+SUMMARY!$C$24)%,1)</f>
        <v>0</v>
      </c>
      <c r="F124" s="310">
        <f>CEILING(F98*(100+SUMMARY!$C$24)%,1)</f>
        <v>0</v>
      </c>
      <c r="G124" s="294" t="s">
        <v>293</v>
      </c>
      <c r="H124" s="32" t="str">
        <f>IF(G124="Windows Server", "C:\", "/")</f>
        <v>/</v>
      </c>
      <c r="I124" s="146">
        <f>IF(G124="Windows Server", 150, 20)</f>
        <v>20</v>
      </c>
      <c r="J124" s="296">
        <f>SUM(I124:I127)</f>
        <v>50</v>
      </c>
      <c r="K124" s="297">
        <f>J124 *(IF(C124="AZURE", SUMMARY!C$20, SUMMARY!C$21))</f>
        <v>4.8</v>
      </c>
      <c r="L124" s="298"/>
      <c r="M124" s="299">
        <f>IF(C124="ON PREM", 0, SUMMARY!C$25%)</f>
        <v>0.12</v>
      </c>
      <c r="N124" s="299">
        <f>IF(C124="AWS",SUMMARY!C$26%, 0)</f>
        <v>0</v>
      </c>
      <c r="O124" s="300">
        <f>((SUM(K124:L124))-((SUM(K124:L124))*N124))*(1 + M124)</f>
        <v>5.3760000000000003</v>
      </c>
      <c r="P124" s="300">
        <f>O124*12</f>
        <v>64.512</v>
      </c>
    </row>
    <row r="125" spans="1:16">
      <c r="A125" s="294"/>
      <c r="B125" s="294"/>
      <c r="C125" s="294"/>
      <c r="D125" s="295"/>
      <c r="E125" s="295"/>
      <c r="F125" s="295"/>
      <c r="G125" s="294"/>
      <c r="H125" s="148" t="str">
        <f>IF(G124="Windows Server", "F:\appdir", "/appdir")</f>
        <v>/appdir</v>
      </c>
      <c r="I125" s="149">
        <f>CEILING(I99*(100+SUMMARY!$C$24)%,1)</f>
        <v>0</v>
      </c>
      <c r="J125" s="296"/>
      <c r="K125" s="296"/>
      <c r="L125" s="296"/>
      <c r="M125" s="296"/>
      <c r="N125" s="296"/>
      <c r="O125" s="296"/>
      <c r="P125" s="296"/>
    </row>
    <row r="126" spans="1:16">
      <c r="A126" s="294"/>
      <c r="B126" s="294"/>
      <c r="C126" s="294"/>
      <c r="D126" s="295"/>
      <c r="E126" s="295"/>
      <c r="F126" s="295"/>
      <c r="G126" s="294"/>
      <c r="H126" s="32" t="str">
        <f>IF(G124="Windows Server", "G:\Log", "/var/log")</f>
        <v>/var/log</v>
      </c>
      <c r="I126" s="146">
        <f>IF(G124="Windows Server", 50, 20)</f>
        <v>20</v>
      </c>
      <c r="J126" s="296"/>
      <c r="K126" s="296"/>
      <c r="L126" s="296"/>
      <c r="M126" s="296"/>
      <c r="N126" s="296"/>
      <c r="O126" s="296"/>
      <c r="P126" s="296"/>
    </row>
    <row r="127" spans="1:16">
      <c r="A127" s="294"/>
      <c r="B127" s="294"/>
      <c r="C127" s="294"/>
      <c r="D127" s="295"/>
      <c r="E127" s="295"/>
      <c r="F127" s="295"/>
      <c r="G127" s="294"/>
      <c r="H127" s="32" t="str">
        <f>IF(G124="Windows Server", "H:\Backup", "/backup")</f>
        <v>/backup</v>
      </c>
      <c r="I127" s="146">
        <f>IF(G124="Windows Server", 100, 10)</f>
        <v>10</v>
      </c>
      <c r="J127" s="296"/>
      <c r="K127" s="296"/>
      <c r="L127" s="296"/>
      <c r="M127" s="296"/>
      <c r="N127" s="296"/>
      <c r="O127" s="296"/>
      <c r="P127" s="296"/>
    </row>
    <row r="128" spans="1:16" ht="13.5" customHeight="1">
      <c r="A128" s="294"/>
      <c r="B128" s="290">
        <f>((12*5*4)/(24*7*4))*730</f>
        <v>260.71428571428572</v>
      </c>
      <c r="C128" s="294" t="s">
        <v>286</v>
      </c>
      <c r="D128" s="295"/>
      <c r="E128" s="310">
        <f>CEILING(E102*(100+SUMMARY!$C$24)%,1)</f>
        <v>0</v>
      </c>
      <c r="F128" s="310">
        <f>CEILING(F102*(100+SUMMARY!$C$24)%,1)</f>
        <v>0</v>
      </c>
      <c r="G128" s="294" t="s">
        <v>283</v>
      </c>
      <c r="H128" s="32" t="str">
        <f>IF(G128="Windows Server", "C:\", "/")</f>
        <v>C:\</v>
      </c>
      <c r="I128" s="146">
        <f>IF(G128="Windows Server", 150, 20)</f>
        <v>150</v>
      </c>
      <c r="J128" s="296">
        <f>SUM(I128:I131)</f>
        <v>300</v>
      </c>
      <c r="K128" s="297">
        <f>J128 *(IF(C128="AZURE", SUMMARY!C$20, SUMMARY!C$21))</f>
        <v>28.8</v>
      </c>
      <c r="L128" s="298"/>
      <c r="M128" s="299">
        <f>IF(C128="ON PREM", 0, SUMMARY!C$25%)</f>
        <v>0.12</v>
      </c>
      <c r="N128" s="299">
        <f>IF(C128="AWS",SUMMARY!C$26%, 0)</f>
        <v>0</v>
      </c>
      <c r="O128" s="300">
        <f>((SUM(K128:L128))-((SUM(K128:L128))*N128))*(1 + M128)</f>
        <v>32.256000000000007</v>
      </c>
      <c r="P128" s="300">
        <f>O128*12</f>
        <v>387.07200000000012</v>
      </c>
    </row>
    <row r="129" spans="1:16">
      <c r="A129" s="294"/>
      <c r="B129" s="294"/>
      <c r="C129" s="294"/>
      <c r="D129" s="295"/>
      <c r="E129" s="295"/>
      <c r="F129" s="295"/>
      <c r="G129" s="294"/>
      <c r="H129" s="148" t="str">
        <f>IF(G128="Windows Server", "F:\appdir", "/appdir")</f>
        <v>F:\appdir</v>
      </c>
      <c r="I129" s="149">
        <f>CEILING(I103*(100+SUMMARY!$C$24)%,1)</f>
        <v>0</v>
      </c>
      <c r="J129" s="296"/>
      <c r="K129" s="296"/>
      <c r="L129" s="296"/>
      <c r="M129" s="296"/>
      <c r="N129" s="296"/>
      <c r="O129" s="296"/>
      <c r="P129" s="296"/>
    </row>
    <row r="130" spans="1:16">
      <c r="A130" s="294"/>
      <c r="B130" s="294"/>
      <c r="C130" s="294"/>
      <c r="D130" s="295"/>
      <c r="E130" s="295"/>
      <c r="F130" s="295"/>
      <c r="G130" s="294"/>
      <c r="H130" s="32" t="str">
        <f>IF(G128="Windows Server", "G:\Log", "/var/log")</f>
        <v>G:\Log</v>
      </c>
      <c r="I130" s="146">
        <f>IF(G128="Windows Server", 50, 20)</f>
        <v>50</v>
      </c>
      <c r="J130" s="296"/>
      <c r="K130" s="296"/>
      <c r="L130" s="296"/>
      <c r="M130" s="296"/>
      <c r="N130" s="296"/>
      <c r="O130" s="296"/>
      <c r="P130" s="296"/>
    </row>
    <row r="131" spans="1:16">
      <c r="A131" s="294"/>
      <c r="B131" s="294"/>
      <c r="C131" s="294"/>
      <c r="D131" s="295"/>
      <c r="E131" s="295"/>
      <c r="F131" s="295"/>
      <c r="G131" s="294"/>
      <c r="H131" s="32" t="str">
        <f>IF(G128="Windows Server", "H:\Backup", "/backup")</f>
        <v>H:\Backup</v>
      </c>
      <c r="I131" s="146">
        <f>IF(G128="Windows Server", 100, 10)</f>
        <v>100</v>
      </c>
      <c r="J131" s="296"/>
      <c r="K131" s="296"/>
      <c r="L131" s="296"/>
      <c r="M131" s="296"/>
      <c r="N131" s="296"/>
      <c r="O131" s="296"/>
      <c r="P131" s="296"/>
    </row>
    <row r="132" spans="1:16">
      <c r="A132" s="3"/>
      <c r="B132" s="3"/>
      <c r="C132" s="3"/>
      <c r="D132" s="3"/>
      <c r="E132" s="157">
        <f>SUM(E108:E131)</f>
        <v>0</v>
      </c>
      <c r="F132" s="157">
        <f>SUM(F108:F131)</f>
        <v>0</v>
      </c>
      <c r="G132" s="3"/>
      <c r="H132" s="3"/>
      <c r="I132" s="3"/>
      <c r="J132" s="157">
        <f>SUM(J108:J131)</f>
        <v>800</v>
      </c>
      <c r="K132" s="133">
        <f>SUM(K108:K131)</f>
        <v>76.8</v>
      </c>
      <c r="L132" s="133">
        <f>SUM(L108:L131)</f>
        <v>0</v>
      </c>
      <c r="M132" s="133"/>
      <c r="N132" s="133"/>
      <c r="O132" s="133">
        <f>SUM(O108:O131)</f>
        <v>85.44</v>
      </c>
      <c r="P132" s="133">
        <f>SUM(P108:P131)</f>
        <v>1025.2800000000002</v>
      </c>
    </row>
  </sheetData>
  <mergeCells count="427">
    <mergeCell ref="L128:L131"/>
    <mergeCell ref="M128:M131"/>
    <mergeCell ref="N128:N131"/>
    <mergeCell ref="O128:O131"/>
    <mergeCell ref="P128:P131"/>
    <mergeCell ref="A128:A131"/>
    <mergeCell ref="B128:B131"/>
    <mergeCell ref="C128:C131"/>
    <mergeCell ref="D128:D131"/>
    <mergeCell ref="E128:E131"/>
    <mergeCell ref="F128:F131"/>
    <mergeCell ref="G128:G131"/>
    <mergeCell ref="J128:J131"/>
    <mergeCell ref="K128:K131"/>
    <mergeCell ref="L124:L127"/>
    <mergeCell ref="M124:M127"/>
    <mergeCell ref="N124:N127"/>
    <mergeCell ref="O124:O127"/>
    <mergeCell ref="P124:P127"/>
    <mergeCell ref="A120:A123"/>
    <mergeCell ref="B120:B123"/>
    <mergeCell ref="C120:C123"/>
    <mergeCell ref="D120:D123"/>
    <mergeCell ref="E120:E123"/>
    <mergeCell ref="A124:A127"/>
    <mergeCell ref="B124:B127"/>
    <mergeCell ref="C124:C127"/>
    <mergeCell ref="D124:D127"/>
    <mergeCell ref="E124:E127"/>
    <mergeCell ref="F124:F127"/>
    <mergeCell ref="G124:G127"/>
    <mergeCell ref="J124:J127"/>
    <mergeCell ref="K124:K127"/>
    <mergeCell ref="F120:F123"/>
    <mergeCell ref="G120:G123"/>
    <mergeCell ref="J120:J123"/>
    <mergeCell ref="K120:K123"/>
    <mergeCell ref="L112:L115"/>
    <mergeCell ref="M112:M115"/>
    <mergeCell ref="N112:N115"/>
    <mergeCell ref="O112:O115"/>
    <mergeCell ref="P112:P115"/>
    <mergeCell ref="L116:L119"/>
    <mergeCell ref="M116:M119"/>
    <mergeCell ref="N116:N119"/>
    <mergeCell ref="O116:O119"/>
    <mergeCell ref="P116:P119"/>
    <mergeCell ref="L120:L123"/>
    <mergeCell ref="M120:M123"/>
    <mergeCell ref="N120:N123"/>
    <mergeCell ref="O120:O123"/>
    <mergeCell ref="P120:P123"/>
    <mergeCell ref="A116:A119"/>
    <mergeCell ref="B116:B119"/>
    <mergeCell ref="C116:C119"/>
    <mergeCell ref="D116:D119"/>
    <mergeCell ref="E116:E119"/>
    <mergeCell ref="F116:F119"/>
    <mergeCell ref="G116:G119"/>
    <mergeCell ref="J116:J119"/>
    <mergeCell ref="K116:K119"/>
    <mergeCell ref="A112:A115"/>
    <mergeCell ref="B112:B115"/>
    <mergeCell ref="C112:C115"/>
    <mergeCell ref="D112:D115"/>
    <mergeCell ref="E112:E115"/>
    <mergeCell ref="F112:F115"/>
    <mergeCell ref="G112:G115"/>
    <mergeCell ref="J112:J115"/>
    <mergeCell ref="K112:K115"/>
    <mergeCell ref="P102:P105"/>
    <mergeCell ref="B107:P107"/>
    <mergeCell ref="A108:A111"/>
    <mergeCell ref="B108:B111"/>
    <mergeCell ref="C108:C111"/>
    <mergeCell ref="D108:D111"/>
    <mergeCell ref="E108:E111"/>
    <mergeCell ref="F108:F111"/>
    <mergeCell ref="G108:G111"/>
    <mergeCell ref="J108:J111"/>
    <mergeCell ref="K108:K111"/>
    <mergeCell ref="L108:L111"/>
    <mergeCell ref="M108:M111"/>
    <mergeCell ref="N108:N111"/>
    <mergeCell ref="O108:O111"/>
    <mergeCell ref="P108:P111"/>
    <mergeCell ref="A102:A105"/>
    <mergeCell ref="B102:B105"/>
    <mergeCell ref="C102:C105"/>
    <mergeCell ref="D102:D105"/>
    <mergeCell ref="E102:E105"/>
    <mergeCell ref="F102:F105"/>
    <mergeCell ref="G102:G105"/>
    <mergeCell ref="J102:J105"/>
    <mergeCell ref="K102:K105"/>
    <mergeCell ref="L94:L97"/>
    <mergeCell ref="M94:M97"/>
    <mergeCell ref="N94:N97"/>
    <mergeCell ref="O94:O97"/>
    <mergeCell ref="L102:L105"/>
    <mergeCell ref="M102:M105"/>
    <mergeCell ref="N102:N105"/>
    <mergeCell ref="O102:O105"/>
    <mergeCell ref="P94:P97"/>
    <mergeCell ref="A98:A101"/>
    <mergeCell ref="B98:B101"/>
    <mergeCell ref="C98:C101"/>
    <mergeCell ref="D98:D101"/>
    <mergeCell ref="E98:E101"/>
    <mergeCell ref="F98:F101"/>
    <mergeCell ref="G98:G101"/>
    <mergeCell ref="J98:J101"/>
    <mergeCell ref="K98:K101"/>
    <mergeCell ref="L98:L101"/>
    <mergeCell ref="M98:M101"/>
    <mergeCell ref="N98:N101"/>
    <mergeCell ref="O98:O101"/>
    <mergeCell ref="P98:P101"/>
    <mergeCell ref="A94:A97"/>
    <mergeCell ref="B94:B97"/>
    <mergeCell ref="C94:C97"/>
    <mergeCell ref="D94:D97"/>
    <mergeCell ref="E94:E97"/>
    <mergeCell ref="F94:F97"/>
    <mergeCell ref="G94:G97"/>
    <mergeCell ref="J94:J97"/>
    <mergeCell ref="K94:K97"/>
    <mergeCell ref="L90:L93"/>
    <mergeCell ref="M90:M93"/>
    <mergeCell ref="N90:N93"/>
    <mergeCell ref="O90:O93"/>
    <mergeCell ref="P90:P93"/>
    <mergeCell ref="A86:A89"/>
    <mergeCell ref="B86:B89"/>
    <mergeCell ref="C86:C89"/>
    <mergeCell ref="D86:D89"/>
    <mergeCell ref="E86:E89"/>
    <mergeCell ref="A90:A93"/>
    <mergeCell ref="B90:B93"/>
    <mergeCell ref="C90:C93"/>
    <mergeCell ref="D90:D93"/>
    <mergeCell ref="E90:E93"/>
    <mergeCell ref="F90:F93"/>
    <mergeCell ref="G90:G93"/>
    <mergeCell ref="J90:J93"/>
    <mergeCell ref="K90:K93"/>
    <mergeCell ref="F86:F89"/>
    <mergeCell ref="G86:G89"/>
    <mergeCell ref="J86:J89"/>
    <mergeCell ref="K86:K89"/>
    <mergeCell ref="L76:L79"/>
    <mergeCell ref="M76:M79"/>
    <mergeCell ref="N76:N79"/>
    <mergeCell ref="O76:O79"/>
    <mergeCell ref="P76:P79"/>
    <mergeCell ref="B81:P81"/>
    <mergeCell ref="L82:L85"/>
    <mergeCell ref="M82:M85"/>
    <mergeCell ref="N82:N85"/>
    <mergeCell ref="O82:O85"/>
    <mergeCell ref="P82:P85"/>
    <mergeCell ref="L86:L89"/>
    <mergeCell ref="M86:M89"/>
    <mergeCell ref="N86:N89"/>
    <mergeCell ref="O86:O89"/>
    <mergeCell ref="P86:P89"/>
    <mergeCell ref="A82:A85"/>
    <mergeCell ref="B82:B85"/>
    <mergeCell ref="C82:C85"/>
    <mergeCell ref="D82:D85"/>
    <mergeCell ref="E82:E85"/>
    <mergeCell ref="F82:F85"/>
    <mergeCell ref="G82:G85"/>
    <mergeCell ref="J82:J85"/>
    <mergeCell ref="K82:K85"/>
    <mergeCell ref="A76:A79"/>
    <mergeCell ref="B76:B79"/>
    <mergeCell ref="C76:C79"/>
    <mergeCell ref="D76:D79"/>
    <mergeCell ref="E76:E79"/>
    <mergeCell ref="F76:F79"/>
    <mergeCell ref="G76:G79"/>
    <mergeCell ref="J76:J79"/>
    <mergeCell ref="K76:K79"/>
    <mergeCell ref="L72:L75"/>
    <mergeCell ref="M72:M75"/>
    <mergeCell ref="N72:N75"/>
    <mergeCell ref="O72:O75"/>
    <mergeCell ref="P72:P75"/>
    <mergeCell ref="A68:A71"/>
    <mergeCell ref="B68:B71"/>
    <mergeCell ref="C68:C71"/>
    <mergeCell ref="D68:D71"/>
    <mergeCell ref="E68:E71"/>
    <mergeCell ref="A72:A75"/>
    <mergeCell ref="B72:B75"/>
    <mergeCell ref="C72:C75"/>
    <mergeCell ref="D72:D75"/>
    <mergeCell ref="E72:E75"/>
    <mergeCell ref="F72:F75"/>
    <mergeCell ref="G72:G75"/>
    <mergeCell ref="J72:J75"/>
    <mergeCell ref="K72:K75"/>
    <mergeCell ref="F68:F71"/>
    <mergeCell ref="G68:G71"/>
    <mergeCell ref="J68:J71"/>
    <mergeCell ref="K68:K71"/>
    <mergeCell ref="L60:L63"/>
    <mergeCell ref="M60:M63"/>
    <mergeCell ref="N60:N63"/>
    <mergeCell ref="O60:O63"/>
    <mergeCell ref="P60:P63"/>
    <mergeCell ref="L64:L67"/>
    <mergeCell ref="M64:M67"/>
    <mergeCell ref="N64:N67"/>
    <mergeCell ref="O64:O67"/>
    <mergeCell ref="P64:P67"/>
    <mergeCell ref="L68:L71"/>
    <mergeCell ref="M68:M71"/>
    <mergeCell ref="N68:N71"/>
    <mergeCell ref="O68:O71"/>
    <mergeCell ref="P68:P71"/>
    <mergeCell ref="A64:A67"/>
    <mergeCell ref="B64:B67"/>
    <mergeCell ref="C64:C67"/>
    <mergeCell ref="D64:D67"/>
    <mergeCell ref="E64:E67"/>
    <mergeCell ref="F64:F67"/>
    <mergeCell ref="G64:G67"/>
    <mergeCell ref="J64:J67"/>
    <mergeCell ref="K64:K67"/>
    <mergeCell ref="A60:A63"/>
    <mergeCell ref="B60:B63"/>
    <mergeCell ref="C60:C63"/>
    <mergeCell ref="D60:D63"/>
    <mergeCell ref="E60:E63"/>
    <mergeCell ref="F60:F63"/>
    <mergeCell ref="G60:G63"/>
    <mergeCell ref="J60:J63"/>
    <mergeCell ref="K60:K63"/>
    <mergeCell ref="P50:P53"/>
    <mergeCell ref="B55:P55"/>
    <mergeCell ref="A56:A59"/>
    <mergeCell ref="B56:B59"/>
    <mergeCell ref="C56:C59"/>
    <mergeCell ref="D56:D59"/>
    <mergeCell ref="E56:E59"/>
    <mergeCell ref="F56:F59"/>
    <mergeCell ref="G56:G59"/>
    <mergeCell ref="J56:J59"/>
    <mergeCell ref="K56:K59"/>
    <mergeCell ref="L56:L59"/>
    <mergeCell ref="M56:M59"/>
    <mergeCell ref="N56:N59"/>
    <mergeCell ref="O56:O59"/>
    <mergeCell ref="P56:P59"/>
    <mergeCell ref="A50:A53"/>
    <mergeCell ref="B50:B53"/>
    <mergeCell ref="C50:C53"/>
    <mergeCell ref="D50:D53"/>
    <mergeCell ref="E50:E53"/>
    <mergeCell ref="F50:F53"/>
    <mergeCell ref="G50:G53"/>
    <mergeCell ref="J50:J53"/>
    <mergeCell ref="K50:K53"/>
    <mergeCell ref="L42:L45"/>
    <mergeCell ref="M42:M45"/>
    <mergeCell ref="N42:N45"/>
    <mergeCell ref="O42:O45"/>
    <mergeCell ref="L50:L53"/>
    <mergeCell ref="M50:M53"/>
    <mergeCell ref="N50:N53"/>
    <mergeCell ref="O50:O53"/>
    <mergeCell ref="P42:P45"/>
    <mergeCell ref="A46:A49"/>
    <mergeCell ref="B46:B49"/>
    <mergeCell ref="C46:C49"/>
    <mergeCell ref="D46:D49"/>
    <mergeCell ref="E46:E49"/>
    <mergeCell ref="F46:F49"/>
    <mergeCell ref="G46:G49"/>
    <mergeCell ref="J46:J49"/>
    <mergeCell ref="K46:K49"/>
    <mergeCell ref="L46:L49"/>
    <mergeCell ref="M46:M49"/>
    <mergeCell ref="N46:N49"/>
    <mergeCell ref="O46:O49"/>
    <mergeCell ref="P46:P49"/>
    <mergeCell ref="A42:A45"/>
    <mergeCell ref="B42:B45"/>
    <mergeCell ref="C42:C45"/>
    <mergeCell ref="D42:D45"/>
    <mergeCell ref="E42:E45"/>
    <mergeCell ref="F42:F45"/>
    <mergeCell ref="G42:G45"/>
    <mergeCell ref="J42:J45"/>
    <mergeCell ref="K42:K45"/>
    <mergeCell ref="L38:L41"/>
    <mergeCell ref="M38:M41"/>
    <mergeCell ref="N38:N41"/>
    <mergeCell ref="O38:O41"/>
    <mergeCell ref="P38:P41"/>
    <mergeCell ref="A34:A37"/>
    <mergeCell ref="B34:B37"/>
    <mergeCell ref="C34:C37"/>
    <mergeCell ref="D34:D37"/>
    <mergeCell ref="E34:E37"/>
    <mergeCell ref="A38:A41"/>
    <mergeCell ref="B38:B41"/>
    <mergeCell ref="C38:C41"/>
    <mergeCell ref="D38:D41"/>
    <mergeCell ref="E38:E41"/>
    <mergeCell ref="F38:F41"/>
    <mergeCell ref="G38:G41"/>
    <mergeCell ref="J38:J41"/>
    <mergeCell ref="K38:K41"/>
    <mergeCell ref="F34:F37"/>
    <mergeCell ref="G34:G37"/>
    <mergeCell ref="J34:J37"/>
    <mergeCell ref="K34:K37"/>
    <mergeCell ref="L24:L27"/>
    <mergeCell ref="M24:M27"/>
    <mergeCell ref="N24:N27"/>
    <mergeCell ref="O24:O27"/>
    <mergeCell ref="P24:P27"/>
    <mergeCell ref="B29:P29"/>
    <mergeCell ref="L30:L33"/>
    <mergeCell ref="M30:M33"/>
    <mergeCell ref="N30:N33"/>
    <mergeCell ref="O30:O33"/>
    <mergeCell ref="P30:P33"/>
    <mergeCell ref="L34:L37"/>
    <mergeCell ref="M34:M37"/>
    <mergeCell ref="N34:N37"/>
    <mergeCell ref="O34:O37"/>
    <mergeCell ref="P34:P37"/>
    <mergeCell ref="A30:A33"/>
    <mergeCell ref="B30:B33"/>
    <mergeCell ref="C30:C33"/>
    <mergeCell ref="D30:D33"/>
    <mergeCell ref="E30:E33"/>
    <mergeCell ref="F30:F33"/>
    <mergeCell ref="G30:G33"/>
    <mergeCell ref="J30:J33"/>
    <mergeCell ref="K30:K33"/>
    <mergeCell ref="A24:A27"/>
    <mergeCell ref="B24:B27"/>
    <mergeCell ref="C24:C27"/>
    <mergeCell ref="D24:D27"/>
    <mergeCell ref="E24:E27"/>
    <mergeCell ref="F24:F27"/>
    <mergeCell ref="G24:G27"/>
    <mergeCell ref="J24:J27"/>
    <mergeCell ref="K24:K27"/>
    <mergeCell ref="L20:L23"/>
    <mergeCell ref="M20:M23"/>
    <mergeCell ref="N20:N23"/>
    <mergeCell ref="O20:O23"/>
    <mergeCell ref="P20:P23"/>
    <mergeCell ref="A16:A19"/>
    <mergeCell ref="B16:B19"/>
    <mergeCell ref="C16:C19"/>
    <mergeCell ref="D16:D19"/>
    <mergeCell ref="E16:E19"/>
    <mergeCell ref="A20:A23"/>
    <mergeCell ref="B20:B23"/>
    <mergeCell ref="C20:C23"/>
    <mergeCell ref="D20:D23"/>
    <mergeCell ref="E20:E23"/>
    <mergeCell ref="F20:F23"/>
    <mergeCell ref="G20:G23"/>
    <mergeCell ref="J20:J23"/>
    <mergeCell ref="K20:K23"/>
    <mergeCell ref="F16:F19"/>
    <mergeCell ref="G16:G19"/>
    <mergeCell ref="J16:J19"/>
    <mergeCell ref="K16:K19"/>
    <mergeCell ref="L8:L11"/>
    <mergeCell ref="M8:M11"/>
    <mergeCell ref="N8:N11"/>
    <mergeCell ref="O8:O11"/>
    <mergeCell ref="P8:P11"/>
    <mergeCell ref="L12:L15"/>
    <mergeCell ref="M12:M15"/>
    <mergeCell ref="N12:N15"/>
    <mergeCell ref="O12:O15"/>
    <mergeCell ref="P12:P15"/>
    <mergeCell ref="L16:L19"/>
    <mergeCell ref="M16:M19"/>
    <mergeCell ref="N16:N19"/>
    <mergeCell ref="O16:O19"/>
    <mergeCell ref="P16:P19"/>
    <mergeCell ref="A12:A15"/>
    <mergeCell ref="B12:B15"/>
    <mergeCell ref="C12:C15"/>
    <mergeCell ref="D12:D15"/>
    <mergeCell ref="E12:E15"/>
    <mergeCell ref="F12:F15"/>
    <mergeCell ref="G12:G15"/>
    <mergeCell ref="J12:J15"/>
    <mergeCell ref="K12:K15"/>
    <mergeCell ref="A8:A11"/>
    <mergeCell ref="B8:B11"/>
    <mergeCell ref="C8:C11"/>
    <mergeCell ref="D8:D11"/>
    <mergeCell ref="E8:E11"/>
    <mergeCell ref="F8:F11"/>
    <mergeCell ref="G8:G11"/>
    <mergeCell ref="J8:J11"/>
    <mergeCell ref="K8:K11"/>
    <mergeCell ref="A1:P1"/>
    <mergeCell ref="B2:P2"/>
    <mergeCell ref="H3:I3"/>
    <mergeCell ref="A4:A7"/>
    <mergeCell ref="B4:B7"/>
    <mergeCell ref="C4:C7"/>
    <mergeCell ref="D4:D7"/>
    <mergeCell ref="E4:E7"/>
    <mergeCell ref="F4:F7"/>
    <mergeCell ref="G4:G7"/>
    <mergeCell ref="J4:J7"/>
    <mergeCell ref="K4:K7"/>
    <mergeCell ref="L4:L7"/>
    <mergeCell ref="M4:M7"/>
    <mergeCell ref="N4:N7"/>
    <mergeCell ref="O4:O7"/>
    <mergeCell ref="P4:P7"/>
  </mergeCells>
  <dataValidations count="2">
    <dataValidation type="list" allowBlank="1" showInputMessage="1" showErrorMessage="1" sqref="G4:G27 G30:G53 G56:G79 G82:G105 G108:G131" xr:uid="{00000000-0002-0000-0D00-000000000000}">
      <formula1>"RHEL,Windows Server,Oracle Linux,Ubuntu,Debian"</formula1>
      <formula2>0</formula2>
    </dataValidation>
    <dataValidation type="list" allowBlank="1" showInputMessage="1" showErrorMessage="1" sqref="C4:C27 C30:C53 C56:C79 C82:C105 C108:C131" xr:uid="{00000000-0002-0000-0D00-000001000000}">
      <formula1>"ON PREM,AWS,AZURE,EXACC"</formula1>
      <formula2>0</formula2>
    </dataValidation>
  </dataValidations>
  <hyperlinks>
    <hyperlink ref="H6" r:id="rId1" display="file:///H:/backup" xr:uid="{00000000-0004-0000-0D00-000000000000}"/>
    <hyperlink ref="H7" r:id="rId2" display="file:///G:/log" xr:uid="{00000000-0004-0000-0D00-000001000000}"/>
    <hyperlink ref="H10" r:id="rId3" display="file:///H:/backup" xr:uid="{00000000-0004-0000-0D00-000002000000}"/>
    <hyperlink ref="H11" r:id="rId4" display="file:///G:/log" xr:uid="{00000000-0004-0000-0D00-000003000000}"/>
    <hyperlink ref="H14" r:id="rId5" display="file:///H:/backup" xr:uid="{00000000-0004-0000-0D00-000004000000}"/>
    <hyperlink ref="H15" r:id="rId6" display="file:///G:/log" xr:uid="{00000000-0004-0000-0D00-000005000000}"/>
    <hyperlink ref="H18" r:id="rId7" display="file:///H:/backup" xr:uid="{00000000-0004-0000-0D00-000006000000}"/>
    <hyperlink ref="H19" r:id="rId8" display="file:///G:/log" xr:uid="{00000000-0004-0000-0D00-000007000000}"/>
    <hyperlink ref="H22" r:id="rId9" display="file:///H:/backup" xr:uid="{00000000-0004-0000-0D00-000008000000}"/>
    <hyperlink ref="H23" r:id="rId10" display="file:///G:/log" xr:uid="{00000000-0004-0000-0D00-000009000000}"/>
    <hyperlink ref="H26" r:id="rId11" display="file:///H:/backup" xr:uid="{00000000-0004-0000-0D00-00000A000000}"/>
    <hyperlink ref="H27" r:id="rId12" display="file:///G:/log" xr:uid="{00000000-0004-0000-0D00-00000B000000}"/>
    <hyperlink ref="H32" r:id="rId13" display="file:///H:/backup" xr:uid="{00000000-0004-0000-0D00-00000C000000}"/>
    <hyperlink ref="H33" r:id="rId14" display="file:///G:/log" xr:uid="{00000000-0004-0000-0D00-00000D000000}"/>
    <hyperlink ref="H36" r:id="rId15" display="file:///H:/backup" xr:uid="{00000000-0004-0000-0D00-00000E000000}"/>
    <hyperlink ref="H37" r:id="rId16" display="file:///G:/log" xr:uid="{00000000-0004-0000-0D00-00000F000000}"/>
    <hyperlink ref="H40" r:id="rId17" display="file:///H:/backup" xr:uid="{00000000-0004-0000-0D00-000010000000}"/>
    <hyperlink ref="H41" r:id="rId18" display="file:///G:/log" xr:uid="{00000000-0004-0000-0D00-000011000000}"/>
    <hyperlink ref="H44" r:id="rId19" display="file:///H:/backup" xr:uid="{00000000-0004-0000-0D00-000012000000}"/>
    <hyperlink ref="H45" r:id="rId20" display="file:///G:/log" xr:uid="{00000000-0004-0000-0D00-000013000000}"/>
    <hyperlink ref="H48" r:id="rId21" display="file:///H:/backup" xr:uid="{00000000-0004-0000-0D00-000014000000}"/>
    <hyperlink ref="H49" r:id="rId22" display="file:///G:/log" xr:uid="{00000000-0004-0000-0D00-000015000000}"/>
    <hyperlink ref="H52" r:id="rId23" display="file:///H:/backup" xr:uid="{00000000-0004-0000-0D00-000016000000}"/>
    <hyperlink ref="H53" r:id="rId24" display="file:///G:/log" xr:uid="{00000000-0004-0000-0D00-000017000000}"/>
    <hyperlink ref="H58" r:id="rId25" display="file:///H:/backup" xr:uid="{00000000-0004-0000-0D00-000018000000}"/>
    <hyperlink ref="H59" r:id="rId26" display="file:///G:/log" xr:uid="{00000000-0004-0000-0D00-000019000000}"/>
    <hyperlink ref="H62" r:id="rId27" display="file:///H:/backup" xr:uid="{00000000-0004-0000-0D00-00001A000000}"/>
    <hyperlink ref="H63" r:id="rId28" display="file:///G:/log" xr:uid="{00000000-0004-0000-0D00-00001B000000}"/>
    <hyperlink ref="H66" r:id="rId29" display="file:///H:/backup" xr:uid="{00000000-0004-0000-0D00-00001C000000}"/>
    <hyperlink ref="H67" r:id="rId30" display="file:///G:/log" xr:uid="{00000000-0004-0000-0D00-00001D000000}"/>
    <hyperlink ref="H70" r:id="rId31" display="file:///H:/backup" xr:uid="{00000000-0004-0000-0D00-00001E000000}"/>
    <hyperlink ref="H71" r:id="rId32" display="file:///G:/log" xr:uid="{00000000-0004-0000-0D00-00001F000000}"/>
    <hyperlink ref="H74" r:id="rId33" display="file:///H:/backup" xr:uid="{00000000-0004-0000-0D00-000020000000}"/>
    <hyperlink ref="H75" r:id="rId34" display="file:///G:/log" xr:uid="{00000000-0004-0000-0D00-000021000000}"/>
    <hyperlink ref="H78" r:id="rId35" display="file:///H:/backup" xr:uid="{00000000-0004-0000-0D00-000022000000}"/>
    <hyperlink ref="H79" r:id="rId36" display="file:///G:/log" xr:uid="{00000000-0004-0000-0D00-000023000000}"/>
    <hyperlink ref="H84" r:id="rId37" display="file:///H:/backup" xr:uid="{00000000-0004-0000-0D00-000024000000}"/>
    <hyperlink ref="H85" r:id="rId38" display="file:///G:/log" xr:uid="{00000000-0004-0000-0D00-000025000000}"/>
    <hyperlink ref="H88" r:id="rId39" display="file:///H:/backup" xr:uid="{00000000-0004-0000-0D00-000026000000}"/>
    <hyperlink ref="H89" r:id="rId40" display="file:///G:/log" xr:uid="{00000000-0004-0000-0D00-000027000000}"/>
    <hyperlink ref="H92" r:id="rId41" display="file:///H:/backup" xr:uid="{00000000-0004-0000-0D00-000028000000}"/>
    <hyperlink ref="H93" r:id="rId42" display="file:///G:/log" xr:uid="{00000000-0004-0000-0D00-000029000000}"/>
    <hyperlink ref="H96" r:id="rId43" display="file:///H:/backup" xr:uid="{00000000-0004-0000-0D00-00002A000000}"/>
    <hyperlink ref="H97" r:id="rId44" display="file:///G:/log" xr:uid="{00000000-0004-0000-0D00-00002B000000}"/>
    <hyperlink ref="H100" r:id="rId45" display="file:///H:/backup" xr:uid="{00000000-0004-0000-0D00-00002C000000}"/>
    <hyperlink ref="H101" r:id="rId46" display="file:///G:/log" xr:uid="{00000000-0004-0000-0D00-00002D000000}"/>
    <hyperlink ref="H104" r:id="rId47" display="file:///H:/backup" xr:uid="{00000000-0004-0000-0D00-00002E000000}"/>
    <hyperlink ref="H105" r:id="rId48" display="file:///G:/log" xr:uid="{00000000-0004-0000-0D00-00002F000000}"/>
    <hyperlink ref="H110" r:id="rId49" display="file:///H:/backup" xr:uid="{00000000-0004-0000-0D00-000030000000}"/>
    <hyperlink ref="H111" r:id="rId50" display="file:///G:/log" xr:uid="{00000000-0004-0000-0D00-000031000000}"/>
    <hyperlink ref="H114" r:id="rId51" display="file:///H:/backup" xr:uid="{00000000-0004-0000-0D00-000032000000}"/>
    <hyperlink ref="H115" r:id="rId52" display="file:///G:/log" xr:uid="{00000000-0004-0000-0D00-000033000000}"/>
    <hyperlink ref="H118" r:id="rId53" display="file:///H:/backup" xr:uid="{00000000-0004-0000-0D00-000034000000}"/>
    <hyperlink ref="H119" r:id="rId54" display="file:///G:/log" xr:uid="{00000000-0004-0000-0D00-000035000000}"/>
    <hyperlink ref="H122" r:id="rId55" display="file:///H:/backup" xr:uid="{00000000-0004-0000-0D00-000036000000}"/>
    <hyperlink ref="H123" r:id="rId56" display="file:///G:/log" xr:uid="{00000000-0004-0000-0D00-000037000000}"/>
    <hyperlink ref="H126" r:id="rId57" display="file:///H:/backup" xr:uid="{00000000-0004-0000-0D00-000038000000}"/>
    <hyperlink ref="H127" r:id="rId58" display="file:///G:/log" xr:uid="{00000000-0004-0000-0D00-000039000000}"/>
    <hyperlink ref="H130" r:id="rId59" display="file:///H:/backup" xr:uid="{00000000-0004-0000-0D00-00003A000000}"/>
    <hyperlink ref="H131" r:id="rId60" display="file:///G:/log" xr:uid="{00000000-0004-0000-0D00-00003B000000}"/>
  </hyperlinks>
  <pageMargins left="0.7" right="0.7" top="0.75" bottom="0.75"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4472C4"/>
  </sheetPr>
  <dimension ref="A1:AMK132"/>
  <sheetViews>
    <sheetView zoomScale="58" zoomScaleNormal="58" workbookViewId="0">
      <selection activeCell="C4" sqref="C4"/>
    </sheetView>
  </sheetViews>
  <sheetFormatPr defaultColWidth="0" defaultRowHeight="13.5"/>
  <cols>
    <col min="1" max="1" width="37.42578125" style="142" customWidth="1"/>
    <col min="2" max="3" width="22.42578125" style="142" customWidth="1"/>
    <col min="4" max="4" width="17.42578125" style="142" customWidth="1"/>
    <col min="5" max="5" width="10.42578125" style="142" customWidth="1"/>
    <col min="6" max="6" width="13.42578125" style="142" customWidth="1"/>
    <col min="7" max="8" width="21.5703125" style="142" customWidth="1"/>
    <col min="9" max="9" width="17.42578125" style="142" customWidth="1"/>
    <col min="10" max="10" width="15.42578125" style="142" customWidth="1"/>
    <col min="11" max="11" width="15.5703125" style="143" customWidth="1"/>
    <col min="12" max="14" width="19.5703125" style="143" customWidth="1"/>
    <col min="15" max="15" width="13.5703125" style="143" customWidth="1"/>
    <col min="16" max="16" width="14.5703125" style="143" customWidth="1"/>
    <col min="17" max="1025" width="8.5703125" style="50" hidden="1" customWidth="1"/>
    <col min="1026" max="16384" width="8.5703125" style="23" hidden="1"/>
  </cols>
  <sheetData>
    <row r="1" spans="1:16" ht="25.5" customHeight="1">
      <c r="A1" s="257" t="s">
        <v>295</v>
      </c>
      <c r="B1" s="257"/>
      <c r="C1" s="257"/>
      <c r="D1" s="257"/>
      <c r="E1" s="257"/>
      <c r="F1" s="257"/>
      <c r="G1" s="257"/>
      <c r="H1" s="257"/>
      <c r="I1" s="257"/>
      <c r="J1" s="257"/>
      <c r="K1" s="257"/>
      <c r="L1" s="257"/>
      <c r="M1" s="257"/>
      <c r="N1" s="257"/>
      <c r="O1" s="257"/>
      <c r="P1" s="257"/>
    </row>
    <row r="2" spans="1:16" s="129" customFormat="1">
      <c r="A2" s="144" t="s">
        <v>272</v>
      </c>
      <c r="B2" s="301"/>
      <c r="C2" s="301"/>
      <c r="D2" s="301"/>
      <c r="E2" s="301"/>
      <c r="F2" s="301"/>
      <c r="G2" s="301"/>
      <c r="H2" s="301"/>
      <c r="I2" s="301"/>
      <c r="J2" s="301"/>
      <c r="K2" s="301"/>
      <c r="L2" s="301"/>
      <c r="M2" s="301"/>
      <c r="N2" s="301"/>
      <c r="O2" s="301"/>
      <c r="P2" s="301"/>
    </row>
    <row r="3" spans="1:16" ht="25.5" customHeight="1">
      <c r="A3" s="65" t="s">
        <v>12</v>
      </c>
      <c r="B3" s="65" t="s">
        <v>246</v>
      </c>
      <c r="C3" s="88" t="s">
        <v>273</v>
      </c>
      <c r="D3" s="145" t="s">
        <v>274</v>
      </c>
      <c r="E3" s="65" t="s">
        <v>99</v>
      </c>
      <c r="F3" s="65" t="s">
        <v>100</v>
      </c>
      <c r="G3" s="65" t="s">
        <v>275</v>
      </c>
      <c r="H3" s="293" t="s">
        <v>276</v>
      </c>
      <c r="I3" s="293"/>
      <c r="J3" s="65" t="s">
        <v>277</v>
      </c>
      <c r="K3" s="114" t="s">
        <v>278</v>
      </c>
      <c r="L3" s="114" t="s">
        <v>247</v>
      </c>
      <c r="M3" s="114" t="s">
        <v>279</v>
      </c>
      <c r="N3" s="114" t="s">
        <v>280</v>
      </c>
      <c r="O3" s="114" t="s">
        <v>281</v>
      </c>
      <c r="P3" s="114" t="s">
        <v>250</v>
      </c>
    </row>
    <row r="4" spans="1:16" s="147" customFormat="1" ht="12" customHeight="1">
      <c r="A4" s="294" t="s">
        <v>296</v>
      </c>
      <c r="B4" s="290">
        <f>((24*7*4)/(24*7*4))*730</f>
        <v>730</v>
      </c>
      <c r="C4" s="294" t="s">
        <v>282</v>
      </c>
      <c r="D4" s="295"/>
      <c r="E4" s="295">
        <v>4</v>
      </c>
      <c r="F4" s="295">
        <v>16</v>
      </c>
      <c r="G4" s="294" t="s">
        <v>283</v>
      </c>
      <c r="H4" s="32" t="str">
        <f>IF(G4="Windows Server", "C:\", "/")</f>
        <v>C:\</v>
      </c>
      <c r="I4" s="146">
        <f>IF(G4="Windows Server", 150, 20)</f>
        <v>150</v>
      </c>
      <c r="J4" s="296">
        <f>SUM(I4:I7)</f>
        <v>300</v>
      </c>
      <c r="K4" s="297">
        <f>J4 *(IF(C4="AZURE", SUMMARY!C$20, SUMMARY!C$21))</f>
        <v>28.8</v>
      </c>
      <c r="L4" s="298"/>
      <c r="M4" s="299">
        <f>IF(C4="ON PREM", 0, SUMMARY!C$25%)</f>
        <v>0.12</v>
      </c>
      <c r="N4" s="299">
        <f>IF(C4="AWS",SUMMARY!C$26%, 0)</f>
        <v>0.13</v>
      </c>
      <c r="O4" s="300">
        <f>((SUM(K4:L4))-((SUM(K4:L4))*N4))*(1 + M4)</f>
        <v>28.062720000000002</v>
      </c>
      <c r="P4" s="300">
        <f>O4*12</f>
        <v>336.75264000000004</v>
      </c>
    </row>
    <row r="5" spans="1:16" s="147" customFormat="1" ht="12" customHeight="1">
      <c r="A5" s="294"/>
      <c r="B5" s="294"/>
      <c r="C5" s="294"/>
      <c r="D5" s="295"/>
      <c r="E5" s="295"/>
      <c r="F5" s="295"/>
      <c r="G5" s="294"/>
      <c r="H5" s="148" t="str">
        <f>IF(G4="Windows Server", "F:\appdir", "/appdir")</f>
        <v>F:\appdir</v>
      </c>
      <c r="I5" s="149"/>
      <c r="J5" s="296"/>
      <c r="K5" s="296"/>
      <c r="L5" s="296"/>
      <c r="M5" s="296"/>
      <c r="N5" s="296"/>
      <c r="O5" s="296"/>
      <c r="P5" s="296"/>
    </row>
    <row r="6" spans="1:16" s="147" customFormat="1" ht="12" customHeight="1">
      <c r="A6" s="294"/>
      <c r="B6" s="294"/>
      <c r="C6" s="294"/>
      <c r="D6" s="295"/>
      <c r="E6" s="295"/>
      <c r="F6" s="295"/>
      <c r="G6" s="294"/>
      <c r="H6" s="32" t="str">
        <f>IF(G4="Windows Server", "G:\Log", "/var/log")</f>
        <v>G:\Log</v>
      </c>
      <c r="I6" s="146">
        <f>IF(G4="Windows Server", 50, 20)</f>
        <v>50</v>
      </c>
      <c r="J6" s="296"/>
      <c r="K6" s="296"/>
      <c r="L6" s="296"/>
      <c r="M6" s="296"/>
      <c r="N6" s="296"/>
      <c r="O6" s="296"/>
      <c r="P6" s="296"/>
    </row>
    <row r="7" spans="1:16" s="147" customFormat="1" ht="12" customHeight="1">
      <c r="A7" s="294"/>
      <c r="B7" s="294"/>
      <c r="C7" s="294"/>
      <c r="D7" s="295"/>
      <c r="E7" s="295"/>
      <c r="F7" s="295"/>
      <c r="G7" s="294"/>
      <c r="H7" s="32" t="str">
        <f>IF(G4="Windows Server", "H:\Backup", "/backup")</f>
        <v>H:\Backup</v>
      </c>
      <c r="I7" s="146">
        <f>IF(G4="Windows Server", 100, 10)</f>
        <v>100</v>
      </c>
      <c r="J7" s="296"/>
      <c r="K7" s="296"/>
      <c r="L7" s="296"/>
      <c r="M7" s="296"/>
      <c r="N7" s="296"/>
      <c r="O7" s="296"/>
      <c r="P7" s="296"/>
    </row>
    <row r="8" spans="1:16" s="147" customFormat="1" ht="12" customHeight="1">
      <c r="A8" s="294"/>
      <c r="B8" s="290">
        <f>((24*7*4)/(24*7*4))*730</f>
        <v>730</v>
      </c>
      <c r="C8" s="294" t="s">
        <v>288</v>
      </c>
      <c r="D8" s="295"/>
      <c r="E8" s="295"/>
      <c r="F8" s="295"/>
      <c r="G8" s="294" t="s">
        <v>283</v>
      </c>
      <c r="H8" s="32" t="str">
        <f>IF(G8="Windows Server", "C:\", "/")</f>
        <v>C:\</v>
      </c>
      <c r="I8" s="146">
        <f>IF(G8="Windows Server", 150, 20)</f>
        <v>150</v>
      </c>
      <c r="J8" s="296">
        <f>SUM(I8:I11)</f>
        <v>300</v>
      </c>
      <c r="K8" s="297">
        <f>J8 *(IF(C8="AZURE", SUMMARY!C$20, SUMMARY!C$21))</f>
        <v>28.8</v>
      </c>
      <c r="L8" s="298"/>
      <c r="M8" s="299">
        <f>IF(C8="ON PREM", 0, SUMMARY!C$25%)</f>
        <v>0</v>
      </c>
      <c r="N8" s="299">
        <f>IF(C8="AWS",SUMMARY!C$26%, 0)</f>
        <v>0</v>
      </c>
      <c r="O8" s="300">
        <f>((SUM(K8:L8))-((SUM(K8:L8))*N8))*(1 + M8)</f>
        <v>28.8</v>
      </c>
      <c r="P8" s="300">
        <f>O8*12</f>
        <v>345.6</v>
      </c>
    </row>
    <row r="9" spans="1:16" s="147" customFormat="1" ht="12" customHeight="1">
      <c r="A9" s="294"/>
      <c r="B9" s="294"/>
      <c r="C9" s="294"/>
      <c r="D9" s="295"/>
      <c r="E9" s="295"/>
      <c r="F9" s="295"/>
      <c r="G9" s="294"/>
      <c r="H9" s="148" t="str">
        <f>IF(G8="Windows Server", "F:\appdir", "/appdir")</f>
        <v>F:\appdir</v>
      </c>
      <c r="I9" s="149"/>
      <c r="J9" s="296"/>
      <c r="K9" s="296"/>
      <c r="L9" s="296"/>
      <c r="M9" s="296"/>
      <c r="N9" s="296"/>
      <c r="O9" s="296"/>
      <c r="P9" s="296"/>
    </row>
    <row r="10" spans="1:16" s="147" customFormat="1" ht="12" customHeight="1">
      <c r="A10" s="294"/>
      <c r="B10" s="294"/>
      <c r="C10" s="294"/>
      <c r="D10" s="295"/>
      <c r="E10" s="295"/>
      <c r="F10" s="295"/>
      <c r="G10" s="294"/>
      <c r="H10" s="32" t="str">
        <f>IF(G8="Windows Server", "G:\Log", "/var/log")</f>
        <v>G:\Log</v>
      </c>
      <c r="I10" s="146">
        <f>IF(G8="Windows Server", 50, 20)</f>
        <v>50</v>
      </c>
      <c r="J10" s="296"/>
      <c r="K10" s="296"/>
      <c r="L10" s="296"/>
      <c r="M10" s="296"/>
      <c r="N10" s="296"/>
      <c r="O10" s="296"/>
      <c r="P10" s="296"/>
    </row>
    <row r="11" spans="1:16" s="147" customFormat="1" ht="12" customHeight="1">
      <c r="A11" s="294"/>
      <c r="B11" s="294"/>
      <c r="C11" s="294"/>
      <c r="D11" s="295"/>
      <c r="E11" s="295"/>
      <c r="F11" s="295"/>
      <c r="G11" s="294"/>
      <c r="H11" s="32" t="str">
        <f>IF(G8="Windows Server", "H:\Backup", "/backup")</f>
        <v>H:\Backup</v>
      </c>
      <c r="I11" s="146">
        <f>IF(G8="Windows Server", 100, 10)</f>
        <v>100</v>
      </c>
      <c r="J11" s="296"/>
      <c r="K11" s="296"/>
      <c r="L11" s="296"/>
      <c r="M11" s="296"/>
      <c r="N11" s="296"/>
      <c r="O11" s="296"/>
      <c r="P11" s="296"/>
    </row>
    <row r="12" spans="1:16" s="147" customFormat="1" ht="12" customHeight="1">
      <c r="A12" s="294"/>
      <c r="B12" s="290">
        <f>((24*7*4)/(24*7*4))*730</f>
        <v>730</v>
      </c>
      <c r="C12" s="294" t="s">
        <v>286</v>
      </c>
      <c r="D12" s="295"/>
      <c r="E12" s="295"/>
      <c r="F12" s="295"/>
      <c r="G12" s="294" t="s">
        <v>287</v>
      </c>
      <c r="H12" s="32" t="str">
        <f>IF(G12="Windows Server", "C:\", "/")</f>
        <v>/</v>
      </c>
      <c r="I12" s="146">
        <f>IF(G12="Windows Server", 150, 20)</f>
        <v>20</v>
      </c>
      <c r="J12" s="296">
        <f>SUM(I12:I15)</f>
        <v>50</v>
      </c>
      <c r="K12" s="297">
        <f>J12 *(IF(C12="AZURE", SUMMARY!C$20, SUMMARY!C$21))</f>
        <v>4.8</v>
      </c>
      <c r="L12" s="298"/>
      <c r="M12" s="299">
        <f>IF(C12="ON PREM", 0, SUMMARY!C$25%)</f>
        <v>0.12</v>
      </c>
      <c r="N12" s="299">
        <f>IF(C12="AWS",SUMMARY!C$26%, 0)</f>
        <v>0</v>
      </c>
      <c r="O12" s="300">
        <f>((SUM(K12:L12))-((SUM(K12:L12))*N12))*(1 + M12)</f>
        <v>5.3760000000000003</v>
      </c>
      <c r="P12" s="300">
        <f>O12*12</f>
        <v>64.512</v>
      </c>
    </row>
    <row r="13" spans="1:16" s="147" customFormat="1" ht="12" customHeight="1">
      <c r="A13" s="294"/>
      <c r="B13" s="294"/>
      <c r="C13" s="294"/>
      <c r="D13" s="295"/>
      <c r="E13" s="295"/>
      <c r="F13" s="295"/>
      <c r="G13" s="294"/>
      <c r="H13" s="148" t="str">
        <f>IF(G12="Windows Server", "F:\appdir", "/appdir")</f>
        <v>/appdir</v>
      </c>
      <c r="I13" s="149"/>
      <c r="J13" s="296"/>
      <c r="K13" s="296"/>
      <c r="L13" s="296"/>
      <c r="M13" s="296"/>
      <c r="N13" s="296"/>
      <c r="O13" s="296"/>
      <c r="P13" s="296"/>
    </row>
    <row r="14" spans="1:16" s="147" customFormat="1" ht="12" customHeight="1">
      <c r="A14" s="294"/>
      <c r="B14" s="294"/>
      <c r="C14" s="294"/>
      <c r="D14" s="295"/>
      <c r="E14" s="295"/>
      <c r="F14" s="295"/>
      <c r="G14" s="294"/>
      <c r="H14" s="32" t="str">
        <f>IF(G12="Windows Server", "G:\Log", "/var/log")</f>
        <v>/var/log</v>
      </c>
      <c r="I14" s="146">
        <f>IF(G12="Windows Server", 50, 20)</f>
        <v>20</v>
      </c>
      <c r="J14" s="296"/>
      <c r="K14" s="296"/>
      <c r="L14" s="296"/>
      <c r="M14" s="296"/>
      <c r="N14" s="296"/>
      <c r="O14" s="296"/>
      <c r="P14" s="296"/>
    </row>
    <row r="15" spans="1:16" s="147" customFormat="1" ht="12" customHeight="1">
      <c r="A15" s="294"/>
      <c r="B15" s="294"/>
      <c r="C15" s="294"/>
      <c r="D15" s="295"/>
      <c r="E15" s="295"/>
      <c r="F15" s="295"/>
      <c r="G15" s="294"/>
      <c r="H15" s="32" t="str">
        <f>IF(G12="Windows Server", "H:\Backup", "/backup")</f>
        <v>/backup</v>
      </c>
      <c r="I15" s="146">
        <f>IF(G12="Windows Server", 100, 10)</f>
        <v>10</v>
      </c>
      <c r="J15" s="296"/>
      <c r="K15" s="296"/>
      <c r="L15" s="296"/>
      <c r="M15" s="296"/>
      <c r="N15" s="296"/>
      <c r="O15" s="296"/>
      <c r="P15" s="296"/>
    </row>
    <row r="16" spans="1:16" s="147" customFormat="1" ht="12" customHeight="1">
      <c r="A16" s="294"/>
      <c r="B16" s="290">
        <f>((24*7*4)/(24*7*4))*730</f>
        <v>730</v>
      </c>
      <c r="C16" s="294" t="s">
        <v>286</v>
      </c>
      <c r="D16" s="295"/>
      <c r="E16" s="295"/>
      <c r="F16" s="295"/>
      <c r="G16" s="294" t="s">
        <v>294</v>
      </c>
      <c r="H16" s="32" t="str">
        <f>IF(G16="Windows Server", "C:\", "/")</f>
        <v>/</v>
      </c>
      <c r="I16" s="146">
        <f>IF(G16="Windows Server", 150, 20)</f>
        <v>20</v>
      </c>
      <c r="J16" s="296">
        <f>SUM(I16:I19)</f>
        <v>50</v>
      </c>
      <c r="K16" s="297">
        <f>J16 *(IF(C16="AZURE", SUMMARY!C$20, SUMMARY!C$21))</f>
        <v>4.8</v>
      </c>
      <c r="L16" s="298"/>
      <c r="M16" s="299">
        <f>IF(C16="ON PREM", 0, SUMMARY!C$25%)</f>
        <v>0.12</v>
      </c>
      <c r="N16" s="299">
        <f>IF(C16="AWS",SUMMARY!C$26%, 0)</f>
        <v>0</v>
      </c>
      <c r="O16" s="300">
        <f>((SUM(K16:L16))-((SUM(K16:L16))*N16))*(1 + M16)</f>
        <v>5.3760000000000003</v>
      </c>
      <c r="P16" s="300">
        <f>O16*12</f>
        <v>64.512</v>
      </c>
    </row>
    <row r="17" spans="1:16" s="147" customFormat="1" ht="12" customHeight="1">
      <c r="A17" s="294"/>
      <c r="B17" s="294"/>
      <c r="C17" s="294"/>
      <c r="D17" s="295"/>
      <c r="E17" s="295"/>
      <c r="F17" s="295"/>
      <c r="G17" s="294"/>
      <c r="H17" s="148" t="str">
        <f>IF(G16="Windows Server", "F:\appdir", "/appdir")</f>
        <v>/appdir</v>
      </c>
      <c r="I17" s="149"/>
      <c r="J17" s="296"/>
      <c r="K17" s="296"/>
      <c r="L17" s="296"/>
      <c r="M17" s="296"/>
      <c r="N17" s="296"/>
      <c r="O17" s="296"/>
      <c r="P17" s="296"/>
    </row>
    <row r="18" spans="1:16" s="147" customFormat="1" ht="12" customHeight="1">
      <c r="A18" s="294"/>
      <c r="B18" s="294"/>
      <c r="C18" s="294"/>
      <c r="D18" s="295"/>
      <c r="E18" s="295"/>
      <c r="F18" s="295"/>
      <c r="G18" s="294"/>
      <c r="H18" s="32" t="str">
        <f>IF(G16="Windows Server", "G:\Log", "/var/log")</f>
        <v>/var/log</v>
      </c>
      <c r="I18" s="146">
        <f>IF(G16="Windows Server", 50, 20)</f>
        <v>20</v>
      </c>
      <c r="J18" s="296"/>
      <c r="K18" s="296"/>
      <c r="L18" s="296"/>
      <c r="M18" s="296"/>
      <c r="N18" s="296"/>
      <c r="O18" s="296"/>
      <c r="P18" s="296"/>
    </row>
    <row r="19" spans="1:16" s="147" customFormat="1" ht="12" customHeight="1">
      <c r="A19" s="294"/>
      <c r="B19" s="294"/>
      <c r="C19" s="294"/>
      <c r="D19" s="295"/>
      <c r="E19" s="295"/>
      <c r="F19" s="295"/>
      <c r="G19" s="294"/>
      <c r="H19" s="32" t="str">
        <f>IF(G16="Windows Server", "H:\Backup", "/backup")</f>
        <v>/backup</v>
      </c>
      <c r="I19" s="146">
        <f>IF(G16="Windows Server", 100, 10)</f>
        <v>10</v>
      </c>
      <c r="J19" s="296"/>
      <c r="K19" s="296"/>
      <c r="L19" s="296"/>
      <c r="M19" s="296"/>
      <c r="N19" s="296"/>
      <c r="O19" s="296"/>
      <c r="P19" s="296"/>
    </row>
    <row r="20" spans="1:16" s="147" customFormat="1" ht="12" customHeight="1">
      <c r="A20" s="294"/>
      <c r="B20" s="290">
        <f>((24*7*4)/(24*7*4))*730</f>
        <v>730</v>
      </c>
      <c r="C20" s="294" t="s">
        <v>286</v>
      </c>
      <c r="D20" s="295"/>
      <c r="E20" s="295"/>
      <c r="F20" s="295"/>
      <c r="G20" s="294" t="s">
        <v>293</v>
      </c>
      <c r="H20" s="32" t="str">
        <f>IF(G20="Windows Server", "C:\", "/")</f>
        <v>/</v>
      </c>
      <c r="I20" s="146">
        <f>IF(G20="Windows Server", 150, 20)</f>
        <v>20</v>
      </c>
      <c r="J20" s="296">
        <f>SUM(I20:I23)</f>
        <v>50</v>
      </c>
      <c r="K20" s="297">
        <f>J20 *(IF(C20="AZURE", SUMMARY!C$20, SUMMARY!C$21))</f>
        <v>4.8</v>
      </c>
      <c r="L20" s="298"/>
      <c r="M20" s="299">
        <f>IF(C20="ON PREM", 0, SUMMARY!C$25%)</f>
        <v>0.12</v>
      </c>
      <c r="N20" s="299">
        <f>IF(C20="AWS",SUMMARY!C$26%, 0)</f>
        <v>0</v>
      </c>
      <c r="O20" s="300">
        <f>((SUM(K20:L20))-((SUM(K20:L20))*N20))*(1 + M20)</f>
        <v>5.3760000000000003</v>
      </c>
      <c r="P20" s="300">
        <f>O20*12</f>
        <v>64.512</v>
      </c>
    </row>
    <row r="21" spans="1:16" s="147" customFormat="1" ht="12" customHeight="1">
      <c r="A21" s="294"/>
      <c r="B21" s="294"/>
      <c r="C21" s="294"/>
      <c r="D21" s="295"/>
      <c r="E21" s="295"/>
      <c r="F21" s="295"/>
      <c r="G21" s="294"/>
      <c r="H21" s="148" t="str">
        <f>IF(G20="Windows Server", "F:\appdir", "/appdir")</f>
        <v>/appdir</v>
      </c>
      <c r="I21" s="149"/>
      <c r="J21" s="296"/>
      <c r="K21" s="296"/>
      <c r="L21" s="296"/>
      <c r="M21" s="296"/>
      <c r="N21" s="296"/>
      <c r="O21" s="296"/>
      <c r="P21" s="296"/>
    </row>
    <row r="22" spans="1:16" s="147" customFormat="1" ht="12" customHeight="1">
      <c r="A22" s="294"/>
      <c r="B22" s="294"/>
      <c r="C22" s="294"/>
      <c r="D22" s="295"/>
      <c r="E22" s="295"/>
      <c r="F22" s="295"/>
      <c r="G22" s="294"/>
      <c r="H22" s="32" t="str">
        <f>IF(G20="Windows Server", "G:\Log", "/var/log")</f>
        <v>/var/log</v>
      </c>
      <c r="I22" s="146">
        <f>IF(G20="Windows Server", 50, 20)</f>
        <v>20</v>
      </c>
      <c r="J22" s="296"/>
      <c r="K22" s="296"/>
      <c r="L22" s="296"/>
      <c r="M22" s="296"/>
      <c r="N22" s="296"/>
      <c r="O22" s="296"/>
      <c r="P22" s="296"/>
    </row>
    <row r="23" spans="1:16" s="147" customFormat="1" ht="12" customHeight="1">
      <c r="A23" s="294"/>
      <c r="B23" s="294"/>
      <c r="C23" s="294"/>
      <c r="D23" s="295"/>
      <c r="E23" s="295"/>
      <c r="F23" s="295"/>
      <c r="G23" s="294"/>
      <c r="H23" s="32" t="str">
        <f>IF(G20="Windows Server", "H:\Backup", "/backup")</f>
        <v>/backup</v>
      </c>
      <c r="I23" s="146">
        <f>IF(G20="Windows Server", 100, 10)</f>
        <v>10</v>
      </c>
      <c r="J23" s="296"/>
      <c r="K23" s="296"/>
      <c r="L23" s="296"/>
      <c r="M23" s="296"/>
      <c r="N23" s="296"/>
      <c r="O23" s="296"/>
      <c r="P23" s="296"/>
    </row>
    <row r="24" spans="1:16" s="147" customFormat="1" ht="12" customHeight="1">
      <c r="A24" s="294"/>
      <c r="B24" s="290">
        <f>((24*7*4)/(24*7*4))*730</f>
        <v>730</v>
      </c>
      <c r="C24" s="294" t="s">
        <v>286</v>
      </c>
      <c r="D24" s="295"/>
      <c r="E24" s="295"/>
      <c r="F24" s="295"/>
      <c r="G24" s="294" t="s">
        <v>283</v>
      </c>
      <c r="H24" s="32" t="str">
        <f>IF(G24="Windows Server", "C:\", "/")</f>
        <v>C:\</v>
      </c>
      <c r="I24" s="146">
        <f>IF(G24="Windows Server", 150, 20)</f>
        <v>150</v>
      </c>
      <c r="J24" s="296">
        <f>SUM(I24:I27)</f>
        <v>300</v>
      </c>
      <c r="K24" s="297">
        <f>J24 *(IF(C24="AZURE", SUMMARY!C$20, SUMMARY!C$21))</f>
        <v>28.8</v>
      </c>
      <c r="L24" s="298"/>
      <c r="M24" s="299">
        <f>IF(C24="ON PREM", 0, SUMMARY!C$25%)</f>
        <v>0.12</v>
      </c>
      <c r="N24" s="299">
        <f>IF(C24="AWS",SUMMARY!C$26%, 0)</f>
        <v>0</v>
      </c>
      <c r="O24" s="300">
        <f>((SUM(K24:L24))-((SUM(K24:L24))*N24))*(1 + M24)</f>
        <v>32.256000000000007</v>
      </c>
      <c r="P24" s="300">
        <f>O24*12</f>
        <v>387.07200000000012</v>
      </c>
    </row>
    <row r="25" spans="1:16" s="147" customFormat="1" ht="12" customHeight="1">
      <c r="A25" s="294"/>
      <c r="B25" s="294"/>
      <c r="C25" s="294"/>
      <c r="D25" s="295"/>
      <c r="E25" s="295"/>
      <c r="F25" s="295"/>
      <c r="G25" s="294"/>
      <c r="H25" s="148" t="str">
        <f>IF(G24="Windows Server", "F:\appdir", "/appdir")</f>
        <v>F:\appdir</v>
      </c>
      <c r="I25" s="149"/>
      <c r="J25" s="296"/>
      <c r="K25" s="296"/>
      <c r="L25" s="296"/>
      <c r="M25" s="296"/>
      <c r="N25" s="296"/>
      <c r="O25" s="296"/>
      <c r="P25" s="296"/>
    </row>
    <row r="26" spans="1:16" s="147" customFormat="1" ht="12" customHeight="1">
      <c r="A26" s="294"/>
      <c r="B26" s="294"/>
      <c r="C26" s="294"/>
      <c r="D26" s="295"/>
      <c r="E26" s="295"/>
      <c r="F26" s="295"/>
      <c r="G26" s="294"/>
      <c r="H26" s="32" t="str">
        <f>IF(G24="Windows Server", "G:\Log", "/var/log")</f>
        <v>G:\Log</v>
      </c>
      <c r="I26" s="146">
        <f>IF(G24="Windows Server", 50, 20)</f>
        <v>50</v>
      </c>
      <c r="J26" s="296"/>
      <c r="K26" s="296"/>
      <c r="L26" s="296"/>
      <c r="M26" s="296"/>
      <c r="N26" s="296"/>
      <c r="O26" s="296"/>
      <c r="P26" s="296"/>
    </row>
    <row r="27" spans="1:16" s="147" customFormat="1" ht="12" customHeight="1">
      <c r="A27" s="294"/>
      <c r="B27" s="294"/>
      <c r="C27" s="294"/>
      <c r="D27" s="295"/>
      <c r="E27" s="295"/>
      <c r="F27" s="295"/>
      <c r="G27" s="294"/>
      <c r="H27" s="32" t="str">
        <f>IF(G24="Windows Server", "H:\Backup", "/backup")</f>
        <v>H:\Backup</v>
      </c>
      <c r="I27" s="146">
        <f>IF(G24="Windows Server", 100, 10)</f>
        <v>100</v>
      </c>
      <c r="J27" s="296"/>
      <c r="K27" s="296"/>
      <c r="L27" s="296"/>
      <c r="M27" s="296"/>
      <c r="N27" s="296"/>
      <c r="O27" s="296"/>
      <c r="P27" s="296"/>
    </row>
    <row r="28" spans="1:16" ht="14.25" customHeight="1">
      <c r="A28" s="3"/>
      <c r="B28" s="153"/>
      <c r="C28" s="153"/>
      <c r="D28" s="153"/>
      <c r="E28" s="153">
        <f>SUM(E4:E27)</f>
        <v>4</v>
      </c>
      <c r="F28" s="153">
        <f>SUM(F4:F27)</f>
        <v>16</v>
      </c>
      <c r="G28" s="153"/>
      <c r="H28" s="153"/>
      <c r="I28" s="153"/>
      <c r="J28" s="153">
        <f>SUM(J4:J27)</f>
        <v>1050</v>
      </c>
      <c r="K28" s="154">
        <f>SUM(K4:K27)</f>
        <v>100.8</v>
      </c>
      <c r="L28" s="154">
        <f>SUM(L4:L27)</f>
        <v>0</v>
      </c>
      <c r="M28" s="154"/>
      <c r="N28" s="154"/>
      <c r="O28" s="154">
        <f>SUM(O4:O27)</f>
        <v>105.24672000000001</v>
      </c>
      <c r="P28" s="154">
        <f>SUM(P4:P27)</f>
        <v>1262.96064</v>
      </c>
    </row>
    <row r="29" spans="1:16" s="129" customFormat="1">
      <c r="A29" s="144" t="s">
        <v>284</v>
      </c>
      <c r="B29" s="301"/>
      <c r="C29" s="301"/>
      <c r="D29" s="301"/>
      <c r="E29" s="301"/>
      <c r="F29" s="301"/>
      <c r="G29" s="301"/>
      <c r="H29" s="301"/>
      <c r="I29" s="301"/>
      <c r="J29" s="301"/>
      <c r="K29" s="301"/>
      <c r="L29" s="301"/>
      <c r="M29" s="301"/>
      <c r="N29" s="301"/>
      <c r="O29" s="301"/>
      <c r="P29" s="301"/>
    </row>
    <row r="30" spans="1:16" s="147" customFormat="1" ht="12" customHeight="1">
      <c r="A30" s="302"/>
      <c r="B30" s="290">
        <f>((24*7*4)/(24*7*4))*730</f>
        <v>730</v>
      </c>
      <c r="C30" s="303" t="s">
        <v>282</v>
      </c>
      <c r="D30" s="311"/>
      <c r="E30" s="305">
        <f>CEILING(E4*(100+SUMMARY!$C$24)%,1)</f>
        <v>5</v>
      </c>
      <c r="F30" s="305">
        <f>CEILING(F4*(100+SUMMARY!$C$24)%,1)</f>
        <v>19</v>
      </c>
      <c r="G30" s="306" t="s">
        <v>283</v>
      </c>
      <c r="H30" s="32" t="str">
        <f>IF(G30="Windows Server", "C:\", "/")</f>
        <v>C:\</v>
      </c>
      <c r="I30" s="146">
        <f>IF(G30="Windows Server", 150, 20)</f>
        <v>150</v>
      </c>
      <c r="J30" s="296">
        <f>SUM(I30:I33)</f>
        <v>300</v>
      </c>
      <c r="K30" s="307">
        <f>J30 *(IF(C30="AZURE", SUMMARY!C$20, SUMMARY!C$21))</f>
        <v>28.8</v>
      </c>
      <c r="L30" s="308"/>
      <c r="M30" s="299">
        <f>IF(C30="ON PREM", 0, SUMMARY!C$25%)</f>
        <v>0.12</v>
      </c>
      <c r="N30" s="299">
        <f>IF(C30="AWS",SUMMARY!C$26%, 0)</f>
        <v>0.13</v>
      </c>
      <c r="O30" s="300">
        <f>((SUM(K30:L30))-((SUM(K30:L30))*N30))*(1 + M30)</f>
        <v>28.062720000000002</v>
      </c>
      <c r="P30" s="312">
        <f>O30*12</f>
        <v>336.75264000000004</v>
      </c>
    </row>
    <row r="31" spans="1:16" s="147" customFormat="1" ht="12" customHeight="1">
      <c r="A31" s="302"/>
      <c r="B31" s="302"/>
      <c r="C31" s="303"/>
      <c r="D31" s="311"/>
      <c r="E31" s="311"/>
      <c r="F31" s="311"/>
      <c r="G31" s="306"/>
      <c r="H31" s="155" t="str">
        <f>IF(G30="Windows Server", "F:\appdir", "/appdir")</f>
        <v>F:\appdir</v>
      </c>
      <c r="I31" s="152">
        <f>CEILING(I5*(100+SUMMARY!$C$24)%,1)</f>
        <v>0</v>
      </c>
      <c r="J31" s="296"/>
      <c r="K31" s="296"/>
      <c r="L31" s="296"/>
      <c r="M31" s="296"/>
      <c r="N31" s="296"/>
      <c r="O31" s="296"/>
      <c r="P31" s="296"/>
    </row>
    <row r="32" spans="1:16" s="147" customFormat="1" ht="12" customHeight="1">
      <c r="A32" s="302"/>
      <c r="B32" s="302"/>
      <c r="C32" s="303"/>
      <c r="D32" s="311"/>
      <c r="E32" s="311"/>
      <c r="F32" s="311"/>
      <c r="G32" s="306"/>
      <c r="H32" s="32" t="str">
        <f>IF(G30="Windows Server", "G:\Log", "/var/log")</f>
        <v>G:\Log</v>
      </c>
      <c r="I32" s="146">
        <f>IF(G30="Windows Server", 50, 20)</f>
        <v>50</v>
      </c>
      <c r="J32" s="296"/>
      <c r="K32" s="296"/>
      <c r="L32" s="296"/>
      <c r="M32" s="296"/>
      <c r="N32" s="296"/>
      <c r="O32" s="296"/>
      <c r="P32" s="296"/>
    </row>
    <row r="33" spans="1:16" s="147" customFormat="1" ht="12" customHeight="1">
      <c r="A33" s="302"/>
      <c r="B33" s="302"/>
      <c r="C33" s="303"/>
      <c r="D33" s="311"/>
      <c r="E33" s="311"/>
      <c r="F33" s="311"/>
      <c r="G33" s="306"/>
      <c r="H33" s="32" t="str">
        <f>IF(G30="Windows Server", "H:\Backup", "/backup")</f>
        <v>H:\Backup</v>
      </c>
      <c r="I33" s="146">
        <f>IF(G30="Windows Server", 100, 10)</f>
        <v>100</v>
      </c>
      <c r="J33" s="296"/>
      <c r="K33" s="296"/>
      <c r="L33" s="296"/>
      <c r="M33" s="296"/>
      <c r="N33" s="296"/>
      <c r="O33" s="296"/>
      <c r="P33" s="296"/>
    </row>
    <row r="34" spans="1:16" s="147" customFormat="1" ht="12" customHeight="1">
      <c r="A34" s="302"/>
      <c r="B34" s="290">
        <f>((24*7*4)/(24*7*4))*730</f>
        <v>730</v>
      </c>
      <c r="C34" s="303" t="s">
        <v>282</v>
      </c>
      <c r="D34" s="311"/>
      <c r="E34" s="305">
        <f>CEILING(E8*(100+SUMMARY!$C$24)%,1)</f>
        <v>0</v>
      </c>
      <c r="F34" s="305">
        <f>CEILING(F8*(100+SUMMARY!$C$24)%,1)</f>
        <v>0</v>
      </c>
      <c r="G34" s="306" t="s">
        <v>283</v>
      </c>
      <c r="H34" s="32" t="str">
        <f>IF(G34="Windows Server", "C:\", "/")</f>
        <v>C:\</v>
      </c>
      <c r="I34" s="146">
        <f>IF(G34="Windows Server", 150, 20)</f>
        <v>150</v>
      </c>
      <c r="J34" s="296">
        <f>SUM(I34:I37)</f>
        <v>300</v>
      </c>
      <c r="K34" s="307">
        <f>J34 *(IF(C34="AZURE", SUMMARY!C$20, SUMMARY!C$21))</f>
        <v>28.8</v>
      </c>
      <c r="L34" s="308"/>
      <c r="M34" s="299">
        <f>IF(C34="ON PREM", 0, SUMMARY!C$25%)</f>
        <v>0.12</v>
      </c>
      <c r="N34" s="299">
        <f>IF(C34="AWS",SUMMARY!C$26%, 0)</f>
        <v>0.13</v>
      </c>
      <c r="O34" s="300">
        <f>((SUM(K34:L34))-((SUM(K34:L34))*N34))*(1 + M34)</f>
        <v>28.062720000000002</v>
      </c>
      <c r="P34" s="300">
        <f>O34*12</f>
        <v>336.75264000000004</v>
      </c>
    </row>
    <row r="35" spans="1:16" s="147" customFormat="1" ht="12" customHeight="1">
      <c r="A35" s="302"/>
      <c r="B35" s="302"/>
      <c r="C35" s="303"/>
      <c r="D35" s="311"/>
      <c r="E35" s="311"/>
      <c r="F35" s="311"/>
      <c r="G35" s="306"/>
      <c r="H35" s="155" t="str">
        <f>IF(G34="Windows Server", "F:\appdir", "/appdir")</f>
        <v>F:\appdir</v>
      </c>
      <c r="I35" s="152">
        <f>CEILING(I9*(100+SUMMARY!$C$24)%,1)</f>
        <v>0</v>
      </c>
      <c r="J35" s="296"/>
      <c r="K35" s="296"/>
      <c r="L35" s="296"/>
      <c r="M35" s="296"/>
      <c r="N35" s="296"/>
      <c r="O35" s="296"/>
      <c r="P35" s="296"/>
    </row>
    <row r="36" spans="1:16" s="147" customFormat="1" ht="12" customHeight="1">
      <c r="A36" s="302"/>
      <c r="B36" s="302"/>
      <c r="C36" s="303"/>
      <c r="D36" s="311"/>
      <c r="E36" s="311"/>
      <c r="F36" s="311"/>
      <c r="G36" s="306"/>
      <c r="H36" s="32" t="str">
        <f>IF(G34="Windows Server", "G:\Log", "/var/log")</f>
        <v>G:\Log</v>
      </c>
      <c r="I36" s="146">
        <f>IF(G34="Windows Server", 50, 20)</f>
        <v>50</v>
      </c>
      <c r="J36" s="296"/>
      <c r="K36" s="296"/>
      <c r="L36" s="296"/>
      <c r="M36" s="296"/>
      <c r="N36" s="296"/>
      <c r="O36" s="296"/>
      <c r="P36" s="296"/>
    </row>
    <row r="37" spans="1:16" s="147" customFormat="1" ht="12" customHeight="1">
      <c r="A37" s="302"/>
      <c r="B37" s="302"/>
      <c r="C37" s="303"/>
      <c r="D37" s="311"/>
      <c r="E37" s="311"/>
      <c r="F37" s="311"/>
      <c r="G37" s="306"/>
      <c r="H37" s="32" t="str">
        <f>IF(G34="Windows Server", "H:\Backup", "/backup")</f>
        <v>H:\Backup</v>
      </c>
      <c r="I37" s="146">
        <f>IF(G34="Windows Server", 100, 10)</f>
        <v>100</v>
      </c>
      <c r="J37" s="296"/>
      <c r="K37" s="296"/>
      <c r="L37" s="296"/>
      <c r="M37" s="296"/>
      <c r="N37" s="296"/>
      <c r="O37" s="296"/>
      <c r="P37" s="296"/>
    </row>
    <row r="38" spans="1:16" s="147" customFormat="1" ht="12" customHeight="1">
      <c r="A38" s="302"/>
      <c r="B38" s="290">
        <f>((24*7*4)/(24*7*4))*730</f>
        <v>730</v>
      </c>
      <c r="C38" s="303" t="s">
        <v>282</v>
      </c>
      <c r="D38" s="311"/>
      <c r="E38" s="305">
        <f>CEILING(E12*(100+SUMMARY!$C$24)%,1)</f>
        <v>0</v>
      </c>
      <c r="F38" s="305">
        <f>CEILING(F12*(100+SUMMARY!$C$24)%,1)</f>
        <v>0</v>
      </c>
      <c r="G38" s="306" t="s">
        <v>283</v>
      </c>
      <c r="H38" s="32" t="str">
        <f>IF(G38="Windows Server", "C:\", "/")</f>
        <v>C:\</v>
      </c>
      <c r="I38" s="146">
        <f>IF(G38="Windows Server", 150, 20)</f>
        <v>150</v>
      </c>
      <c r="J38" s="296">
        <f>SUM(I38:I41)</f>
        <v>300</v>
      </c>
      <c r="K38" s="307">
        <f>J38 *(IF(C38="AZURE", SUMMARY!C$20, SUMMARY!C$21))</f>
        <v>28.8</v>
      </c>
      <c r="L38" s="308"/>
      <c r="M38" s="299">
        <f>IF(C38="ON PREM", 0, SUMMARY!C$25%)</f>
        <v>0.12</v>
      </c>
      <c r="N38" s="299">
        <f>IF(C38="AWS",SUMMARY!C$26%, 0)</f>
        <v>0.13</v>
      </c>
      <c r="O38" s="300">
        <f>((SUM(K38:L38))-((SUM(K38:L38))*N38))*(1 + M38)</f>
        <v>28.062720000000002</v>
      </c>
      <c r="P38" s="300">
        <f>O38*12</f>
        <v>336.75264000000004</v>
      </c>
    </row>
    <row r="39" spans="1:16" s="147" customFormat="1" ht="12" customHeight="1">
      <c r="A39" s="302"/>
      <c r="B39" s="302"/>
      <c r="C39" s="303"/>
      <c r="D39" s="311"/>
      <c r="E39" s="311"/>
      <c r="F39" s="311"/>
      <c r="G39" s="306"/>
      <c r="H39" s="155" t="str">
        <f>IF(G38="Windows Server", "F:\appdir", "/appdir")</f>
        <v>F:\appdir</v>
      </c>
      <c r="I39" s="152">
        <f>CEILING(I13*(100+SUMMARY!$C$24)%,1)</f>
        <v>0</v>
      </c>
      <c r="J39" s="296"/>
      <c r="K39" s="296"/>
      <c r="L39" s="296"/>
      <c r="M39" s="296"/>
      <c r="N39" s="296"/>
      <c r="O39" s="296"/>
      <c r="P39" s="296"/>
    </row>
    <row r="40" spans="1:16" s="147" customFormat="1" ht="12" customHeight="1">
      <c r="A40" s="302"/>
      <c r="B40" s="302"/>
      <c r="C40" s="303"/>
      <c r="D40" s="311"/>
      <c r="E40" s="311"/>
      <c r="F40" s="311"/>
      <c r="G40" s="306"/>
      <c r="H40" s="32" t="str">
        <f>IF(G38="Windows Server", "G:\Log", "/var/log")</f>
        <v>G:\Log</v>
      </c>
      <c r="I40" s="146">
        <f>IF(G38="Windows Server", 50, 20)</f>
        <v>50</v>
      </c>
      <c r="J40" s="296"/>
      <c r="K40" s="296"/>
      <c r="L40" s="296"/>
      <c r="M40" s="296"/>
      <c r="N40" s="296"/>
      <c r="O40" s="296"/>
      <c r="P40" s="296"/>
    </row>
    <row r="41" spans="1:16" s="147" customFormat="1" ht="12" customHeight="1">
      <c r="A41" s="302"/>
      <c r="B41" s="302"/>
      <c r="C41" s="303"/>
      <c r="D41" s="311"/>
      <c r="E41" s="311"/>
      <c r="F41" s="311"/>
      <c r="G41" s="306"/>
      <c r="H41" s="32" t="str">
        <f>IF(G38="Windows Server", "H:\Backup", "/backup")</f>
        <v>H:\Backup</v>
      </c>
      <c r="I41" s="146">
        <f>IF(G38="Windows Server", 100, 10)</f>
        <v>100</v>
      </c>
      <c r="J41" s="296"/>
      <c r="K41" s="296"/>
      <c r="L41" s="296"/>
      <c r="M41" s="296"/>
      <c r="N41" s="296"/>
      <c r="O41" s="296"/>
      <c r="P41" s="296"/>
    </row>
    <row r="42" spans="1:16" s="147" customFormat="1" ht="12" customHeight="1">
      <c r="A42" s="302"/>
      <c r="B42" s="290">
        <f>((24*7*4)/(24*7*4))*730</f>
        <v>730</v>
      </c>
      <c r="C42" s="303" t="s">
        <v>282</v>
      </c>
      <c r="D42" s="311"/>
      <c r="E42" s="305">
        <f>CEILING(E16*(100+SUMMARY!$C$24)%,1)</f>
        <v>0</v>
      </c>
      <c r="F42" s="305">
        <f>CEILING(F16*(100+SUMMARY!$C$24)%,1)</f>
        <v>0</v>
      </c>
      <c r="G42" s="306" t="s">
        <v>283</v>
      </c>
      <c r="H42" s="32" t="str">
        <f>IF(G42="Windows Server", "C:\", "/")</f>
        <v>C:\</v>
      </c>
      <c r="I42" s="146">
        <f>IF(G42="Windows Server", 150, 20)</f>
        <v>150</v>
      </c>
      <c r="J42" s="296">
        <f>SUM(I42:I45)</f>
        <v>300</v>
      </c>
      <c r="K42" s="307">
        <f>J42 *(IF(C42="AZURE", SUMMARY!C$20, SUMMARY!C$21))</f>
        <v>28.8</v>
      </c>
      <c r="L42" s="308"/>
      <c r="M42" s="299">
        <f>IF(C42="ON PREM", 0, SUMMARY!C$25%)</f>
        <v>0.12</v>
      </c>
      <c r="N42" s="299">
        <f>IF(C42="AWS",SUMMARY!C$26%, 0)</f>
        <v>0.13</v>
      </c>
      <c r="O42" s="300">
        <f>((SUM(K42:L42))-((SUM(K42:L42))*N42))*(1 + M42)</f>
        <v>28.062720000000002</v>
      </c>
      <c r="P42" s="300">
        <f>O42*12</f>
        <v>336.75264000000004</v>
      </c>
    </row>
    <row r="43" spans="1:16" s="147" customFormat="1" ht="12" customHeight="1">
      <c r="A43" s="302"/>
      <c r="B43" s="302"/>
      <c r="C43" s="303"/>
      <c r="D43" s="311"/>
      <c r="E43" s="311"/>
      <c r="F43" s="311"/>
      <c r="G43" s="306"/>
      <c r="H43" s="155" t="str">
        <f>IF(G42="Windows Server", "F:\appdir", "/appdir")</f>
        <v>F:\appdir</v>
      </c>
      <c r="I43" s="152">
        <f>CEILING(I17*(100+SUMMARY!$C$24)%,1)</f>
        <v>0</v>
      </c>
      <c r="J43" s="296"/>
      <c r="K43" s="296"/>
      <c r="L43" s="296"/>
      <c r="M43" s="296"/>
      <c r="N43" s="296"/>
      <c r="O43" s="296"/>
      <c r="P43" s="296"/>
    </row>
    <row r="44" spans="1:16" s="147" customFormat="1" ht="12" customHeight="1">
      <c r="A44" s="302"/>
      <c r="B44" s="302"/>
      <c r="C44" s="303"/>
      <c r="D44" s="311"/>
      <c r="E44" s="311"/>
      <c r="F44" s="311"/>
      <c r="G44" s="306"/>
      <c r="H44" s="32" t="str">
        <f>IF(G42="Windows Server", "G:\Log", "/var/log")</f>
        <v>G:\Log</v>
      </c>
      <c r="I44" s="146">
        <f>IF(G42="Windows Server", 50, 20)</f>
        <v>50</v>
      </c>
      <c r="J44" s="296"/>
      <c r="K44" s="296"/>
      <c r="L44" s="296"/>
      <c r="M44" s="296"/>
      <c r="N44" s="296"/>
      <c r="O44" s="296"/>
      <c r="P44" s="296"/>
    </row>
    <row r="45" spans="1:16" s="147" customFormat="1" ht="12" customHeight="1">
      <c r="A45" s="302"/>
      <c r="B45" s="302"/>
      <c r="C45" s="303"/>
      <c r="D45" s="311"/>
      <c r="E45" s="311"/>
      <c r="F45" s="311"/>
      <c r="G45" s="306"/>
      <c r="H45" s="32" t="str">
        <f>IF(G42="Windows Server", "H:\Backup", "/backup")</f>
        <v>H:\Backup</v>
      </c>
      <c r="I45" s="146">
        <f>IF(G42="Windows Server", 100, 10)</f>
        <v>100</v>
      </c>
      <c r="J45" s="296"/>
      <c r="K45" s="296"/>
      <c r="L45" s="296"/>
      <c r="M45" s="296"/>
      <c r="N45" s="296"/>
      <c r="O45" s="296"/>
      <c r="P45" s="296"/>
    </row>
    <row r="46" spans="1:16" s="147" customFormat="1" ht="12" customHeight="1">
      <c r="A46" s="302"/>
      <c r="B46" s="290">
        <f>((24*7*4)/(24*7*4))*730</f>
        <v>730</v>
      </c>
      <c r="C46" s="303" t="s">
        <v>282</v>
      </c>
      <c r="D46" s="311"/>
      <c r="E46" s="305">
        <f>CEILING(E20*(100+SUMMARY!$C$24)%,1)</f>
        <v>0</v>
      </c>
      <c r="F46" s="305">
        <f>CEILING(F20*(100+SUMMARY!$C$24)%,1)</f>
        <v>0</v>
      </c>
      <c r="G46" s="306" t="s">
        <v>283</v>
      </c>
      <c r="H46" s="32" t="str">
        <f>IF(G46="Windows Server", "C:\", "/")</f>
        <v>C:\</v>
      </c>
      <c r="I46" s="146">
        <f>IF(G46="Windows Server", 150, 20)</f>
        <v>150</v>
      </c>
      <c r="J46" s="296">
        <f>SUM(I46:I49)</f>
        <v>300</v>
      </c>
      <c r="K46" s="307">
        <f>J46 *(IF(C46="AZURE", SUMMARY!C$20, SUMMARY!C$21))</f>
        <v>28.8</v>
      </c>
      <c r="L46" s="308"/>
      <c r="M46" s="299">
        <f>IF(C46="ON PREM", 0, SUMMARY!C$25%)</f>
        <v>0.12</v>
      </c>
      <c r="N46" s="299">
        <f>IF(C46="AWS",SUMMARY!C$26%, 0)</f>
        <v>0.13</v>
      </c>
      <c r="O46" s="300">
        <f>((SUM(K46:L46))-((SUM(K46:L46))*N46))*(1 + M46)</f>
        <v>28.062720000000002</v>
      </c>
      <c r="P46" s="300">
        <f>O46*12</f>
        <v>336.75264000000004</v>
      </c>
    </row>
    <row r="47" spans="1:16" s="147" customFormat="1" ht="12" customHeight="1">
      <c r="A47" s="302"/>
      <c r="B47" s="302"/>
      <c r="C47" s="303"/>
      <c r="D47" s="311"/>
      <c r="E47" s="311"/>
      <c r="F47" s="311"/>
      <c r="G47" s="306"/>
      <c r="H47" s="155" t="str">
        <f>IF(G46="Windows Server", "F:\appdir", "/appdir")</f>
        <v>F:\appdir</v>
      </c>
      <c r="I47" s="152">
        <f>CEILING(I21*(100+SUMMARY!$C$24)%,1)</f>
        <v>0</v>
      </c>
      <c r="J47" s="296"/>
      <c r="K47" s="296"/>
      <c r="L47" s="296"/>
      <c r="M47" s="296"/>
      <c r="N47" s="296"/>
      <c r="O47" s="296"/>
      <c r="P47" s="296"/>
    </row>
    <row r="48" spans="1:16" s="147" customFormat="1" ht="12" customHeight="1">
      <c r="A48" s="302"/>
      <c r="B48" s="302"/>
      <c r="C48" s="303"/>
      <c r="D48" s="311"/>
      <c r="E48" s="311"/>
      <c r="F48" s="311"/>
      <c r="G48" s="306"/>
      <c r="H48" s="32" t="str">
        <f>IF(G46="Windows Server", "G:\Log", "/var/log")</f>
        <v>G:\Log</v>
      </c>
      <c r="I48" s="146">
        <f>IF(G46="Windows Server", 50, 20)</f>
        <v>50</v>
      </c>
      <c r="J48" s="296"/>
      <c r="K48" s="296"/>
      <c r="L48" s="296"/>
      <c r="M48" s="296"/>
      <c r="N48" s="296"/>
      <c r="O48" s="296"/>
      <c r="P48" s="296"/>
    </row>
    <row r="49" spans="1:16" s="147" customFormat="1" ht="12" customHeight="1">
      <c r="A49" s="302"/>
      <c r="B49" s="302"/>
      <c r="C49" s="303"/>
      <c r="D49" s="311"/>
      <c r="E49" s="311"/>
      <c r="F49" s="311"/>
      <c r="G49" s="306"/>
      <c r="H49" s="32" t="str">
        <f>IF(G46="Windows Server", "H:\Backup", "/backup")</f>
        <v>H:\Backup</v>
      </c>
      <c r="I49" s="146">
        <f>IF(G46="Windows Server", 100, 10)</f>
        <v>100</v>
      </c>
      <c r="J49" s="296"/>
      <c r="K49" s="296"/>
      <c r="L49" s="296"/>
      <c r="M49" s="296"/>
      <c r="N49" s="296"/>
      <c r="O49" s="296"/>
      <c r="P49" s="296"/>
    </row>
    <row r="50" spans="1:16" s="147" customFormat="1" ht="12" customHeight="1">
      <c r="A50" s="302"/>
      <c r="B50" s="290">
        <f>((24*7*4)/(24*7*4))*730</f>
        <v>730</v>
      </c>
      <c r="C50" s="303" t="s">
        <v>282</v>
      </c>
      <c r="D50" s="311"/>
      <c r="E50" s="305">
        <f>CEILING(E24*(100+SUMMARY!$C$24)%,1)</f>
        <v>0</v>
      </c>
      <c r="F50" s="305">
        <f>CEILING(F24*(100+SUMMARY!$C$24)%,1)</f>
        <v>0</v>
      </c>
      <c r="G50" s="306" t="s">
        <v>283</v>
      </c>
      <c r="H50" s="32" t="str">
        <f>IF(G50="Windows Server", "C:\", "/")</f>
        <v>C:\</v>
      </c>
      <c r="I50" s="146">
        <f>IF(G50="Windows Server", 150, 20)</f>
        <v>150</v>
      </c>
      <c r="J50" s="296">
        <f>SUM(I50:I53)</f>
        <v>300</v>
      </c>
      <c r="K50" s="307">
        <f>J50 *(IF(C50="AZURE", SUMMARY!C$20, SUMMARY!C$21))</f>
        <v>28.8</v>
      </c>
      <c r="L50" s="308"/>
      <c r="M50" s="299">
        <f>IF(C50="ON PREM", 0, SUMMARY!C$25%)</f>
        <v>0.12</v>
      </c>
      <c r="N50" s="299">
        <f>IF(C50="AWS",SUMMARY!C$26%, 0)</f>
        <v>0.13</v>
      </c>
      <c r="O50" s="300">
        <f>((SUM(K50:L50))-((SUM(K50:L50))*N50))*(1 + M50)</f>
        <v>28.062720000000002</v>
      </c>
      <c r="P50" s="312">
        <f>O50*12</f>
        <v>336.75264000000004</v>
      </c>
    </row>
    <row r="51" spans="1:16" s="147" customFormat="1" ht="12" customHeight="1">
      <c r="A51" s="302"/>
      <c r="B51" s="302"/>
      <c r="C51" s="303"/>
      <c r="D51" s="311"/>
      <c r="E51" s="311"/>
      <c r="F51" s="311"/>
      <c r="G51" s="306"/>
      <c r="H51" s="155" t="str">
        <f>IF(G50="Windows Server", "F:\appdir", "/appdir")</f>
        <v>F:\appdir</v>
      </c>
      <c r="I51" s="152">
        <f>CEILING(I25*(100+SUMMARY!$C$24)%,1)</f>
        <v>0</v>
      </c>
      <c r="J51" s="296"/>
      <c r="K51" s="296"/>
      <c r="L51" s="296"/>
      <c r="M51" s="296"/>
      <c r="N51" s="296"/>
      <c r="O51" s="296"/>
      <c r="P51" s="296"/>
    </row>
    <row r="52" spans="1:16" s="147" customFormat="1" ht="12" customHeight="1">
      <c r="A52" s="302"/>
      <c r="B52" s="302"/>
      <c r="C52" s="303"/>
      <c r="D52" s="311"/>
      <c r="E52" s="311"/>
      <c r="F52" s="311"/>
      <c r="G52" s="306"/>
      <c r="H52" s="32" t="str">
        <f>IF(G50="Windows Server", "G:\Log", "/var/log")</f>
        <v>G:\Log</v>
      </c>
      <c r="I52" s="146">
        <f>IF(G50="Windows Server", 50, 20)</f>
        <v>50</v>
      </c>
      <c r="J52" s="296"/>
      <c r="K52" s="296"/>
      <c r="L52" s="296"/>
      <c r="M52" s="296"/>
      <c r="N52" s="296"/>
      <c r="O52" s="296"/>
      <c r="P52" s="296"/>
    </row>
    <row r="53" spans="1:16" s="147" customFormat="1" ht="12" customHeight="1">
      <c r="A53" s="302"/>
      <c r="B53" s="302"/>
      <c r="C53" s="303"/>
      <c r="D53" s="311"/>
      <c r="E53" s="311"/>
      <c r="F53" s="311"/>
      <c r="G53" s="306"/>
      <c r="H53" s="32" t="str">
        <f>IF(G50="Windows Server", "H:\Backup", "/backup")</f>
        <v>H:\Backup</v>
      </c>
      <c r="I53" s="146">
        <f>IF(G50="Windows Server", 100, 10)</f>
        <v>100</v>
      </c>
      <c r="J53" s="296"/>
      <c r="K53" s="296"/>
      <c r="L53" s="296"/>
      <c r="M53" s="296"/>
      <c r="N53" s="296"/>
      <c r="O53" s="296"/>
      <c r="P53" s="296"/>
    </row>
    <row r="54" spans="1:16" s="147" customFormat="1" ht="13.5" customHeight="1">
      <c r="A54" s="3"/>
      <c r="B54" s="153"/>
      <c r="C54" s="153"/>
      <c r="D54" s="153"/>
      <c r="E54" s="156">
        <f>SUM(E30:E53)</f>
        <v>5</v>
      </c>
      <c r="F54" s="156">
        <f>SUM(F30:F53)</f>
        <v>19</v>
      </c>
      <c r="G54" s="153"/>
      <c r="H54" s="153"/>
      <c r="I54" s="153"/>
      <c r="J54" s="156">
        <f>SUM(J30:J53)</f>
        <v>1800</v>
      </c>
      <c r="K54" s="154">
        <f>SUM(K30:K53)</f>
        <v>172.8</v>
      </c>
      <c r="L54" s="154">
        <f>SUM(L30:L53)</f>
        <v>0</v>
      </c>
      <c r="M54" s="154"/>
      <c r="N54" s="154"/>
      <c r="O54" s="154">
        <f>SUM(O30:O53)</f>
        <v>168.37632000000002</v>
      </c>
      <c r="P54" s="154">
        <f>SUM(P30:P53)</f>
        <v>2020.5158400000005</v>
      </c>
    </row>
    <row r="55" spans="1:16" s="129" customFormat="1">
      <c r="A55" s="144"/>
      <c r="B55" s="301"/>
      <c r="C55" s="301"/>
      <c r="D55" s="301"/>
      <c r="E55" s="301"/>
      <c r="F55" s="301"/>
      <c r="G55" s="301"/>
      <c r="H55" s="301"/>
      <c r="I55" s="301"/>
      <c r="J55" s="301"/>
      <c r="K55" s="301"/>
      <c r="L55" s="301"/>
      <c r="M55" s="301"/>
      <c r="N55" s="301"/>
      <c r="O55" s="301"/>
      <c r="P55" s="301"/>
    </row>
    <row r="56" spans="1:16" ht="13.5" customHeight="1">
      <c r="A56" s="294"/>
      <c r="B56" s="290">
        <f>((24*7*4)/(24*7*4))*730</f>
        <v>730</v>
      </c>
      <c r="C56" s="294" t="s">
        <v>286</v>
      </c>
      <c r="D56" s="295"/>
      <c r="E56" s="310">
        <f>CEILING(E30*(100+SUMMARY!$C$24)%,1)</f>
        <v>6</v>
      </c>
      <c r="F56" s="310">
        <f>CEILING(F30*(100+SUMMARY!$C$24)%,1)</f>
        <v>22</v>
      </c>
      <c r="G56" s="294" t="s">
        <v>283</v>
      </c>
      <c r="H56" s="32" t="str">
        <f>IF(G56="Windows Server", "C:\", "/")</f>
        <v>C:\</v>
      </c>
      <c r="I56" s="146">
        <f>IF(G56="Windows Server", 150, 20)</f>
        <v>150</v>
      </c>
      <c r="J56" s="296">
        <f>SUM(I56:I59)</f>
        <v>300</v>
      </c>
      <c r="K56" s="297">
        <f>J56 *(IF(C56="AZURE", SUMMARY!C$20, SUMMARY!C$21))</f>
        <v>28.8</v>
      </c>
      <c r="L56" s="298"/>
      <c r="M56" s="299">
        <f>IF(C56="ON PREM", 0, SUMMARY!C$25%)</f>
        <v>0.12</v>
      </c>
      <c r="N56" s="299">
        <f>IF(C56="AWS",SUMMARY!C$26%, 0)</f>
        <v>0</v>
      </c>
      <c r="O56" s="300">
        <f>((SUM(K56:L56))-((SUM(K56:L56))*N56))*(1 + M56)</f>
        <v>32.256000000000007</v>
      </c>
      <c r="P56" s="300">
        <f>O56*12</f>
        <v>387.07200000000012</v>
      </c>
    </row>
    <row r="57" spans="1:16">
      <c r="A57" s="294"/>
      <c r="B57" s="294"/>
      <c r="C57" s="294"/>
      <c r="D57" s="295"/>
      <c r="E57" s="295"/>
      <c r="F57" s="295"/>
      <c r="G57" s="294"/>
      <c r="H57" s="148" t="str">
        <f>IF(G56="Windows Server", "F:\appdir", "/appdir")</f>
        <v>F:\appdir</v>
      </c>
      <c r="I57" s="149">
        <f>CEILING(I31*(100+SUMMARY!$C$24)%,1)</f>
        <v>0</v>
      </c>
      <c r="J57" s="296"/>
      <c r="K57" s="296"/>
      <c r="L57" s="296"/>
      <c r="M57" s="296"/>
      <c r="N57" s="296"/>
      <c r="O57" s="296"/>
      <c r="P57" s="296"/>
    </row>
    <row r="58" spans="1:16">
      <c r="A58" s="294"/>
      <c r="B58" s="294"/>
      <c r="C58" s="294"/>
      <c r="D58" s="295"/>
      <c r="E58" s="295"/>
      <c r="F58" s="295"/>
      <c r="G58" s="294"/>
      <c r="H58" s="32" t="str">
        <f>IF(G56="Windows Server", "G:\Log", "/var/log")</f>
        <v>G:\Log</v>
      </c>
      <c r="I58" s="146">
        <f>IF(G56="Windows Server", 50, 20)</f>
        <v>50</v>
      </c>
      <c r="J58" s="296"/>
      <c r="K58" s="296"/>
      <c r="L58" s="296"/>
      <c r="M58" s="296"/>
      <c r="N58" s="296"/>
      <c r="O58" s="296"/>
      <c r="P58" s="296"/>
    </row>
    <row r="59" spans="1:16">
      <c r="A59" s="294"/>
      <c r="B59" s="294"/>
      <c r="C59" s="294"/>
      <c r="D59" s="295"/>
      <c r="E59" s="295"/>
      <c r="F59" s="295"/>
      <c r="G59" s="294"/>
      <c r="H59" s="32" t="str">
        <f>IF(G56="Windows Server", "H:\Backup", "/backup")</f>
        <v>H:\Backup</v>
      </c>
      <c r="I59" s="146">
        <f>IF(G56="Windows Server", 100, 10)</f>
        <v>100</v>
      </c>
      <c r="J59" s="296"/>
      <c r="K59" s="296"/>
      <c r="L59" s="296"/>
      <c r="M59" s="296"/>
      <c r="N59" s="296"/>
      <c r="O59" s="296"/>
      <c r="P59" s="296"/>
    </row>
    <row r="60" spans="1:16" ht="13.5" customHeight="1">
      <c r="A60" s="294"/>
      <c r="B60" s="290">
        <f>((24*7*4)/(24*7*4))*730</f>
        <v>730</v>
      </c>
      <c r="C60" s="294" t="s">
        <v>288</v>
      </c>
      <c r="D60" s="295"/>
      <c r="E60" s="310">
        <f>CEILING(E34*(100+SUMMARY!$C$24)%,1)</f>
        <v>0</v>
      </c>
      <c r="F60" s="310">
        <f>CEILING(F34*(100+SUMMARY!$C$24)%,1)</f>
        <v>0</v>
      </c>
      <c r="G60" s="294" t="s">
        <v>283</v>
      </c>
      <c r="H60" s="32" t="str">
        <f>IF(G60="Windows Server", "C:\", "/")</f>
        <v>C:\</v>
      </c>
      <c r="I60" s="146">
        <f>IF(G60="Windows Server", 150, 20)</f>
        <v>150</v>
      </c>
      <c r="J60" s="296">
        <f>SUM(I60:I63)</f>
        <v>300</v>
      </c>
      <c r="K60" s="297">
        <f>J60 *(IF(C60="AZURE", SUMMARY!C$20, SUMMARY!C$21))</f>
        <v>28.8</v>
      </c>
      <c r="L60" s="298"/>
      <c r="M60" s="299">
        <f>IF(C60="ON PREM", 0, SUMMARY!C$25%)</f>
        <v>0</v>
      </c>
      <c r="N60" s="299">
        <f>IF(C60="AWS",SUMMARY!C$26%, 0)</f>
        <v>0</v>
      </c>
      <c r="O60" s="300">
        <f>((SUM(K60:L60))-((SUM(K60:L60))*N60))*(1 + M60)</f>
        <v>28.8</v>
      </c>
      <c r="P60" s="300">
        <f>O60*12</f>
        <v>345.6</v>
      </c>
    </row>
    <row r="61" spans="1:16">
      <c r="A61" s="294"/>
      <c r="B61" s="294"/>
      <c r="C61" s="294"/>
      <c r="D61" s="295"/>
      <c r="E61" s="295"/>
      <c r="F61" s="295"/>
      <c r="G61" s="294"/>
      <c r="H61" s="148" t="str">
        <f>IF(G60="Windows Server", "F:\appdir", "/appdir")</f>
        <v>F:\appdir</v>
      </c>
      <c r="I61" s="149">
        <f>CEILING(I35*(100+SUMMARY!$C$24)%,1)</f>
        <v>0</v>
      </c>
      <c r="J61" s="296"/>
      <c r="K61" s="296"/>
      <c r="L61" s="296"/>
      <c r="M61" s="296"/>
      <c r="N61" s="296"/>
      <c r="O61" s="296"/>
      <c r="P61" s="296"/>
    </row>
    <row r="62" spans="1:16">
      <c r="A62" s="294"/>
      <c r="B62" s="294"/>
      <c r="C62" s="294"/>
      <c r="D62" s="295"/>
      <c r="E62" s="295"/>
      <c r="F62" s="295"/>
      <c r="G62" s="294"/>
      <c r="H62" s="32" t="str">
        <f>IF(G60="Windows Server", "G:\Log", "/var/log")</f>
        <v>G:\Log</v>
      </c>
      <c r="I62" s="146">
        <f>IF(G60="Windows Server", 50, 20)</f>
        <v>50</v>
      </c>
      <c r="J62" s="296"/>
      <c r="K62" s="296"/>
      <c r="L62" s="296"/>
      <c r="M62" s="296"/>
      <c r="N62" s="296"/>
      <c r="O62" s="296"/>
      <c r="P62" s="296"/>
    </row>
    <row r="63" spans="1:16">
      <c r="A63" s="294"/>
      <c r="B63" s="294"/>
      <c r="C63" s="294"/>
      <c r="D63" s="295"/>
      <c r="E63" s="295"/>
      <c r="F63" s="295"/>
      <c r="G63" s="294"/>
      <c r="H63" s="32" t="str">
        <f>IF(G60="Windows Server", "H:\Backup", "/backup")</f>
        <v>H:\Backup</v>
      </c>
      <c r="I63" s="146">
        <f>IF(G60="Windows Server", 100, 10)</f>
        <v>100</v>
      </c>
      <c r="J63" s="296"/>
      <c r="K63" s="296"/>
      <c r="L63" s="296"/>
      <c r="M63" s="296"/>
      <c r="N63" s="296"/>
      <c r="O63" s="296"/>
      <c r="P63" s="296"/>
    </row>
    <row r="64" spans="1:16" ht="13.5" customHeight="1">
      <c r="A64" s="294"/>
      <c r="B64" s="290">
        <f>((24*7*4)/(24*7*4))*730</f>
        <v>730</v>
      </c>
      <c r="C64" s="294" t="s">
        <v>286</v>
      </c>
      <c r="D64" s="295"/>
      <c r="E64" s="310">
        <f>CEILING(E38*(100+SUMMARY!$C$24)%,1)</f>
        <v>0</v>
      </c>
      <c r="F64" s="310">
        <f>CEILING(F38*(100+SUMMARY!$C$24)%,1)</f>
        <v>0</v>
      </c>
      <c r="G64" s="294" t="s">
        <v>283</v>
      </c>
      <c r="H64" s="32" t="str">
        <f>IF(G64="Windows Server", "C:\", "/")</f>
        <v>C:\</v>
      </c>
      <c r="I64" s="146">
        <f>IF(G64="Windows Server", 150, 20)</f>
        <v>150</v>
      </c>
      <c r="J64" s="296">
        <f>SUM(I64:I67)</f>
        <v>300</v>
      </c>
      <c r="K64" s="297">
        <f>J64 *(IF(C64="AZURE", SUMMARY!C$20, SUMMARY!C$21))</f>
        <v>28.8</v>
      </c>
      <c r="L64" s="298"/>
      <c r="M64" s="299">
        <f>IF(C64="ON PREM", 0, SUMMARY!C$25%)</f>
        <v>0.12</v>
      </c>
      <c r="N64" s="299">
        <f>IF(C64="AWS",SUMMARY!C$26%, 0)</f>
        <v>0</v>
      </c>
      <c r="O64" s="300">
        <f>((SUM(K64:L64))-((SUM(K64:L64))*N64))*(1 + M64)</f>
        <v>32.256000000000007</v>
      </c>
      <c r="P64" s="300">
        <f>O64*12</f>
        <v>387.07200000000012</v>
      </c>
    </row>
    <row r="65" spans="1:16">
      <c r="A65" s="294"/>
      <c r="B65" s="294"/>
      <c r="C65" s="294"/>
      <c r="D65" s="295"/>
      <c r="E65" s="295"/>
      <c r="F65" s="295"/>
      <c r="G65" s="294"/>
      <c r="H65" s="148" t="str">
        <f>IF(G64="Windows Server", "F:\appdir", "/appdir")</f>
        <v>F:\appdir</v>
      </c>
      <c r="I65" s="149">
        <f>CEILING(I39*(100+SUMMARY!$C$24)%,1)</f>
        <v>0</v>
      </c>
      <c r="J65" s="296"/>
      <c r="K65" s="296"/>
      <c r="L65" s="296"/>
      <c r="M65" s="296"/>
      <c r="N65" s="296"/>
      <c r="O65" s="296"/>
      <c r="P65" s="296"/>
    </row>
    <row r="66" spans="1:16">
      <c r="A66" s="294"/>
      <c r="B66" s="294"/>
      <c r="C66" s="294"/>
      <c r="D66" s="295"/>
      <c r="E66" s="295"/>
      <c r="F66" s="295"/>
      <c r="G66" s="294"/>
      <c r="H66" s="32" t="str">
        <f>IF(G64="Windows Server", "G:\Log", "/var/log")</f>
        <v>G:\Log</v>
      </c>
      <c r="I66" s="146">
        <f>IF(G64="Windows Server", 50, 20)</f>
        <v>50</v>
      </c>
      <c r="J66" s="296"/>
      <c r="K66" s="296"/>
      <c r="L66" s="296"/>
      <c r="M66" s="296"/>
      <c r="N66" s="296"/>
      <c r="O66" s="296"/>
      <c r="P66" s="296"/>
    </row>
    <row r="67" spans="1:16">
      <c r="A67" s="294"/>
      <c r="B67" s="294"/>
      <c r="C67" s="294"/>
      <c r="D67" s="295"/>
      <c r="E67" s="295"/>
      <c r="F67" s="295"/>
      <c r="G67" s="294"/>
      <c r="H67" s="32" t="str">
        <f>IF(G64="Windows Server", "H:\Backup", "/backup")</f>
        <v>H:\Backup</v>
      </c>
      <c r="I67" s="146">
        <f>IF(G64="Windows Server", 100, 10)</f>
        <v>100</v>
      </c>
      <c r="J67" s="296"/>
      <c r="K67" s="296"/>
      <c r="L67" s="296"/>
      <c r="M67" s="296"/>
      <c r="N67" s="296"/>
      <c r="O67" s="296"/>
      <c r="P67" s="296"/>
    </row>
    <row r="68" spans="1:16" ht="13.5" customHeight="1">
      <c r="A68" s="294"/>
      <c r="B68" s="290">
        <f>((24*7*4)/(24*7*4))*730</f>
        <v>730</v>
      </c>
      <c r="C68" s="294" t="s">
        <v>286</v>
      </c>
      <c r="D68" s="295"/>
      <c r="E68" s="310">
        <f>CEILING(E42*(100+SUMMARY!$C$24)%,1)</f>
        <v>0</v>
      </c>
      <c r="F68" s="310">
        <f>CEILING(F42*(100+SUMMARY!$C$24)%,1)</f>
        <v>0</v>
      </c>
      <c r="G68" s="294" t="s">
        <v>283</v>
      </c>
      <c r="H68" s="32" t="str">
        <f>IF(G68="Windows Server", "C:\", "/")</f>
        <v>C:\</v>
      </c>
      <c r="I68" s="146">
        <f>IF(G68="Windows Server", 150, 20)</f>
        <v>150</v>
      </c>
      <c r="J68" s="296">
        <f>SUM(I68:I71)</f>
        <v>300</v>
      </c>
      <c r="K68" s="297">
        <f>J68 *(IF(C68="AZURE", SUMMARY!C$20, SUMMARY!C$21))</f>
        <v>28.8</v>
      </c>
      <c r="L68" s="298"/>
      <c r="M68" s="299">
        <f>IF(C68="ON PREM", 0, SUMMARY!C$25%)</f>
        <v>0.12</v>
      </c>
      <c r="N68" s="299">
        <f>IF(C68="AWS",SUMMARY!C$26%, 0)</f>
        <v>0</v>
      </c>
      <c r="O68" s="300">
        <f>((SUM(K68:L68))-((SUM(K68:L68))*N68))*(1 + M68)</f>
        <v>32.256000000000007</v>
      </c>
      <c r="P68" s="300">
        <f>O68*12</f>
        <v>387.07200000000012</v>
      </c>
    </row>
    <row r="69" spans="1:16">
      <c r="A69" s="294"/>
      <c r="B69" s="294"/>
      <c r="C69" s="294"/>
      <c r="D69" s="295"/>
      <c r="E69" s="295"/>
      <c r="F69" s="295"/>
      <c r="G69" s="294"/>
      <c r="H69" s="148" t="str">
        <f>IF(G68="Windows Server", "F:\appdir", "/appdir")</f>
        <v>F:\appdir</v>
      </c>
      <c r="I69" s="149">
        <f>CEILING(I43*(100+SUMMARY!$C$24)%,1)</f>
        <v>0</v>
      </c>
      <c r="J69" s="296"/>
      <c r="K69" s="296"/>
      <c r="L69" s="296"/>
      <c r="M69" s="296"/>
      <c r="N69" s="296"/>
      <c r="O69" s="296"/>
      <c r="P69" s="296"/>
    </row>
    <row r="70" spans="1:16">
      <c r="A70" s="294"/>
      <c r="B70" s="294"/>
      <c r="C70" s="294"/>
      <c r="D70" s="295"/>
      <c r="E70" s="295"/>
      <c r="F70" s="295"/>
      <c r="G70" s="294"/>
      <c r="H70" s="32" t="str">
        <f>IF(G68="Windows Server", "G:\Log", "/var/log")</f>
        <v>G:\Log</v>
      </c>
      <c r="I70" s="146">
        <f>IF(G68="Windows Server", 50, 20)</f>
        <v>50</v>
      </c>
      <c r="J70" s="296"/>
      <c r="K70" s="296"/>
      <c r="L70" s="296"/>
      <c r="M70" s="296"/>
      <c r="N70" s="296"/>
      <c r="O70" s="296"/>
      <c r="P70" s="296"/>
    </row>
    <row r="71" spans="1:16">
      <c r="A71" s="294"/>
      <c r="B71" s="294"/>
      <c r="C71" s="294"/>
      <c r="D71" s="295"/>
      <c r="E71" s="295"/>
      <c r="F71" s="295"/>
      <c r="G71" s="294"/>
      <c r="H71" s="32" t="str">
        <f>IF(G68="Windows Server", "H:\Backup", "/backup")</f>
        <v>H:\Backup</v>
      </c>
      <c r="I71" s="146">
        <f>IF(G68="Windows Server", 100, 10)</f>
        <v>100</v>
      </c>
      <c r="J71" s="296"/>
      <c r="K71" s="296"/>
      <c r="L71" s="296"/>
      <c r="M71" s="296"/>
      <c r="N71" s="296"/>
      <c r="O71" s="296"/>
      <c r="P71" s="296"/>
    </row>
    <row r="72" spans="1:16" ht="13.5" customHeight="1">
      <c r="A72" s="294"/>
      <c r="B72" s="290">
        <f>((24*7*4)/(24*7*4))*730</f>
        <v>730</v>
      </c>
      <c r="C72" s="294" t="s">
        <v>286</v>
      </c>
      <c r="D72" s="295"/>
      <c r="E72" s="310">
        <f>CEILING(E46*(100+SUMMARY!$C$24)%,1)</f>
        <v>0</v>
      </c>
      <c r="F72" s="310">
        <f>CEILING(F46*(100+SUMMARY!$C$24)%,1)</f>
        <v>0</v>
      </c>
      <c r="G72" s="294" t="s">
        <v>283</v>
      </c>
      <c r="H72" s="32" t="str">
        <f>IF(G72="Windows Server", "C:\", "/")</f>
        <v>C:\</v>
      </c>
      <c r="I72" s="146">
        <f>IF(G72="Windows Server", 150, 20)</f>
        <v>150</v>
      </c>
      <c r="J72" s="296">
        <f>SUM(I72:I75)</f>
        <v>300</v>
      </c>
      <c r="K72" s="297">
        <f>J72 *(IF(C72="AZURE", SUMMARY!C$20, SUMMARY!C$21))</f>
        <v>28.8</v>
      </c>
      <c r="L72" s="298"/>
      <c r="M72" s="299">
        <f>IF(C72="ON PREM", 0, SUMMARY!C$25%)</f>
        <v>0.12</v>
      </c>
      <c r="N72" s="299">
        <f>IF(C72="AWS",SUMMARY!C$26%, 0)</f>
        <v>0</v>
      </c>
      <c r="O72" s="300">
        <f>((SUM(K72:L72))-((SUM(K72:L72))*N72))*(1 + M72)</f>
        <v>32.256000000000007</v>
      </c>
      <c r="P72" s="300">
        <f>O72*12</f>
        <v>387.07200000000012</v>
      </c>
    </row>
    <row r="73" spans="1:16">
      <c r="A73" s="294"/>
      <c r="B73" s="294"/>
      <c r="C73" s="294"/>
      <c r="D73" s="295"/>
      <c r="E73" s="295"/>
      <c r="F73" s="295"/>
      <c r="G73" s="294"/>
      <c r="H73" s="148" t="str">
        <f>IF(G72="Windows Server", "F:\appdir", "/appdir")</f>
        <v>F:\appdir</v>
      </c>
      <c r="I73" s="149">
        <f>CEILING(I47*(100+SUMMARY!$C$24)%,1)</f>
        <v>0</v>
      </c>
      <c r="J73" s="296"/>
      <c r="K73" s="296"/>
      <c r="L73" s="296"/>
      <c r="M73" s="296"/>
      <c r="N73" s="296"/>
      <c r="O73" s="296"/>
      <c r="P73" s="296"/>
    </row>
    <row r="74" spans="1:16">
      <c r="A74" s="294"/>
      <c r="B74" s="294"/>
      <c r="C74" s="294"/>
      <c r="D74" s="295"/>
      <c r="E74" s="295"/>
      <c r="F74" s="295"/>
      <c r="G74" s="294"/>
      <c r="H74" s="32" t="str">
        <f>IF(G72="Windows Server", "G:\Log", "/var/log")</f>
        <v>G:\Log</v>
      </c>
      <c r="I74" s="146">
        <f>IF(G72="Windows Server", 50, 20)</f>
        <v>50</v>
      </c>
      <c r="J74" s="296"/>
      <c r="K74" s="296"/>
      <c r="L74" s="296"/>
      <c r="M74" s="296"/>
      <c r="N74" s="296"/>
      <c r="O74" s="296"/>
      <c r="P74" s="296"/>
    </row>
    <row r="75" spans="1:16">
      <c r="A75" s="294"/>
      <c r="B75" s="294"/>
      <c r="C75" s="294"/>
      <c r="D75" s="295"/>
      <c r="E75" s="295"/>
      <c r="F75" s="295"/>
      <c r="G75" s="294"/>
      <c r="H75" s="32" t="str">
        <f>IF(G72="Windows Server", "H:\Backup", "/backup")</f>
        <v>H:\Backup</v>
      </c>
      <c r="I75" s="146">
        <f>IF(G72="Windows Server", 100, 10)</f>
        <v>100</v>
      </c>
      <c r="J75" s="296"/>
      <c r="K75" s="296"/>
      <c r="L75" s="296"/>
      <c r="M75" s="296"/>
      <c r="N75" s="296"/>
      <c r="O75" s="296"/>
      <c r="P75" s="296"/>
    </row>
    <row r="76" spans="1:16" ht="13.5" customHeight="1">
      <c r="A76" s="294"/>
      <c r="B76" s="290">
        <f>((24*7*4)/(24*7*4))*730</f>
        <v>730</v>
      </c>
      <c r="C76" s="294" t="s">
        <v>286</v>
      </c>
      <c r="D76" s="295"/>
      <c r="E76" s="310">
        <f>CEILING(E50*(100+SUMMARY!$C$24)%,1)</f>
        <v>0</v>
      </c>
      <c r="F76" s="310">
        <f>CEILING(F50*(100+SUMMARY!$C$24)%,1)</f>
        <v>0</v>
      </c>
      <c r="G76" s="294" t="s">
        <v>283</v>
      </c>
      <c r="H76" s="32" t="str">
        <f>IF(G76="Windows Server", "C:\", "/")</f>
        <v>C:\</v>
      </c>
      <c r="I76" s="146">
        <f>IF(G76="Windows Server", 150, 20)</f>
        <v>150</v>
      </c>
      <c r="J76" s="296">
        <f>SUM(I76:I79)</f>
        <v>300</v>
      </c>
      <c r="K76" s="297">
        <f>J76 *(IF(C76="AZURE", SUMMARY!C$20, SUMMARY!C$21))</f>
        <v>28.8</v>
      </c>
      <c r="L76" s="298"/>
      <c r="M76" s="299">
        <f>IF(C76="ON PREM", 0, SUMMARY!C$25%)</f>
        <v>0.12</v>
      </c>
      <c r="N76" s="299">
        <f>IF(C76="AWS",SUMMARY!C$26%, 0)</f>
        <v>0</v>
      </c>
      <c r="O76" s="300">
        <f>((SUM(K76:L76))-((SUM(K76:L76))*N76))*(1 + M76)</f>
        <v>32.256000000000007</v>
      </c>
      <c r="P76" s="300">
        <f>O76*12</f>
        <v>387.07200000000012</v>
      </c>
    </row>
    <row r="77" spans="1:16">
      <c r="A77" s="294"/>
      <c r="B77" s="294"/>
      <c r="C77" s="294"/>
      <c r="D77" s="295"/>
      <c r="E77" s="295"/>
      <c r="F77" s="295"/>
      <c r="G77" s="294"/>
      <c r="H77" s="148" t="str">
        <f>IF(G76="Windows Server", "F:\appdir", "/appdir")</f>
        <v>F:\appdir</v>
      </c>
      <c r="I77" s="149">
        <f>CEILING(I51*(100+SUMMARY!$C$24)%,1)</f>
        <v>0</v>
      </c>
      <c r="J77" s="296"/>
      <c r="K77" s="296"/>
      <c r="L77" s="296"/>
      <c r="M77" s="296"/>
      <c r="N77" s="296"/>
      <c r="O77" s="296"/>
      <c r="P77" s="296"/>
    </row>
    <row r="78" spans="1:16">
      <c r="A78" s="294"/>
      <c r="B78" s="294"/>
      <c r="C78" s="294"/>
      <c r="D78" s="295"/>
      <c r="E78" s="295"/>
      <c r="F78" s="295"/>
      <c r="G78" s="294"/>
      <c r="H78" s="32" t="str">
        <f>IF(G76="Windows Server", "G:\Log", "/var/log")</f>
        <v>G:\Log</v>
      </c>
      <c r="I78" s="146">
        <f>IF(G76="Windows Server", 50, 20)</f>
        <v>50</v>
      </c>
      <c r="J78" s="296"/>
      <c r="K78" s="296"/>
      <c r="L78" s="296"/>
      <c r="M78" s="296"/>
      <c r="N78" s="296"/>
      <c r="O78" s="296"/>
      <c r="P78" s="296"/>
    </row>
    <row r="79" spans="1:16">
      <c r="A79" s="294"/>
      <c r="B79" s="294"/>
      <c r="C79" s="294"/>
      <c r="D79" s="295"/>
      <c r="E79" s="295"/>
      <c r="F79" s="295"/>
      <c r="G79" s="294"/>
      <c r="H79" s="32" t="str">
        <f>IF(G76="Windows Server", "H:\Backup", "/backup")</f>
        <v>H:\Backup</v>
      </c>
      <c r="I79" s="146">
        <f>IF(G76="Windows Server", 100, 10)</f>
        <v>100</v>
      </c>
      <c r="J79" s="296"/>
      <c r="K79" s="296"/>
      <c r="L79" s="296"/>
      <c r="M79" s="296"/>
      <c r="N79" s="296"/>
      <c r="O79" s="296"/>
      <c r="P79" s="296"/>
    </row>
    <row r="80" spans="1:16" ht="14.25" customHeight="1">
      <c r="A80" s="3"/>
      <c r="B80" s="153"/>
      <c r="C80" s="153"/>
      <c r="D80" s="153"/>
      <c r="E80" s="156">
        <f>SUM(E56:E79)</f>
        <v>6</v>
      </c>
      <c r="F80" s="156">
        <f>SUM(F56:F79)</f>
        <v>22</v>
      </c>
      <c r="G80" s="153"/>
      <c r="H80" s="153"/>
      <c r="I80" s="153"/>
      <c r="J80" s="153">
        <f>SUM(J56:J79)</f>
        <v>1800</v>
      </c>
      <c r="K80" s="154">
        <f>SUM(K56:K79)</f>
        <v>172.8</v>
      </c>
      <c r="L80" s="154">
        <f>SUM(L56:L79)</f>
        <v>0</v>
      </c>
      <c r="M80" s="154"/>
      <c r="N80" s="154"/>
      <c r="O80" s="154">
        <f>SUM(O56:O79)</f>
        <v>190.08</v>
      </c>
      <c r="P80" s="154">
        <f>SUM(P56:P79)</f>
        <v>2280.9600000000005</v>
      </c>
    </row>
    <row r="81" spans="1:16" s="129" customFormat="1">
      <c r="A81" s="144"/>
      <c r="B81" s="301"/>
      <c r="C81" s="301"/>
      <c r="D81" s="301"/>
      <c r="E81" s="301"/>
      <c r="F81" s="301"/>
      <c r="G81" s="301"/>
      <c r="H81" s="301"/>
      <c r="I81" s="301"/>
      <c r="J81" s="301"/>
      <c r="K81" s="301"/>
      <c r="L81" s="301"/>
      <c r="M81" s="301"/>
      <c r="N81" s="301"/>
      <c r="O81" s="301"/>
      <c r="P81" s="301"/>
    </row>
    <row r="82" spans="1:16" ht="13.5" customHeight="1">
      <c r="A82" s="302"/>
      <c r="B82" s="290">
        <f>((24*7*4)/(24*7*4))*730</f>
        <v>730</v>
      </c>
      <c r="C82" s="303" t="s">
        <v>282</v>
      </c>
      <c r="D82" s="311"/>
      <c r="E82" s="305">
        <f>CEILING(E56*(100+SUMMARY!$C$24)%,1)</f>
        <v>7</v>
      </c>
      <c r="F82" s="305">
        <f>CEILING(F56*(100+SUMMARY!$C$24)%,1)</f>
        <v>26</v>
      </c>
      <c r="G82" s="306" t="s">
        <v>283</v>
      </c>
      <c r="H82" s="32" t="str">
        <f>IF(G82="Windows Server", "C:\", "/")</f>
        <v>C:\</v>
      </c>
      <c r="I82" s="146">
        <f>IF(G82="Windows Server", 150, 20)</f>
        <v>150</v>
      </c>
      <c r="J82" s="296">
        <f>SUM(I82:I85)</f>
        <v>300</v>
      </c>
      <c r="K82" s="307">
        <f>J82 *(IF(C82="AZURE", SUMMARY!C$20, SUMMARY!C$21))</f>
        <v>28.8</v>
      </c>
      <c r="L82" s="308"/>
      <c r="M82" s="299">
        <f>IF(C82="ON PREM", 0, SUMMARY!C$25%)</f>
        <v>0.12</v>
      </c>
      <c r="N82" s="299">
        <f>IF(C82="AWS",SUMMARY!C$26%, 0)</f>
        <v>0.13</v>
      </c>
      <c r="O82" s="300">
        <f>((SUM(K82:L82))-((SUM(K82:L82))*N82))*(1 + M82)</f>
        <v>28.062720000000002</v>
      </c>
      <c r="P82" s="300">
        <f>O82*12</f>
        <v>336.75264000000004</v>
      </c>
    </row>
    <row r="83" spans="1:16">
      <c r="A83" s="302"/>
      <c r="B83" s="302"/>
      <c r="C83" s="303"/>
      <c r="D83" s="311"/>
      <c r="E83" s="311"/>
      <c r="F83" s="311"/>
      <c r="G83" s="306"/>
      <c r="H83" s="155" t="str">
        <f>IF(G82="Windows Server", "F:\appdir", "/appdir")</f>
        <v>F:\appdir</v>
      </c>
      <c r="I83" s="152">
        <f>CEILING(I57*(100+SUMMARY!$C$24)%,1)</f>
        <v>0</v>
      </c>
      <c r="J83" s="296"/>
      <c r="K83" s="296"/>
      <c r="L83" s="296"/>
      <c r="M83" s="296"/>
      <c r="N83" s="296"/>
      <c r="O83" s="296"/>
      <c r="P83" s="296"/>
    </row>
    <row r="84" spans="1:16">
      <c r="A84" s="302"/>
      <c r="B84" s="302"/>
      <c r="C84" s="303"/>
      <c r="D84" s="311"/>
      <c r="E84" s="311"/>
      <c r="F84" s="311"/>
      <c r="G84" s="306"/>
      <c r="H84" s="32" t="str">
        <f>IF(G82="Windows Server", "G:\Log", "/var/log")</f>
        <v>G:\Log</v>
      </c>
      <c r="I84" s="146">
        <f>IF(G82="Windows Server", 50, 20)</f>
        <v>50</v>
      </c>
      <c r="J84" s="296"/>
      <c r="K84" s="296"/>
      <c r="L84" s="296"/>
      <c r="M84" s="296"/>
      <c r="N84" s="296"/>
      <c r="O84" s="296"/>
      <c r="P84" s="296"/>
    </row>
    <row r="85" spans="1:16">
      <c r="A85" s="302"/>
      <c r="B85" s="302"/>
      <c r="C85" s="303"/>
      <c r="D85" s="311"/>
      <c r="E85" s="311"/>
      <c r="F85" s="311"/>
      <c r="G85" s="306"/>
      <c r="H85" s="32" t="str">
        <f>IF(G82="Windows Server", "H:\Backup", "/backup")</f>
        <v>H:\Backup</v>
      </c>
      <c r="I85" s="146">
        <f>IF(G82="Windows Server", 100, 10)</f>
        <v>100</v>
      </c>
      <c r="J85" s="296"/>
      <c r="K85" s="296"/>
      <c r="L85" s="296"/>
      <c r="M85" s="296"/>
      <c r="N85" s="296"/>
      <c r="O85" s="296"/>
      <c r="P85" s="296"/>
    </row>
    <row r="86" spans="1:16" ht="13.5" customHeight="1">
      <c r="A86" s="302"/>
      <c r="B86" s="290">
        <f>((24*7*4)/(24*7*4))*730</f>
        <v>730</v>
      </c>
      <c r="C86" s="303" t="s">
        <v>282</v>
      </c>
      <c r="D86" s="311"/>
      <c r="E86" s="305">
        <f>CEILING(E60*(100+SUMMARY!$C$24)%,1)</f>
        <v>0</v>
      </c>
      <c r="F86" s="305">
        <f>CEILING(F60*(100+SUMMARY!$C$24)%,1)</f>
        <v>0</v>
      </c>
      <c r="G86" s="306" t="s">
        <v>283</v>
      </c>
      <c r="H86" s="32" t="str">
        <f>IF(G86="Windows Server", "C:\", "/")</f>
        <v>C:\</v>
      </c>
      <c r="I86" s="146">
        <f>IF(G86="Windows Server", 150, 20)</f>
        <v>150</v>
      </c>
      <c r="J86" s="296">
        <f>SUM(I86:I89)</f>
        <v>300</v>
      </c>
      <c r="K86" s="307">
        <f>J86 *(IF(C86="AZURE", SUMMARY!C$20, SUMMARY!C$21))</f>
        <v>28.8</v>
      </c>
      <c r="L86" s="308"/>
      <c r="M86" s="299">
        <f>IF(C86="ON PREM", 0, SUMMARY!C$25%)</f>
        <v>0.12</v>
      </c>
      <c r="N86" s="299">
        <f>IF(C86="AWS",SUMMARY!C$26%, 0)</f>
        <v>0.13</v>
      </c>
      <c r="O86" s="300">
        <f>((SUM(K86:L86))-((SUM(K86:L86))*N86))*(1 + M86)</f>
        <v>28.062720000000002</v>
      </c>
      <c r="P86" s="300">
        <f>O86*12</f>
        <v>336.75264000000004</v>
      </c>
    </row>
    <row r="87" spans="1:16">
      <c r="A87" s="302"/>
      <c r="B87" s="302"/>
      <c r="C87" s="303"/>
      <c r="D87" s="311"/>
      <c r="E87" s="311"/>
      <c r="F87" s="311"/>
      <c r="G87" s="306"/>
      <c r="H87" s="155" t="str">
        <f>IF(G86="Windows Server", "F:\appdir", "/appdir")</f>
        <v>F:\appdir</v>
      </c>
      <c r="I87" s="152">
        <f>CEILING(I61*(100+SUMMARY!$C$24)%,1)</f>
        <v>0</v>
      </c>
      <c r="J87" s="296"/>
      <c r="K87" s="296"/>
      <c r="L87" s="296"/>
      <c r="M87" s="296"/>
      <c r="N87" s="296"/>
      <c r="O87" s="296"/>
      <c r="P87" s="296"/>
    </row>
    <row r="88" spans="1:16">
      <c r="A88" s="302"/>
      <c r="B88" s="302"/>
      <c r="C88" s="303"/>
      <c r="D88" s="311"/>
      <c r="E88" s="311"/>
      <c r="F88" s="311"/>
      <c r="G88" s="306"/>
      <c r="H88" s="32" t="str">
        <f>IF(G86="Windows Server", "G:\Log", "/var/log")</f>
        <v>G:\Log</v>
      </c>
      <c r="I88" s="146">
        <f>IF(G86="Windows Server", 50, 20)</f>
        <v>50</v>
      </c>
      <c r="J88" s="296"/>
      <c r="K88" s="296"/>
      <c r="L88" s="296"/>
      <c r="M88" s="296"/>
      <c r="N88" s="296"/>
      <c r="O88" s="296"/>
      <c r="P88" s="296"/>
    </row>
    <row r="89" spans="1:16">
      <c r="A89" s="302"/>
      <c r="B89" s="302"/>
      <c r="C89" s="303"/>
      <c r="D89" s="311"/>
      <c r="E89" s="311"/>
      <c r="F89" s="311"/>
      <c r="G89" s="306"/>
      <c r="H89" s="32" t="str">
        <f>IF(G86="Windows Server", "H:\Backup", "/backup")</f>
        <v>H:\Backup</v>
      </c>
      <c r="I89" s="146">
        <f>IF(G86="Windows Server", 100, 10)</f>
        <v>100</v>
      </c>
      <c r="J89" s="296"/>
      <c r="K89" s="296"/>
      <c r="L89" s="296"/>
      <c r="M89" s="296"/>
      <c r="N89" s="296"/>
      <c r="O89" s="296"/>
      <c r="P89" s="296"/>
    </row>
    <row r="90" spans="1:16" ht="13.5" customHeight="1">
      <c r="A90" s="302"/>
      <c r="B90" s="290">
        <f>((24*7*4)/(24*7*4))*730</f>
        <v>730</v>
      </c>
      <c r="C90" s="303" t="s">
        <v>282</v>
      </c>
      <c r="D90" s="311"/>
      <c r="E90" s="305">
        <f>CEILING(E64*(100+SUMMARY!$C$24)%,1)</f>
        <v>0</v>
      </c>
      <c r="F90" s="305">
        <f>CEILING(F64*(100+SUMMARY!$C$24)%,1)</f>
        <v>0</v>
      </c>
      <c r="G90" s="306" t="s">
        <v>283</v>
      </c>
      <c r="H90" s="32" t="str">
        <f>IF(G90="Windows Server", "C:\", "/")</f>
        <v>C:\</v>
      </c>
      <c r="I90" s="146">
        <f>IF(G90="Windows Server", 150, 20)</f>
        <v>150</v>
      </c>
      <c r="J90" s="296">
        <f>SUM(I90:I93)</f>
        <v>300</v>
      </c>
      <c r="K90" s="307">
        <f>J90 *(IF(C90="AZURE", SUMMARY!C$20, SUMMARY!C$21))</f>
        <v>28.8</v>
      </c>
      <c r="L90" s="308"/>
      <c r="M90" s="299">
        <f>IF(C90="ON PREM", 0, SUMMARY!C$25%)</f>
        <v>0.12</v>
      </c>
      <c r="N90" s="299">
        <f>IF(C90="AWS",SUMMARY!C$26%, 0)</f>
        <v>0.13</v>
      </c>
      <c r="O90" s="300">
        <f>((SUM(K90:L90))-((SUM(K90:L90))*N90))*(1 + M90)</f>
        <v>28.062720000000002</v>
      </c>
      <c r="P90" s="300">
        <f>O90*12</f>
        <v>336.75264000000004</v>
      </c>
    </row>
    <row r="91" spans="1:16">
      <c r="A91" s="302"/>
      <c r="B91" s="302"/>
      <c r="C91" s="303"/>
      <c r="D91" s="311"/>
      <c r="E91" s="311"/>
      <c r="F91" s="311"/>
      <c r="G91" s="306"/>
      <c r="H91" s="155" t="str">
        <f>IF(G90="Windows Server", "F:\appdir", "/appdir")</f>
        <v>F:\appdir</v>
      </c>
      <c r="I91" s="152">
        <f>CEILING(I65*(100+SUMMARY!$C$24)%,1)</f>
        <v>0</v>
      </c>
      <c r="J91" s="296"/>
      <c r="K91" s="296"/>
      <c r="L91" s="296"/>
      <c r="M91" s="296"/>
      <c r="N91" s="296"/>
      <c r="O91" s="296"/>
      <c r="P91" s="296"/>
    </row>
    <row r="92" spans="1:16">
      <c r="A92" s="302"/>
      <c r="B92" s="302"/>
      <c r="C92" s="303"/>
      <c r="D92" s="311"/>
      <c r="E92" s="311"/>
      <c r="F92" s="311"/>
      <c r="G92" s="306"/>
      <c r="H92" s="32" t="str">
        <f>IF(G90="Windows Server", "G:\Log", "/var/log")</f>
        <v>G:\Log</v>
      </c>
      <c r="I92" s="146">
        <f>IF(G90="Windows Server", 50, 20)</f>
        <v>50</v>
      </c>
      <c r="J92" s="296"/>
      <c r="K92" s="296"/>
      <c r="L92" s="296"/>
      <c r="M92" s="296"/>
      <c r="N92" s="296"/>
      <c r="O92" s="296"/>
      <c r="P92" s="296"/>
    </row>
    <row r="93" spans="1:16">
      <c r="A93" s="302"/>
      <c r="B93" s="302"/>
      <c r="C93" s="303"/>
      <c r="D93" s="311"/>
      <c r="E93" s="311"/>
      <c r="F93" s="311"/>
      <c r="G93" s="306"/>
      <c r="H93" s="32" t="str">
        <f>IF(G90="Windows Server", "H:\Backup", "/backup")</f>
        <v>H:\Backup</v>
      </c>
      <c r="I93" s="146">
        <f>IF(G90="Windows Server", 100, 10)</f>
        <v>100</v>
      </c>
      <c r="J93" s="296"/>
      <c r="K93" s="296"/>
      <c r="L93" s="296"/>
      <c r="M93" s="296"/>
      <c r="N93" s="296"/>
      <c r="O93" s="296"/>
      <c r="P93" s="296"/>
    </row>
    <row r="94" spans="1:16" ht="13.5" customHeight="1">
      <c r="A94" s="302"/>
      <c r="B94" s="290">
        <f>((24*7*4)/(24*7*4))*730</f>
        <v>730</v>
      </c>
      <c r="C94" s="303" t="s">
        <v>282</v>
      </c>
      <c r="D94" s="311"/>
      <c r="E94" s="305">
        <f>CEILING(E68*(100+SUMMARY!$C$24)%,1)</f>
        <v>0</v>
      </c>
      <c r="F94" s="305">
        <f>CEILING(F68*(100+SUMMARY!$C$24)%,1)</f>
        <v>0</v>
      </c>
      <c r="G94" s="306" t="s">
        <v>283</v>
      </c>
      <c r="H94" s="32" t="str">
        <f>IF(G94="Windows Server", "C:\", "/")</f>
        <v>C:\</v>
      </c>
      <c r="I94" s="146">
        <f>IF(G94="Windows Server", 150, 20)</f>
        <v>150</v>
      </c>
      <c r="J94" s="296">
        <f>SUM(I94:I97)</f>
        <v>300</v>
      </c>
      <c r="K94" s="307">
        <f>J94 *(IF(C94="AZURE", SUMMARY!C$20, SUMMARY!C$21))</f>
        <v>28.8</v>
      </c>
      <c r="L94" s="308"/>
      <c r="M94" s="299">
        <f>IF(C94="ON PREM", 0, SUMMARY!C$25%)</f>
        <v>0.12</v>
      </c>
      <c r="N94" s="299">
        <f>IF(C94="AWS",SUMMARY!C$26%, 0)</f>
        <v>0.13</v>
      </c>
      <c r="O94" s="300">
        <f>((SUM(K94:L94))-((SUM(K94:L94))*N94))*(1 + M94)</f>
        <v>28.062720000000002</v>
      </c>
      <c r="P94" s="300">
        <f>O94*12</f>
        <v>336.75264000000004</v>
      </c>
    </row>
    <row r="95" spans="1:16">
      <c r="A95" s="302"/>
      <c r="B95" s="302"/>
      <c r="C95" s="303"/>
      <c r="D95" s="311"/>
      <c r="E95" s="311"/>
      <c r="F95" s="311"/>
      <c r="G95" s="306"/>
      <c r="H95" s="155" t="str">
        <f>IF(G94="Windows Server", "F:\appdir", "/appdir")</f>
        <v>F:\appdir</v>
      </c>
      <c r="I95" s="152">
        <f>CEILING(I69*(100+SUMMARY!$C$24)%,1)</f>
        <v>0</v>
      </c>
      <c r="J95" s="296"/>
      <c r="K95" s="296"/>
      <c r="L95" s="296"/>
      <c r="M95" s="296"/>
      <c r="N95" s="296"/>
      <c r="O95" s="296"/>
      <c r="P95" s="296"/>
    </row>
    <row r="96" spans="1:16">
      <c r="A96" s="302"/>
      <c r="B96" s="302"/>
      <c r="C96" s="303"/>
      <c r="D96" s="311"/>
      <c r="E96" s="311"/>
      <c r="F96" s="311"/>
      <c r="G96" s="306"/>
      <c r="H96" s="32" t="str">
        <f>IF(G94="Windows Server", "G:\Log", "/var/log")</f>
        <v>G:\Log</v>
      </c>
      <c r="I96" s="146">
        <f>IF(G94="Windows Server", 50, 20)</f>
        <v>50</v>
      </c>
      <c r="J96" s="296"/>
      <c r="K96" s="296"/>
      <c r="L96" s="296"/>
      <c r="M96" s="296"/>
      <c r="N96" s="296"/>
      <c r="O96" s="296"/>
      <c r="P96" s="296"/>
    </row>
    <row r="97" spans="1:16">
      <c r="A97" s="302"/>
      <c r="B97" s="302"/>
      <c r="C97" s="303"/>
      <c r="D97" s="311"/>
      <c r="E97" s="311"/>
      <c r="F97" s="311"/>
      <c r="G97" s="306"/>
      <c r="H97" s="32" t="str">
        <f>IF(G94="Windows Server", "H:\Backup", "/backup")</f>
        <v>H:\Backup</v>
      </c>
      <c r="I97" s="146">
        <f>IF(G94="Windows Server", 100, 10)</f>
        <v>100</v>
      </c>
      <c r="J97" s="296"/>
      <c r="K97" s="296"/>
      <c r="L97" s="296"/>
      <c r="M97" s="296"/>
      <c r="N97" s="296"/>
      <c r="O97" s="296"/>
      <c r="P97" s="296"/>
    </row>
    <row r="98" spans="1:16" ht="13.5" customHeight="1">
      <c r="A98" s="302"/>
      <c r="B98" s="290">
        <f>((24*7*4)/(24*7*4))*730</f>
        <v>730</v>
      </c>
      <c r="C98" s="303" t="s">
        <v>282</v>
      </c>
      <c r="D98" s="311"/>
      <c r="E98" s="305">
        <f>CEILING(E72*(100+SUMMARY!$C$24)%,1)</f>
        <v>0</v>
      </c>
      <c r="F98" s="305">
        <f>CEILING(F72*(100+SUMMARY!$C$24)%,1)</f>
        <v>0</v>
      </c>
      <c r="G98" s="306" t="s">
        <v>283</v>
      </c>
      <c r="H98" s="32" t="str">
        <f>IF(G98="Windows Server", "C:\", "/")</f>
        <v>C:\</v>
      </c>
      <c r="I98" s="146">
        <f>IF(G98="Windows Server", 150, 20)</f>
        <v>150</v>
      </c>
      <c r="J98" s="296">
        <f>SUM(I98:I101)</f>
        <v>300</v>
      </c>
      <c r="K98" s="307">
        <f>J98 *(IF(C98="AZURE", SUMMARY!C$20, SUMMARY!C$21))</f>
        <v>28.8</v>
      </c>
      <c r="L98" s="308"/>
      <c r="M98" s="299">
        <f>IF(C98="ON PREM", 0, SUMMARY!C$25%)</f>
        <v>0.12</v>
      </c>
      <c r="N98" s="299">
        <f>IF(C98="AWS",SUMMARY!C$26%, 0)</f>
        <v>0.13</v>
      </c>
      <c r="O98" s="300">
        <f>((SUM(K98:L98))-((SUM(K98:L98))*N98))*(1 + M98)</f>
        <v>28.062720000000002</v>
      </c>
      <c r="P98" s="300">
        <f>O98*12</f>
        <v>336.75264000000004</v>
      </c>
    </row>
    <row r="99" spans="1:16">
      <c r="A99" s="302"/>
      <c r="B99" s="302"/>
      <c r="C99" s="303"/>
      <c r="D99" s="311"/>
      <c r="E99" s="311"/>
      <c r="F99" s="311"/>
      <c r="G99" s="306"/>
      <c r="H99" s="155" t="str">
        <f>IF(G98="Windows Server", "F:\appdir", "/appdir")</f>
        <v>F:\appdir</v>
      </c>
      <c r="I99" s="152">
        <f>CEILING(I73*(100+SUMMARY!$C$24)%,1)</f>
        <v>0</v>
      </c>
      <c r="J99" s="296"/>
      <c r="K99" s="296"/>
      <c r="L99" s="296"/>
      <c r="M99" s="296"/>
      <c r="N99" s="296"/>
      <c r="O99" s="296"/>
      <c r="P99" s="296"/>
    </row>
    <row r="100" spans="1:16">
      <c r="A100" s="302"/>
      <c r="B100" s="302"/>
      <c r="C100" s="303"/>
      <c r="D100" s="311"/>
      <c r="E100" s="311"/>
      <c r="F100" s="311"/>
      <c r="G100" s="306"/>
      <c r="H100" s="32" t="str">
        <f>IF(G98="Windows Server", "G:\Log", "/var/log")</f>
        <v>G:\Log</v>
      </c>
      <c r="I100" s="146">
        <f>IF(G98="Windows Server", 50, 20)</f>
        <v>50</v>
      </c>
      <c r="J100" s="296"/>
      <c r="K100" s="296"/>
      <c r="L100" s="296"/>
      <c r="M100" s="296"/>
      <c r="N100" s="296"/>
      <c r="O100" s="296"/>
      <c r="P100" s="296"/>
    </row>
    <row r="101" spans="1:16">
      <c r="A101" s="302"/>
      <c r="B101" s="302"/>
      <c r="C101" s="303"/>
      <c r="D101" s="311"/>
      <c r="E101" s="311"/>
      <c r="F101" s="311"/>
      <c r="G101" s="306"/>
      <c r="H101" s="32" t="str">
        <f>IF(G98="Windows Server", "H:\Backup", "/backup")</f>
        <v>H:\Backup</v>
      </c>
      <c r="I101" s="146">
        <f>IF(G98="Windows Server", 100, 10)</f>
        <v>100</v>
      </c>
      <c r="J101" s="296"/>
      <c r="K101" s="296"/>
      <c r="L101" s="296"/>
      <c r="M101" s="296"/>
      <c r="N101" s="296"/>
      <c r="O101" s="296"/>
      <c r="P101" s="296"/>
    </row>
    <row r="102" spans="1:16" ht="13.5" customHeight="1">
      <c r="A102" s="302"/>
      <c r="B102" s="290">
        <f>((24*7*4)/(24*7*4))*730</f>
        <v>730</v>
      </c>
      <c r="C102" s="303" t="s">
        <v>282</v>
      </c>
      <c r="D102" s="311"/>
      <c r="E102" s="305">
        <f>CEILING(E76*(100+SUMMARY!$C$24)%,1)</f>
        <v>0</v>
      </c>
      <c r="F102" s="305">
        <f>CEILING(F76*(100+SUMMARY!$C$24)%,1)</f>
        <v>0</v>
      </c>
      <c r="G102" s="306" t="s">
        <v>283</v>
      </c>
      <c r="H102" s="32" t="str">
        <f>IF(G102="Windows Server", "C:\", "/")</f>
        <v>C:\</v>
      </c>
      <c r="I102" s="146">
        <f>IF(G102="Windows Server", 150, 20)</f>
        <v>150</v>
      </c>
      <c r="J102" s="296">
        <f>SUM(I102:I105)</f>
        <v>300</v>
      </c>
      <c r="K102" s="307">
        <f>J102 *(IF(C102="AZURE", SUMMARY!C$20, SUMMARY!C$21))</f>
        <v>28.8</v>
      </c>
      <c r="L102" s="308"/>
      <c r="M102" s="299">
        <f>IF(C102="ON PREM", 0, SUMMARY!C$25%)</f>
        <v>0.12</v>
      </c>
      <c r="N102" s="299">
        <f>IF(C102="AWS",SUMMARY!C$26%, 0)</f>
        <v>0.13</v>
      </c>
      <c r="O102" s="300">
        <f>((SUM(K102:L102))-((SUM(K102:L102))*N102))*(1 + M102)</f>
        <v>28.062720000000002</v>
      </c>
      <c r="P102" s="300">
        <f>O102*12</f>
        <v>336.75264000000004</v>
      </c>
    </row>
    <row r="103" spans="1:16">
      <c r="A103" s="302"/>
      <c r="B103" s="302"/>
      <c r="C103" s="303"/>
      <c r="D103" s="311"/>
      <c r="E103" s="311"/>
      <c r="F103" s="311"/>
      <c r="G103" s="306"/>
      <c r="H103" s="155" t="str">
        <f>IF(G102="Windows Server", "F:\appdir", "/appdir")</f>
        <v>F:\appdir</v>
      </c>
      <c r="I103" s="152">
        <f>CEILING(I77*(100+SUMMARY!$C$24)%,1)</f>
        <v>0</v>
      </c>
      <c r="J103" s="296"/>
      <c r="K103" s="296"/>
      <c r="L103" s="296"/>
      <c r="M103" s="296"/>
      <c r="N103" s="296"/>
      <c r="O103" s="296"/>
      <c r="P103" s="296"/>
    </row>
    <row r="104" spans="1:16">
      <c r="A104" s="302"/>
      <c r="B104" s="302"/>
      <c r="C104" s="303"/>
      <c r="D104" s="311"/>
      <c r="E104" s="311"/>
      <c r="F104" s="311"/>
      <c r="G104" s="306"/>
      <c r="H104" s="32" t="str">
        <f>IF(G102="Windows Server", "G:\Log", "/var/log")</f>
        <v>G:\Log</v>
      </c>
      <c r="I104" s="146">
        <f>IF(G102="Windows Server", 50, 20)</f>
        <v>50</v>
      </c>
      <c r="J104" s="296"/>
      <c r="K104" s="296"/>
      <c r="L104" s="296"/>
      <c r="M104" s="296"/>
      <c r="N104" s="296"/>
      <c r="O104" s="296"/>
      <c r="P104" s="296"/>
    </row>
    <row r="105" spans="1:16">
      <c r="A105" s="302"/>
      <c r="B105" s="302"/>
      <c r="C105" s="303"/>
      <c r="D105" s="311"/>
      <c r="E105" s="311"/>
      <c r="F105" s="311"/>
      <c r="G105" s="306"/>
      <c r="H105" s="32" t="str">
        <f>IF(G102="Windows Server", "H:\Backup", "/backup")</f>
        <v>H:\Backup</v>
      </c>
      <c r="I105" s="146">
        <f>IF(G102="Windows Server", 100, 10)</f>
        <v>100</v>
      </c>
      <c r="J105" s="296"/>
      <c r="K105" s="296"/>
      <c r="L105" s="296"/>
      <c r="M105" s="296"/>
      <c r="N105" s="296"/>
      <c r="O105" s="296"/>
      <c r="P105" s="296"/>
    </row>
    <row r="106" spans="1:16" ht="14.25" customHeight="1">
      <c r="A106" s="3"/>
      <c r="B106" s="153"/>
      <c r="C106" s="153"/>
      <c r="D106" s="153"/>
      <c r="E106" s="156">
        <f>SUM(E82:E105)</f>
        <v>7</v>
      </c>
      <c r="F106" s="156">
        <f>SUM(F82:F105)</f>
        <v>26</v>
      </c>
      <c r="G106" s="156"/>
      <c r="H106" s="153"/>
      <c r="I106" s="153"/>
      <c r="J106" s="156">
        <f>SUM(J82:J105)</f>
        <v>1800</v>
      </c>
      <c r="K106" s="154">
        <f>SUM(K82:K105)</f>
        <v>172.8</v>
      </c>
      <c r="L106" s="154">
        <f>SUM(L82:L105)</f>
        <v>0</v>
      </c>
      <c r="M106" s="154"/>
      <c r="N106" s="154"/>
      <c r="O106" s="154">
        <f>SUM(O82:O105)</f>
        <v>168.37632000000002</v>
      </c>
      <c r="P106" s="154">
        <f>SUM(P82:P105)</f>
        <v>2020.5158400000005</v>
      </c>
    </row>
    <row r="107" spans="1:16" s="129" customFormat="1">
      <c r="A107" s="144"/>
      <c r="B107" s="301"/>
      <c r="C107" s="301"/>
      <c r="D107" s="301"/>
      <c r="E107" s="301"/>
      <c r="F107" s="301"/>
      <c r="G107" s="301"/>
      <c r="H107" s="301"/>
      <c r="I107" s="301"/>
      <c r="J107" s="301"/>
      <c r="K107" s="301"/>
      <c r="L107" s="301"/>
      <c r="M107" s="301"/>
      <c r="N107" s="301"/>
      <c r="O107" s="301"/>
      <c r="P107" s="301"/>
    </row>
    <row r="108" spans="1:16" ht="13.5" customHeight="1">
      <c r="A108" s="294"/>
      <c r="B108" s="290">
        <f>((24*7*4)/(24*7*4))*730</f>
        <v>730</v>
      </c>
      <c r="C108" s="294" t="s">
        <v>286</v>
      </c>
      <c r="D108" s="295"/>
      <c r="E108" s="310">
        <f>CEILING(E82*(100+SUMMARY!$C$24)%,1)</f>
        <v>9</v>
      </c>
      <c r="F108" s="310">
        <f>CEILING(F82*(100+SUMMARY!$C$24)%,1)</f>
        <v>30</v>
      </c>
      <c r="G108" s="294" t="s">
        <v>283</v>
      </c>
      <c r="H108" s="32" t="str">
        <f>IF(G108="Windows Server", "C:\", "/")</f>
        <v>C:\</v>
      </c>
      <c r="I108" s="146">
        <f>IF(G108="Windows Server", 150, 20)</f>
        <v>150</v>
      </c>
      <c r="J108" s="296">
        <f>SUM(I108:I111)</f>
        <v>300</v>
      </c>
      <c r="K108" s="297">
        <f>J108 *(IF(C108="AZURE", SUMMARY!C$20, SUMMARY!C$21))</f>
        <v>28.8</v>
      </c>
      <c r="L108" s="298"/>
      <c r="M108" s="299">
        <f>IF(C108="ON PREM", 0, SUMMARY!C$25%)</f>
        <v>0.12</v>
      </c>
      <c r="N108" s="299">
        <f>IF(C108="AWS",SUMMARY!C$26%, 0)</f>
        <v>0</v>
      </c>
      <c r="O108" s="300">
        <f>((SUM(K108:L108))-((SUM(K108:L108))*N108))*(1 + M108)</f>
        <v>32.256000000000007</v>
      </c>
      <c r="P108" s="300">
        <f>O108*12</f>
        <v>387.07200000000012</v>
      </c>
    </row>
    <row r="109" spans="1:16">
      <c r="A109" s="294"/>
      <c r="B109" s="294"/>
      <c r="C109" s="294"/>
      <c r="D109" s="295"/>
      <c r="E109" s="295"/>
      <c r="F109" s="295"/>
      <c r="G109" s="294"/>
      <c r="H109" s="148" t="str">
        <f>IF(G108="Windows Server", "F:\appdir", "/appdir")</f>
        <v>F:\appdir</v>
      </c>
      <c r="I109" s="149">
        <f>CEILING(I83*(100+SUMMARY!$C$24)%,1)</f>
        <v>0</v>
      </c>
      <c r="J109" s="296"/>
      <c r="K109" s="296"/>
      <c r="L109" s="296"/>
      <c r="M109" s="296"/>
      <c r="N109" s="296"/>
      <c r="O109" s="296"/>
      <c r="P109" s="296"/>
    </row>
    <row r="110" spans="1:16">
      <c r="A110" s="294"/>
      <c r="B110" s="294"/>
      <c r="C110" s="294"/>
      <c r="D110" s="295"/>
      <c r="E110" s="295"/>
      <c r="F110" s="295"/>
      <c r="G110" s="294"/>
      <c r="H110" s="32" t="str">
        <f>IF(G108="Windows Server", "G:\Log", "/var/log")</f>
        <v>G:\Log</v>
      </c>
      <c r="I110" s="146">
        <f>IF(G108="Windows Server", 50, 20)</f>
        <v>50</v>
      </c>
      <c r="J110" s="296"/>
      <c r="K110" s="296"/>
      <c r="L110" s="296"/>
      <c r="M110" s="296"/>
      <c r="N110" s="296"/>
      <c r="O110" s="296"/>
      <c r="P110" s="296"/>
    </row>
    <row r="111" spans="1:16">
      <c r="A111" s="294"/>
      <c r="B111" s="294"/>
      <c r="C111" s="294"/>
      <c r="D111" s="295"/>
      <c r="E111" s="295"/>
      <c r="F111" s="295"/>
      <c r="G111" s="294"/>
      <c r="H111" s="32" t="str">
        <f>IF(G108="Windows Server", "H:\Backup", "/backup")</f>
        <v>H:\Backup</v>
      </c>
      <c r="I111" s="146">
        <f>IF(G108="Windows Server", 100, 10)</f>
        <v>100</v>
      </c>
      <c r="J111" s="296"/>
      <c r="K111" s="296"/>
      <c r="L111" s="296"/>
      <c r="M111" s="296"/>
      <c r="N111" s="296"/>
      <c r="O111" s="296"/>
      <c r="P111" s="296"/>
    </row>
    <row r="112" spans="1:16" ht="13.5" customHeight="1">
      <c r="A112" s="294"/>
      <c r="B112" s="290">
        <f>((24*7*4)/(24*7*4))*730</f>
        <v>730</v>
      </c>
      <c r="C112" s="294" t="s">
        <v>288</v>
      </c>
      <c r="D112" s="295"/>
      <c r="E112" s="310">
        <f>CEILING(E86*(100+SUMMARY!$C$24)%,1)</f>
        <v>0</v>
      </c>
      <c r="F112" s="310">
        <f>CEILING(F86*(100+SUMMARY!$C$24)%,1)</f>
        <v>0</v>
      </c>
      <c r="G112" s="294" t="s">
        <v>283</v>
      </c>
      <c r="H112" s="32" t="str">
        <f>IF(G112="Windows Server", "C:\", "/")</f>
        <v>C:\</v>
      </c>
      <c r="I112" s="146">
        <f>IF(G112="Windows Server", 150, 20)</f>
        <v>150</v>
      </c>
      <c r="J112" s="296">
        <f>SUM(I112:I115)</f>
        <v>300</v>
      </c>
      <c r="K112" s="297">
        <f>J112 *(IF(C112="AZURE", SUMMARY!C$20, SUMMARY!C$21))</f>
        <v>28.8</v>
      </c>
      <c r="L112" s="298"/>
      <c r="M112" s="299">
        <f>IF(C112="ON PREM", 0, SUMMARY!C$25%)</f>
        <v>0</v>
      </c>
      <c r="N112" s="299">
        <f>IF(C112="AWS",SUMMARY!C$26%, 0)</f>
        <v>0</v>
      </c>
      <c r="O112" s="300">
        <f>((SUM(K112:L112))-((SUM(K112:L112))*N112))*(1 + M112)</f>
        <v>28.8</v>
      </c>
      <c r="P112" s="300">
        <f>O112*12</f>
        <v>345.6</v>
      </c>
    </row>
    <row r="113" spans="1:16">
      <c r="A113" s="294"/>
      <c r="B113" s="294"/>
      <c r="C113" s="294"/>
      <c r="D113" s="295"/>
      <c r="E113" s="295"/>
      <c r="F113" s="295"/>
      <c r="G113" s="294"/>
      <c r="H113" s="148" t="str">
        <f>IF(G112="Windows Server", "F:\appdir", "/appdir")</f>
        <v>F:\appdir</v>
      </c>
      <c r="I113" s="149">
        <f>CEILING(I87*(100+SUMMARY!$C$24)%,1)</f>
        <v>0</v>
      </c>
      <c r="J113" s="296"/>
      <c r="K113" s="296"/>
      <c r="L113" s="296"/>
      <c r="M113" s="296"/>
      <c r="N113" s="296"/>
      <c r="O113" s="296"/>
      <c r="P113" s="296"/>
    </row>
    <row r="114" spans="1:16">
      <c r="A114" s="294"/>
      <c r="B114" s="294"/>
      <c r="C114" s="294"/>
      <c r="D114" s="295"/>
      <c r="E114" s="295"/>
      <c r="F114" s="295"/>
      <c r="G114" s="294"/>
      <c r="H114" s="32" t="str">
        <f>IF(G112="Windows Server", "G:\Log", "/var/log")</f>
        <v>G:\Log</v>
      </c>
      <c r="I114" s="146">
        <f>IF(G112="Windows Server", 50, 20)</f>
        <v>50</v>
      </c>
      <c r="J114" s="296"/>
      <c r="K114" s="296"/>
      <c r="L114" s="296"/>
      <c r="M114" s="296"/>
      <c r="N114" s="296"/>
      <c r="O114" s="296"/>
      <c r="P114" s="296"/>
    </row>
    <row r="115" spans="1:16">
      <c r="A115" s="294"/>
      <c r="B115" s="294"/>
      <c r="C115" s="294"/>
      <c r="D115" s="295"/>
      <c r="E115" s="295"/>
      <c r="F115" s="295"/>
      <c r="G115" s="294"/>
      <c r="H115" s="32" t="str">
        <f>IF(G112="Windows Server", "H:\Backup", "/backup")</f>
        <v>H:\Backup</v>
      </c>
      <c r="I115" s="146">
        <f>IF(G112="Windows Server", 100, 10)</f>
        <v>100</v>
      </c>
      <c r="J115" s="296"/>
      <c r="K115" s="296"/>
      <c r="L115" s="296"/>
      <c r="M115" s="296"/>
      <c r="N115" s="296"/>
      <c r="O115" s="296"/>
      <c r="P115" s="296"/>
    </row>
    <row r="116" spans="1:16" ht="13.5" customHeight="1">
      <c r="A116" s="294"/>
      <c r="B116" s="290">
        <f>((24*7*4)/(24*7*4))*730</f>
        <v>730</v>
      </c>
      <c r="C116" s="294" t="s">
        <v>286</v>
      </c>
      <c r="D116" s="295"/>
      <c r="E116" s="310">
        <f>CEILING(E90*(100+SUMMARY!$C$24)%,1)</f>
        <v>0</v>
      </c>
      <c r="F116" s="310">
        <f>CEILING(F90*(100+SUMMARY!$C$24)%,1)</f>
        <v>0</v>
      </c>
      <c r="G116" s="294" t="s">
        <v>283</v>
      </c>
      <c r="H116" s="32" t="str">
        <f>IF(G116="Windows Server", "C:\", "/")</f>
        <v>C:\</v>
      </c>
      <c r="I116" s="146">
        <f>IF(G116="Windows Server", 150, 20)</f>
        <v>150</v>
      </c>
      <c r="J116" s="296">
        <f>SUM(I116:I119)</f>
        <v>300</v>
      </c>
      <c r="K116" s="297">
        <f>J116 *(IF(C116="AZURE", SUMMARY!C$20, SUMMARY!C$21))</f>
        <v>28.8</v>
      </c>
      <c r="L116" s="298"/>
      <c r="M116" s="299">
        <f>IF(C116="ON PREM", 0, SUMMARY!C$25%)</f>
        <v>0.12</v>
      </c>
      <c r="N116" s="299">
        <f>IF(C116="AWS",SUMMARY!C$26%, 0)</f>
        <v>0</v>
      </c>
      <c r="O116" s="300">
        <f>((SUM(K116:L116))-((SUM(K116:L116))*N116))*(1 + M116)</f>
        <v>32.256000000000007</v>
      </c>
      <c r="P116" s="300">
        <f>O116*12</f>
        <v>387.07200000000012</v>
      </c>
    </row>
    <row r="117" spans="1:16">
      <c r="A117" s="294"/>
      <c r="B117" s="294"/>
      <c r="C117" s="294"/>
      <c r="D117" s="295"/>
      <c r="E117" s="295"/>
      <c r="F117" s="295"/>
      <c r="G117" s="294"/>
      <c r="H117" s="148" t="str">
        <f>IF(G116="Windows Server", "F:\appdir", "/appdir")</f>
        <v>F:\appdir</v>
      </c>
      <c r="I117" s="149">
        <f>CEILING(I91*(100+SUMMARY!$C$24)%,1)</f>
        <v>0</v>
      </c>
      <c r="J117" s="296"/>
      <c r="K117" s="296"/>
      <c r="L117" s="296"/>
      <c r="M117" s="296"/>
      <c r="N117" s="296"/>
      <c r="O117" s="296"/>
      <c r="P117" s="296"/>
    </row>
    <row r="118" spans="1:16">
      <c r="A118" s="294"/>
      <c r="B118" s="294"/>
      <c r="C118" s="294"/>
      <c r="D118" s="295"/>
      <c r="E118" s="295"/>
      <c r="F118" s="295"/>
      <c r="G118" s="294"/>
      <c r="H118" s="32" t="str">
        <f>IF(G116="Windows Server", "G:\Log", "/var/log")</f>
        <v>G:\Log</v>
      </c>
      <c r="I118" s="146">
        <f>IF(G116="Windows Server", 50, 20)</f>
        <v>50</v>
      </c>
      <c r="J118" s="296"/>
      <c r="K118" s="296"/>
      <c r="L118" s="296"/>
      <c r="M118" s="296"/>
      <c r="N118" s="296"/>
      <c r="O118" s="296"/>
      <c r="P118" s="296"/>
    </row>
    <row r="119" spans="1:16">
      <c r="A119" s="294"/>
      <c r="B119" s="294"/>
      <c r="C119" s="294"/>
      <c r="D119" s="295"/>
      <c r="E119" s="295"/>
      <c r="F119" s="295"/>
      <c r="G119" s="294"/>
      <c r="H119" s="32" t="str">
        <f>IF(G116="Windows Server", "H:\Backup", "/backup")</f>
        <v>H:\Backup</v>
      </c>
      <c r="I119" s="146">
        <f>IF(G116="Windows Server", 100, 10)</f>
        <v>100</v>
      </c>
      <c r="J119" s="296"/>
      <c r="K119" s="296"/>
      <c r="L119" s="296"/>
      <c r="M119" s="296"/>
      <c r="N119" s="296"/>
      <c r="O119" s="296"/>
      <c r="P119" s="296"/>
    </row>
    <row r="120" spans="1:16" ht="13.5" customHeight="1">
      <c r="A120" s="294"/>
      <c r="B120" s="290">
        <f>((24*7*4)/(24*7*4))*730</f>
        <v>730</v>
      </c>
      <c r="C120" s="294" t="s">
        <v>286</v>
      </c>
      <c r="D120" s="295"/>
      <c r="E120" s="310">
        <f>CEILING(E94*(100+SUMMARY!$C$24)%,1)</f>
        <v>0</v>
      </c>
      <c r="F120" s="310">
        <f>CEILING(F94*(100+SUMMARY!$C$24)%,1)</f>
        <v>0</v>
      </c>
      <c r="G120" s="294" t="s">
        <v>283</v>
      </c>
      <c r="H120" s="32" t="str">
        <f>IF(G120="Windows Server", "C:\", "/")</f>
        <v>C:\</v>
      </c>
      <c r="I120" s="146">
        <f>IF(G120="Windows Server", 150, 20)</f>
        <v>150</v>
      </c>
      <c r="J120" s="296">
        <f>SUM(I120:I123)</f>
        <v>300</v>
      </c>
      <c r="K120" s="297">
        <f>J120 *(IF(C120="AZURE", SUMMARY!C$20, SUMMARY!C$21))</f>
        <v>28.8</v>
      </c>
      <c r="L120" s="298"/>
      <c r="M120" s="299">
        <f>IF(C120="ON PREM", 0, SUMMARY!C$25%)</f>
        <v>0.12</v>
      </c>
      <c r="N120" s="299">
        <f>IF(C120="AWS",SUMMARY!C$26%, 0)</f>
        <v>0</v>
      </c>
      <c r="O120" s="300">
        <f>((SUM(K120:L120))-((SUM(K120:L120))*N120))*(1 + M120)</f>
        <v>32.256000000000007</v>
      </c>
      <c r="P120" s="300">
        <f>O120*12</f>
        <v>387.07200000000012</v>
      </c>
    </row>
    <row r="121" spans="1:16">
      <c r="A121" s="294"/>
      <c r="B121" s="294"/>
      <c r="C121" s="294"/>
      <c r="D121" s="295"/>
      <c r="E121" s="295"/>
      <c r="F121" s="295"/>
      <c r="G121" s="294"/>
      <c r="H121" s="148" t="str">
        <f>IF(G120="Windows Server", "F:\appdir", "/appdir")</f>
        <v>F:\appdir</v>
      </c>
      <c r="I121" s="149">
        <f>CEILING(I95*(100+SUMMARY!$C$24)%,1)</f>
        <v>0</v>
      </c>
      <c r="J121" s="296"/>
      <c r="K121" s="296"/>
      <c r="L121" s="296"/>
      <c r="M121" s="296"/>
      <c r="N121" s="296"/>
      <c r="O121" s="296"/>
      <c r="P121" s="296"/>
    </row>
    <row r="122" spans="1:16">
      <c r="A122" s="294"/>
      <c r="B122" s="294"/>
      <c r="C122" s="294"/>
      <c r="D122" s="295"/>
      <c r="E122" s="295"/>
      <c r="F122" s="295"/>
      <c r="G122" s="294"/>
      <c r="H122" s="32" t="str">
        <f>IF(G120="Windows Server", "G:\Log", "/var/log")</f>
        <v>G:\Log</v>
      </c>
      <c r="I122" s="146">
        <f>IF(G120="Windows Server", 50, 20)</f>
        <v>50</v>
      </c>
      <c r="J122" s="296"/>
      <c r="K122" s="296"/>
      <c r="L122" s="296"/>
      <c r="M122" s="296"/>
      <c r="N122" s="296"/>
      <c r="O122" s="296"/>
      <c r="P122" s="296"/>
    </row>
    <row r="123" spans="1:16">
      <c r="A123" s="294"/>
      <c r="B123" s="294"/>
      <c r="C123" s="294"/>
      <c r="D123" s="295"/>
      <c r="E123" s="295"/>
      <c r="F123" s="295"/>
      <c r="G123" s="294"/>
      <c r="H123" s="32" t="str">
        <f>IF(G120="Windows Server", "H:\Backup", "/backup")</f>
        <v>H:\Backup</v>
      </c>
      <c r="I123" s="146">
        <f>IF(G120="Windows Server", 100, 10)</f>
        <v>100</v>
      </c>
      <c r="J123" s="296"/>
      <c r="K123" s="296"/>
      <c r="L123" s="296"/>
      <c r="M123" s="296"/>
      <c r="N123" s="296"/>
      <c r="O123" s="296"/>
      <c r="P123" s="296"/>
    </row>
    <row r="124" spans="1:16" ht="13.5" customHeight="1">
      <c r="A124" s="294"/>
      <c r="B124" s="290">
        <f>((24*7*4)/(24*7*4))*730</f>
        <v>730</v>
      </c>
      <c r="C124" s="294" t="s">
        <v>286</v>
      </c>
      <c r="D124" s="295"/>
      <c r="E124" s="310">
        <f>CEILING(E98*(100+SUMMARY!$C$24)%,1)</f>
        <v>0</v>
      </c>
      <c r="F124" s="310">
        <f>CEILING(F98*(100+SUMMARY!$C$24)%,1)</f>
        <v>0</v>
      </c>
      <c r="G124" s="294" t="s">
        <v>283</v>
      </c>
      <c r="H124" s="32" t="str">
        <f>IF(G124="Windows Server", "C:\", "/")</f>
        <v>C:\</v>
      </c>
      <c r="I124" s="146">
        <f>IF(G124="Windows Server", 150, 20)</f>
        <v>150</v>
      </c>
      <c r="J124" s="296">
        <f>SUM(I124:I127)</f>
        <v>300</v>
      </c>
      <c r="K124" s="297">
        <f>J124 *(IF(C124="AZURE", SUMMARY!C$20, SUMMARY!C$21))</f>
        <v>28.8</v>
      </c>
      <c r="L124" s="298"/>
      <c r="M124" s="299">
        <f>IF(C124="ON PREM", 0, SUMMARY!C$25%)</f>
        <v>0.12</v>
      </c>
      <c r="N124" s="299">
        <f>IF(C124="AWS",SUMMARY!C$26%, 0)</f>
        <v>0</v>
      </c>
      <c r="O124" s="300">
        <f>((SUM(K124:L124))-((SUM(K124:L124))*N124))*(1 + M124)</f>
        <v>32.256000000000007</v>
      </c>
      <c r="P124" s="300">
        <f>O124*12</f>
        <v>387.07200000000012</v>
      </c>
    </row>
    <row r="125" spans="1:16">
      <c r="A125" s="294"/>
      <c r="B125" s="294"/>
      <c r="C125" s="294"/>
      <c r="D125" s="295"/>
      <c r="E125" s="295"/>
      <c r="F125" s="295"/>
      <c r="G125" s="294"/>
      <c r="H125" s="148" t="str">
        <f>IF(G124="Windows Server", "F:\appdir", "/appdir")</f>
        <v>F:\appdir</v>
      </c>
      <c r="I125" s="149">
        <f>CEILING(I99*(100+SUMMARY!$C$24)%,1)</f>
        <v>0</v>
      </c>
      <c r="J125" s="296"/>
      <c r="K125" s="296"/>
      <c r="L125" s="296"/>
      <c r="M125" s="296"/>
      <c r="N125" s="296"/>
      <c r="O125" s="296"/>
      <c r="P125" s="296"/>
    </row>
    <row r="126" spans="1:16">
      <c r="A126" s="294"/>
      <c r="B126" s="294"/>
      <c r="C126" s="294"/>
      <c r="D126" s="295"/>
      <c r="E126" s="295"/>
      <c r="F126" s="295"/>
      <c r="G126" s="294"/>
      <c r="H126" s="32" t="str">
        <f>IF(G124="Windows Server", "G:\Log", "/var/log")</f>
        <v>G:\Log</v>
      </c>
      <c r="I126" s="146">
        <f>IF(G124="Windows Server", 50, 20)</f>
        <v>50</v>
      </c>
      <c r="J126" s="296"/>
      <c r="K126" s="296"/>
      <c r="L126" s="296"/>
      <c r="M126" s="296"/>
      <c r="N126" s="296"/>
      <c r="O126" s="296"/>
      <c r="P126" s="296"/>
    </row>
    <row r="127" spans="1:16">
      <c r="A127" s="294"/>
      <c r="B127" s="294"/>
      <c r="C127" s="294"/>
      <c r="D127" s="295"/>
      <c r="E127" s="295"/>
      <c r="F127" s="295"/>
      <c r="G127" s="294"/>
      <c r="H127" s="32" t="str">
        <f>IF(G124="Windows Server", "H:\Backup", "/backup")</f>
        <v>H:\Backup</v>
      </c>
      <c r="I127" s="146">
        <f>IF(G124="Windows Server", 100, 10)</f>
        <v>100</v>
      </c>
      <c r="J127" s="296"/>
      <c r="K127" s="296"/>
      <c r="L127" s="296"/>
      <c r="M127" s="296"/>
      <c r="N127" s="296"/>
      <c r="O127" s="296"/>
      <c r="P127" s="296"/>
    </row>
    <row r="128" spans="1:16" ht="13.5" customHeight="1">
      <c r="A128" s="294"/>
      <c r="B128" s="290">
        <f>((24*7*4)/(24*7*4))*730</f>
        <v>730</v>
      </c>
      <c r="C128" s="294" t="s">
        <v>286</v>
      </c>
      <c r="D128" s="295"/>
      <c r="E128" s="310">
        <f>CEILING(E82*(100+SUMMARY!$C$24)%,1)</f>
        <v>9</v>
      </c>
      <c r="F128" s="310">
        <f>CEILING(F82*(100+SUMMARY!$C$24)%,1)</f>
        <v>30</v>
      </c>
      <c r="G128" s="294" t="s">
        <v>283</v>
      </c>
      <c r="H128" s="32" t="str">
        <f>IF(G128="Windows Server", "C:\", "/")</f>
        <v>C:\</v>
      </c>
      <c r="I128" s="146">
        <f>IF(G128="Windows Server", 150, 20)</f>
        <v>150</v>
      </c>
      <c r="J128" s="296">
        <f>SUM(I128:I131)</f>
        <v>300</v>
      </c>
      <c r="K128" s="297">
        <f>J128 *(IF(C128="AZURE", SUMMARY!C$20, SUMMARY!C$21))</f>
        <v>28.8</v>
      </c>
      <c r="L128" s="298"/>
      <c r="M128" s="299">
        <f>IF(C128="ON PREM", 0, SUMMARY!C$25%)</f>
        <v>0.12</v>
      </c>
      <c r="N128" s="299">
        <f>IF(C128="AWS",SUMMARY!C$26%, 0)</f>
        <v>0</v>
      </c>
      <c r="O128" s="300">
        <f>((SUM(K128:L128))-((SUM(K128:L128))*N128))*(1 + M128)</f>
        <v>32.256000000000007</v>
      </c>
      <c r="P128" s="300">
        <f>O128*12</f>
        <v>387.07200000000012</v>
      </c>
    </row>
    <row r="129" spans="1:16">
      <c r="A129" s="294"/>
      <c r="B129" s="294"/>
      <c r="C129" s="294"/>
      <c r="D129" s="295"/>
      <c r="E129" s="295"/>
      <c r="F129" s="295"/>
      <c r="G129" s="294"/>
      <c r="H129" s="148" t="str">
        <f>IF(G128="Windows Server", "F:\appdir", "/appdir")</f>
        <v>F:\appdir</v>
      </c>
      <c r="I129" s="149">
        <f>CEILING(I103*(100+SUMMARY!$C$24)%,1)</f>
        <v>0</v>
      </c>
      <c r="J129" s="296"/>
      <c r="K129" s="296"/>
      <c r="L129" s="296"/>
      <c r="M129" s="296"/>
      <c r="N129" s="296"/>
      <c r="O129" s="296"/>
      <c r="P129" s="296"/>
    </row>
    <row r="130" spans="1:16">
      <c r="A130" s="294"/>
      <c r="B130" s="294"/>
      <c r="C130" s="294"/>
      <c r="D130" s="295"/>
      <c r="E130" s="295"/>
      <c r="F130" s="295"/>
      <c r="G130" s="294"/>
      <c r="H130" s="32" t="str">
        <f>IF(G128="Windows Server", "G:\Log", "/var/log")</f>
        <v>G:\Log</v>
      </c>
      <c r="I130" s="146">
        <f>IF(G128="Windows Server", 50, 20)</f>
        <v>50</v>
      </c>
      <c r="J130" s="296"/>
      <c r="K130" s="296"/>
      <c r="L130" s="296"/>
      <c r="M130" s="296"/>
      <c r="N130" s="296"/>
      <c r="O130" s="296"/>
      <c r="P130" s="296"/>
    </row>
    <row r="131" spans="1:16">
      <c r="A131" s="294"/>
      <c r="B131" s="294"/>
      <c r="C131" s="294"/>
      <c r="D131" s="295"/>
      <c r="E131" s="295"/>
      <c r="F131" s="295"/>
      <c r="G131" s="294"/>
      <c r="H131" s="32" t="str">
        <f>IF(G128="Windows Server", "H:\Backup", "/backup")</f>
        <v>H:\Backup</v>
      </c>
      <c r="I131" s="146">
        <f>IF(G128="Windows Server", 100, 10)</f>
        <v>100</v>
      </c>
      <c r="J131" s="296"/>
      <c r="K131" s="296"/>
      <c r="L131" s="296"/>
      <c r="M131" s="296"/>
      <c r="N131" s="296"/>
      <c r="O131" s="296"/>
      <c r="P131" s="296"/>
    </row>
    <row r="132" spans="1:16">
      <c r="A132" s="3"/>
      <c r="B132" s="3"/>
      <c r="C132" s="3"/>
      <c r="D132" s="3"/>
      <c r="E132" s="157">
        <f>SUM(E108:E131)</f>
        <v>18</v>
      </c>
      <c r="F132" s="157">
        <f>SUM(F108:F131)</f>
        <v>60</v>
      </c>
      <c r="G132" s="3"/>
      <c r="H132" s="3"/>
      <c r="I132" s="3"/>
      <c r="J132" s="157">
        <f>SUM(J108:J131)</f>
        <v>1800</v>
      </c>
      <c r="K132" s="133">
        <f>SUM(K108:K131)</f>
        <v>172.8</v>
      </c>
      <c r="L132" s="133">
        <f>SUM(L108:L131)</f>
        <v>0</v>
      </c>
      <c r="M132" s="133"/>
      <c r="N132" s="133"/>
      <c r="O132" s="133">
        <f>SUM(O108:O131)</f>
        <v>190.08</v>
      </c>
      <c r="P132" s="133">
        <f>SUM(P108:P131)</f>
        <v>2280.9600000000005</v>
      </c>
    </row>
  </sheetData>
  <mergeCells count="427">
    <mergeCell ref="L128:L131"/>
    <mergeCell ref="M128:M131"/>
    <mergeCell ref="N128:N131"/>
    <mergeCell ref="O128:O131"/>
    <mergeCell ref="P128:P131"/>
    <mergeCell ref="A128:A131"/>
    <mergeCell ref="B128:B131"/>
    <mergeCell ref="C128:C131"/>
    <mergeCell ref="D128:D131"/>
    <mergeCell ref="E128:E131"/>
    <mergeCell ref="F128:F131"/>
    <mergeCell ref="G128:G131"/>
    <mergeCell ref="J128:J131"/>
    <mergeCell ref="K128:K131"/>
    <mergeCell ref="L124:L127"/>
    <mergeCell ref="M124:M127"/>
    <mergeCell ref="N124:N127"/>
    <mergeCell ref="O124:O127"/>
    <mergeCell ref="P124:P127"/>
    <mergeCell ref="A120:A123"/>
    <mergeCell ref="B120:B123"/>
    <mergeCell ref="C120:C123"/>
    <mergeCell ref="D120:D123"/>
    <mergeCell ref="E120:E123"/>
    <mergeCell ref="A124:A127"/>
    <mergeCell ref="B124:B127"/>
    <mergeCell ref="C124:C127"/>
    <mergeCell ref="D124:D127"/>
    <mergeCell ref="E124:E127"/>
    <mergeCell ref="F124:F127"/>
    <mergeCell ref="G124:G127"/>
    <mergeCell ref="J124:J127"/>
    <mergeCell ref="K124:K127"/>
    <mergeCell ref="F120:F123"/>
    <mergeCell ref="G120:G123"/>
    <mergeCell ref="J120:J123"/>
    <mergeCell ref="K120:K123"/>
    <mergeCell ref="L112:L115"/>
    <mergeCell ref="M112:M115"/>
    <mergeCell ref="N112:N115"/>
    <mergeCell ref="O112:O115"/>
    <mergeCell ref="P112:P115"/>
    <mergeCell ref="L116:L119"/>
    <mergeCell ref="M116:M119"/>
    <mergeCell ref="N116:N119"/>
    <mergeCell ref="O116:O119"/>
    <mergeCell ref="P116:P119"/>
    <mergeCell ref="L120:L123"/>
    <mergeCell ref="M120:M123"/>
    <mergeCell ref="N120:N123"/>
    <mergeCell ref="O120:O123"/>
    <mergeCell ref="P120:P123"/>
    <mergeCell ref="A116:A119"/>
    <mergeCell ref="B116:B119"/>
    <mergeCell ref="C116:C119"/>
    <mergeCell ref="D116:D119"/>
    <mergeCell ref="E116:E119"/>
    <mergeCell ref="F116:F119"/>
    <mergeCell ref="G116:G119"/>
    <mergeCell ref="J116:J119"/>
    <mergeCell ref="K116:K119"/>
    <mergeCell ref="A112:A115"/>
    <mergeCell ref="B112:B115"/>
    <mergeCell ref="C112:C115"/>
    <mergeCell ref="D112:D115"/>
    <mergeCell ref="E112:E115"/>
    <mergeCell ref="F112:F115"/>
    <mergeCell ref="G112:G115"/>
    <mergeCell ref="J112:J115"/>
    <mergeCell ref="K112:K115"/>
    <mergeCell ref="P102:P105"/>
    <mergeCell ref="B107:P107"/>
    <mergeCell ref="A108:A111"/>
    <mergeCell ref="B108:B111"/>
    <mergeCell ref="C108:C111"/>
    <mergeCell ref="D108:D111"/>
    <mergeCell ref="E108:E111"/>
    <mergeCell ref="F108:F111"/>
    <mergeCell ref="G108:G111"/>
    <mergeCell ref="J108:J111"/>
    <mergeCell ref="K108:K111"/>
    <mergeCell ref="L108:L111"/>
    <mergeCell ref="M108:M111"/>
    <mergeCell ref="N108:N111"/>
    <mergeCell ref="O108:O111"/>
    <mergeCell ref="P108:P111"/>
    <mergeCell ref="A102:A105"/>
    <mergeCell ref="B102:B105"/>
    <mergeCell ref="C102:C105"/>
    <mergeCell ref="D102:D105"/>
    <mergeCell ref="E102:E105"/>
    <mergeCell ref="F102:F105"/>
    <mergeCell ref="G102:G105"/>
    <mergeCell ref="J102:J105"/>
    <mergeCell ref="K102:K105"/>
    <mergeCell ref="L94:L97"/>
    <mergeCell ref="M94:M97"/>
    <mergeCell ref="N94:N97"/>
    <mergeCell ref="O94:O97"/>
    <mergeCell ref="L102:L105"/>
    <mergeCell ref="M102:M105"/>
    <mergeCell ref="N102:N105"/>
    <mergeCell ref="O102:O105"/>
    <mergeCell ref="P94:P97"/>
    <mergeCell ref="A98:A101"/>
    <mergeCell ref="B98:B101"/>
    <mergeCell ref="C98:C101"/>
    <mergeCell ref="D98:D101"/>
    <mergeCell ref="E98:E101"/>
    <mergeCell ref="F98:F101"/>
    <mergeCell ref="G98:G101"/>
    <mergeCell ref="J98:J101"/>
    <mergeCell ref="K98:K101"/>
    <mergeCell ref="L98:L101"/>
    <mergeCell ref="M98:M101"/>
    <mergeCell ref="N98:N101"/>
    <mergeCell ref="O98:O101"/>
    <mergeCell ref="P98:P101"/>
    <mergeCell ref="A94:A97"/>
    <mergeCell ref="B94:B97"/>
    <mergeCell ref="C94:C97"/>
    <mergeCell ref="D94:D97"/>
    <mergeCell ref="E94:E97"/>
    <mergeCell ref="F94:F97"/>
    <mergeCell ref="G94:G97"/>
    <mergeCell ref="J94:J97"/>
    <mergeCell ref="K94:K97"/>
    <mergeCell ref="L90:L93"/>
    <mergeCell ref="M90:M93"/>
    <mergeCell ref="N90:N93"/>
    <mergeCell ref="O90:O93"/>
    <mergeCell ref="P90:P93"/>
    <mergeCell ref="A86:A89"/>
    <mergeCell ref="B86:B89"/>
    <mergeCell ref="C86:C89"/>
    <mergeCell ref="D86:D89"/>
    <mergeCell ref="E86:E89"/>
    <mergeCell ref="A90:A93"/>
    <mergeCell ref="B90:B93"/>
    <mergeCell ref="C90:C93"/>
    <mergeCell ref="D90:D93"/>
    <mergeCell ref="E90:E93"/>
    <mergeCell ref="F90:F93"/>
    <mergeCell ref="G90:G93"/>
    <mergeCell ref="J90:J93"/>
    <mergeCell ref="K90:K93"/>
    <mergeCell ref="F86:F89"/>
    <mergeCell ref="G86:G89"/>
    <mergeCell ref="J86:J89"/>
    <mergeCell ref="K86:K89"/>
    <mergeCell ref="L76:L79"/>
    <mergeCell ref="M76:M79"/>
    <mergeCell ref="N76:N79"/>
    <mergeCell ref="O76:O79"/>
    <mergeCell ref="P76:P79"/>
    <mergeCell ref="B81:P81"/>
    <mergeCell ref="L82:L85"/>
    <mergeCell ref="M82:M85"/>
    <mergeCell ref="N82:N85"/>
    <mergeCell ref="O82:O85"/>
    <mergeCell ref="P82:P85"/>
    <mergeCell ref="L86:L89"/>
    <mergeCell ref="M86:M89"/>
    <mergeCell ref="N86:N89"/>
    <mergeCell ref="O86:O89"/>
    <mergeCell ref="P86:P89"/>
    <mergeCell ref="A82:A85"/>
    <mergeCell ref="B82:B85"/>
    <mergeCell ref="C82:C85"/>
    <mergeCell ref="D82:D85"/>
    <mergeCell ref="E82:E85"/>
    <mergeCell ref="F82:F85"/>
    <mergeCell ref="G82:G85"/>
    <mergeCell ref="J82:J85"/>
    <mergeCell ref="K82:K85"/>
    <mergeCell ref="A76:A79"/>
    <mergeCell ref="B76:B79"/>
    <mergeCell ref="C76:C79"/>
    <mergeCell ref="D76:D79"/>
    <mergeCell ref="E76:E79"/>
    <mergeCell ref="F76:F79"/>
    <mergeCell ref="G76:G79"/>
    <mergeCell ref="J76:J79"/>
    <mergeCell ref="K76:K79"/>
    <mergeCell ref="L72:L75"/>
    <mergeCell ref="M72:M75"/>
    <mergeCell ref="N72:N75"/>
    <mergeCell ref="O72:O75"/>
    <mergeCell ref="P72:P75"/>
    <mergeCell ref="A68:A71"/>
    <mergeCell ref="B68:B71"/>
    <mergeCell ref="C68:C71"/>
    <mergeCell ref="D68:D71"/>
    <mergeCell ref="E68:E71"/>
    <mergeCell ref="A72:A75"/>
    <mergeCell ref="B72:B75"/>
    <mergeCell ref="C72:C75"/>
    <mergeCell ref="D72:D75"/>
    <mergeCell ref="E72:E75"/>
    <mergeCell ref="F72:F75"/>
    <mergeCell ref="G72:G75"/>
    <mergeCell ref="J72:J75"/>
    <mergeCell ref="K72:K75"/>
    <mergeCell ref="F68:F71"/>
    <mergeCell ref="G68:G71"/>
    <mergeCell ref="J68:J71"/>
    <mergeCell ref="K68:K71"/>
    <mergeCell ref="L60:L63"/>
    <mergeCell ref="M60:M63"/>
    <mergeCell ref="N60:N63"/>
    <mergeCell ref="O60:O63"/>
    <mergeCell ref="P60:P63"/>
    <mergeCell ref="L64:L67"/>
    <mergeCell ref="M64:M67"/>
    <mergeCell ref="N64:N67"/>
    <mergeCell ref="O64:O67"/>
    <mergeCell ref="P64:P67"/>
    <mergeCell ref="L68:L71"/>
    <mergeCell ref="M68:M71"/>
    <mergeCell ref="N68:N71"/>
    <mergeCell ref="O68:O71"/>
    <mergeCell ref="P68:P71"/>
    <mergeCell ref="A64:A67"/>
    <mergeCell ref="B64:B67"/>
    <mergeCell ref="C64:C67"/>
    <mergeCell ref="D64:D67"/>
    <mergeCell ref="E64:E67"/>
    <mergeCell ref="F64:F67"/>
    <mergeCell ref="G64:G67"/>
    <mergeCell ref="J64:J67"/>
    <mergeCell ref="K64:K67"/>
    <mergeCell ref="A60:A63"/>
    <mergeCell ref="B60:B63"/>
    <mergeCell ref="C60:C63"/>
    <mergeCell ref="D60:D63"/>
    <mergeCell ref="E60:E63"/>
    <mergeCell ref="F60:F63"/>
    <mergeCell ref="G60:G63"/>
    <mergeCell ref="J60:J63"/>
    <mergeCell ref="K60:K63"/>
    <mergeCell ref="P50:P53"/>
    <mergeCell ref="B55:P55"/>
    <mergeCell ref="A56:A59"/>
    <mergeCell ref="B56:B59"/>
    <mergeCell ref="C56:C59"/>
    <mergeCell ref="D56:D59"/>
    <mergeCell ref="E56:E59"/>
    <mergeCell ref="F56:F59"/>
    <mergeCell ref="G56:G59"/>
    <mergeCell ref="J56:J59"/>
    <mergeCell ref="K56:K59"/>
    <mergeCell ref="L56:L59"/>
    <mergeCell ref="M56:M59"/>
    <mergeCell ref="N56:N59"/>
    <mergeCell ref="O56:O59"/>
    <mergeCell ref="P56:P59"/>
    <mergeCell ref="A50:A53"/>
    <mergeCell ref="B50:B53"/>
    <mergeCell ref="C50:C53"/>
    <mergeCell ref="D50:D53"/>
    <mergeCell ref="E50:E53"/>
    <mergeCell ref="F50:F53"/>
    <mergeCell ref="G50:G53"/>
    <mergeCell ref="J50:J53"/>
    <mergeCell ref="K50:K53"/>
    <mergeCell ref="L42:L45"/>
    <mergeCell ref="M42:M45"/>
    <mergeCell ref="N42:N45"/>
    <mergeCell ref="O42:O45"/>
    <mergeCell ref="L50:L53"/>
    <mergeCell ref="M50:M53"/>
    <mergeCell ref="N50:N53"/>
    <mergeCell ref="O50:O53"/>
    <mergeCell ref="P42:P45"/>
    <mergeCell ref="A46:A49"/>
    <mergeCell ref="B46:B49"/>
    <mergeCell ref="C46:C49"/>
    <mergeCell ref="D46:D49"/>
    <mergeCell ref="E46:E49"/>
    <mergeCell ref="F46:F49"/>
    <mergeCell ref="G46:G49"/>
    <mergeCell ref="J46:J49"/>
    <mergeCell ref="K46:K49"/>
    <mergeCell ref="L46:L49"/>
    <mergeCell ref="M46:M49"/>
    <mergeCell ref="N46:N49"/>
    <mergeCell ref="O46:O49"/>
    <mergeCell ref="P46:P49"/>
    <mergeCell ref="A42:A45"/>
    <mergeCell ref="B42:B45"/>
    <mergeCell ref="C42:C45"/>
    <mergeCell ref="D42:D45"/>
    <mergeCell ref="E42:E45"/>
    <mergeCell ref="F42:F45"/>
    <mergeCell ref="G42:G45"/>
    <mergeCell ref="J42:J45"/>
    <mergeCell ref="K42:K45"/>
    <mergeCell ref="L38:L41"/>
    <mergeCell ref="M38:M41"/>
    <mergeCell ref="N38:N41"/>
    <mergeCell ref="O38:O41"/>
    <mergeCell ref="P38:P41"/>
    <mergeCell ref="A34:A37"/>
    <mergeCell ref="B34:B37"/>
    <mergeCell ref="C34:C37"/>
    <mergeCell ref="D34:D37"/>
    <mergeCell ref="E34:E37"/>
    <mergeCell ref="A38:A41"/>
    <mergeCell ref="B38:B41"/>
    <mergeCell ref="C38:C41"/>
    <mergeCell ref="D38:D41"/>
    <mergeCell ref="E38:E41"/>
    <mergeCell ref="F38:F41"/>
    <mergeCell ref="G38:G41"/>
    <mergeCell ref="J38:J41"/>
    <mergeCell ref="K38:K41"/>
    <mergeCell ref="F34:F37"/>
    <mergeCell ref="G34:G37"/>
    <mergeCell ref="J34:J37"/>
    <mergeCell ref="K34:K37"/>
    <mergeCell ref="L24:L27"/>
    <mergeCell ref="M24:M27"/>
    <mergeCell ref="N24:N27"/>
    <mergeCell ref="O24:O27"/>
    <mergeCell ref="P24:P27"/>
    <mergeCell ref="B29:P29"/>
    <mergeCell ref="L30:L33"/>
    <mergeCell ref="M30:M33"/>
    <mergeCell ref="N30:N33"/>
    <mergeCell ref="O30:O33"/>
    <mergeCell ref="P30:P33"/>
    <mergeCell ref="L34:L37"/>
    <mergeCell ref="M34:M37"/>
    <mergeCell ref="N34:N37"/>
    <mergeCell ref="O34:O37"/>
    <mergeCell ref="P34:P37"/>
    <mergeCell ref="A30:A33"/>
    <mergeCell ref="B30:B33"/>
    <mergeCell ref="C30:C33"/>
    <mergeCell ref="D30:D33"/>
    <mergeCell ref="E30:E33"/>
    <mergeCell ref="F30:F33"/>
    <mergeCell ref="G30:G33"/>
    <mergeCell ref="J30:J33"/>
    <mergeCell ref="K30:K33"/>
    <mergeCell ref="A24:A27"/>
    <mergeCell ref="B24:B27"/>
    <mergeCell ref="C24:C27"/>
    <mergeCell ref="D24:D27"/>
    <mergeCell ref="E24:E27"/>
    <mergeCell ref="F24:F27"/>
    <mergeCell ref="G24:G27"/>
    <mergeCell ref="J24:J27"/>
    <mergeCell ref="K24:K27"/>
    <mergeCell ref="L20:L23"/>
    <mergeCell ref="M20:M23"/>
    <mergeCell ref="N20:N23"/>
    <mergeCell ref="O20:O23"/>
    <mergeCell ref="P20:P23"/>
    <mergeCell ref="A16:A19"/>
    <mergeCell ref="B16:B19"/>
    <mergeCell ref="C16:C19"/>
    <mergeCell ref="D16:D19"/>
    <mergeCell ref="E16:E19"/>
    <mergeCell ref="A20:A23"/>
    <mergeCell ref="B20:B23"/>
    <mergeCell ref="C20:C23"/>
    <mergeCell ref="D20:D23"/>
    <mergeCell ref="E20:E23"/>
    <mergeCell ref="F20:F23"/>
    <mergeCell ref="G20:G23"/>
    <mergeCell ref="J20:J23"/>
    <mergeCell ref="K20:K23"/>
    <mergeCell ref="F16:F19"/>
    <mergeCell ref="G16:G19"/>
    <mergeCell ref="J16:J19"/>
    <mergeCell ref="K16:K19"/>
    <mergeCell ref="L8:L11"/>
    <mergeCell ref="M8:M11"/>
    <mergeCell ref="N8:N11"/>
    <mergeCell ref="O8:O11"/>
    <mergeCell ref="P8:P11"/>
    <mergeCell ref="L12:L15"/>
    <mergeCell ref="M12:M15"/>
    <mergeCell ref="N12:N15"/>
    <mergeCell ref="O12:O15"/>
    <mergeCell ref="P12:P15"/>
    <mergeCell ref="L16:L19"/>
    <mergeCell ref="M16:M19"/>
    <mergeCell ref="N16:N19"/>
    <mergeCell ref="O16:O19"/>
    <mergeCell ref="P16:P19"/>
    <mergeCell ref="A12:A15"/>
    <mergeCell ref="B12:B15"/>
    <mergeCell ref="C12:C15"/>
    <mergeCell ref="D12:D15"/>
    <mergeCell ref="E12:E15"/>
    <mergeCell ref="F12:F15"/>
    <mergeCell ref="G12:G15"/>
    <mergeCell ref="J12:J15"/>
    <mergeCell ref="K12:K15"/>
    <mergeCell ref="A8:A11"/>
    <mergeCell ref="B8:B11"/>
    <mergeCell ref="C8:C11"/>
    <mergeCell ref="D8:D11"/>
    <mergeCell ref="E8:E11"/>
    <mergeCell ref="F8:F11"/>
    <mergeCell ref="G8:G11"/>
    <mergeCell ref="J8:J11"/>
    <mergeCell ref="K8:K11"/>
    <mergeCell ref="A1:P1"/>
    <mergeCell ref="B2:P2"/>
    <mergeCell ref="H3:I3"/>
    <mergeCell ref="A4:A7"/>
    <mergeCell ref="B4:B7"/>
    <mergeCell ref="C4:C7"/>
    <mergeCell ref="D4:D7"/>
    <mergeCell ref="E4:E7"/>
    <mergeCell ref="F4:F7"/>
    <mergeCell ref="G4:G7"/>
    <mergeCell ref="J4:J7"/>
    <mergeCell ref="K4:K7"/>
    <mergeCell ref="L4:L7"/>
    <mergeCell ref="M4:M7"/>
    <mergeCell ref="N4:N7"/>
    <mergeCell ref="O4:O7"/>
    <mergeCell ref="P4:P7"/>
  </mergeCells>
  <dataValidations count="2">
    <dataValidation type="list" allowBlank="1" showInputMessage="1" showErrorMessage="1" sqref="G4:G27 G30:G53 G56:G79 G82:G105 G108:G131" xr:uid="{00000000-0002-0000-0E00-000000000000}">
      <formula1>"RHEL,Windows Server,Oracle Linux,Ubuntu,Debian"</formula1>
      <formula2>0</formula2>
    </dataValidation>
    <dataValidation type="list" allowBlank="1" showInputMessage="1" showErrorMessage="1" sqref="C4:C27 C30:C53 C56:C79 C82:C105 C108:C131" xr:uid="{00000000-0002-0000-0E00-000001000000}">
      <formula1>"ON PREM,AWS,AZURE,EXACC"</formula1>
      <formula2>0</formula2>
    </dataValidation>
  </dataValidations>
  <hyperlinks>
    <hyperlink ref="H6" r:id="rId1" display="file:///H:/backup" xr:uid="{00000000-0004-0000-0E00-000000000000}"/>
    <hyperlink ref="H7" r:id="rId2" display="file:///G:/log" xr:uid="{00000000-0004-0000-0E00-000001000000}"/>
    <hyperlink ref="H10" r:id="rId3" display="file:///H:/backup" xr:uid="{00000000-0004-0000-0E00-000002000000}"/>
    <hyperlink ref="H11" r:id="rId4" display="file:///G:/log" xr:uid="{00000000-0004-0000-0E00-000003000000}"/>
    <hyperlink ref="H14" r:id="rId5" display="file:///H:/backup" xr:uid="{00000000-0004-0000-0E00-000004000000}"/>
    <hyperlink ref="H15" r:id="rId6" display="file:///G:/log" xr:uid="{00000000-0004-0000-0E00-000005000000}"/>
    <hyperlink ref="H18" r:id="rId7" display="file:///H:/backup" xr:uid="{00000000-0004-0000-0E00-000006000000}"/>
    <hyperlink ref="H19" r:id="rId8" display="file:///G:/log" xr:uid="{00000000-0004-0000-0E00-000007000000}"/>
    <hyperlink ref="H22" r:id="rId9" display="file:///H:/backup" xr:uid="{00000000-0004-0000-0E00-000008000000}"/>
    <hyperlink ref="H23" r:id="rId10" display="file:///G:/log" xr:uid="{00000000-0004-0000-0E00-000009000000}"/>
    <hyperlink ref="H26" r:id="rId11" display="file:///H:/backup" xr:uid="{00000000-0004-0000-0E00-00000A000000}"/>
    <hyperlink ref="H27" r:id="rId12" display="file:///G:/log" xr:uid="{00000000-0004-0000-0E00-00000B000000}"/>
    <hyperlink ref="H32" r:id="rId13" display="file:///H:/backup" xr:uid="{00000000-0004-0000-0E00-00000C000000}"/>
    <hyperlink ref="H33" r:id="rId14" display="file:///G:/log" xr:uid="{00000000-0004-0000-0E00-00000D000000}"/>
    <hyperlink ref="H36" r:id="rId15" display="file:///H:/backup" xr:uid="{00000000-0004-0000-0E00-00000E000000}"/>
    <hyperlink ref="H37" r:id="rId16" display="file:///G:/log" xr:uid="{00000000-0004-0000-0E00-00000F000000}"/>
    <hyperlink ref="H40" r:id="rId17" display="file:///H:/backup" xr:uid="{00000000-0004-0000-0E00-000010000000}"/>
    <hyperlink ref="H41" r:id="rId18" display="file:///G:/log" xr:uid="{00000000-0004-0000-0E00-000011000000}"/>
    <hyperlink ref="H44" r:id="rId19" display="file:///H:/backup" xr:uid="{00000000-0004-0000-0E00-000012000000}"/>
    <hyperlink ref="H45" r:id="rId20" display="file:///G:/log" xr:uid="{00000000-0004-0000-0E00-000013000000}"/>
    <hyperlink ref="H48" r:id="rId21" display="file:///H:/backup" xr:uid="{00000000-0004-0000-0E00-000014000000}"/>
    <hyperlink ref="H49" r:id="rId22" display="file:///G:/log" xr:uid="{00000000-0004-0000-0E00-000015000000}"/>
    <hyperlink ref="H52" r:id="rId23" display="file:///H:/backup" xr:uid="{00000000-0004-0000-0E00-000016000000}"/>
    <hyperlink ref="H53" r:id="rId24" display="file:///G:/log" xr:uid="{00000000-0004-0000-0E00-000017000000}"/>
    <hyperlink ref="H58" r:id="rId25" display="file:///H:/backup" xr:uid="{00000000-0004-0000-0E00-000018000000}"/>
    <hyperlink ref="H59" r:id="rId26" display="file:///G:/log" xr:uid="{00000000-0004-0000-0E00-000019000000}"/>
    <hyperlink ref="H62" r:id="rId27" display="file:///H:/backup" xr:uid="{00000000-0004-0000-0E00-00001A000000}"/>
    <hyperlink ref="H63" r:id="rId28" display="file:///G:/log" xr:uid="{00000000-0004-0000-0E00-00001B000000}"/>
    <hyperlink ref="H66" r:id="rId29" display="file:///H:/backup" xr:uid="{00000000-0004-0000-0E00-00001C000000}"/>
    <hyperlink ref="H67" r:id="rId30" display="file:///G:/log" xr:uid="{00000000-0004-0000-0E00-00001D000000}"/>
    <hyperlink ref="H70" r:id="rId31" display="file:///H:/backup" xr:uid="{00000000-0004-0000-0E00-00001E000000}"/>
    <hyperlink ref="H71" r:id="rId32" display="file:///G:/log" xr:uid="{00000000-0004-0000-0E00-00001F000000}"/>
    <hyperlink ref="H74" r:id="rId33" display="file:///H:/backup" xr:uid="{00000000-0004-0000-0E00-000020000000}"/>
    <hyperlink ref="H75" r:id="rId34" display="file:///G:/log" xr:uid="{00000000-0004-0000-0E00-000021000000}"/>
    <hyperlink ref="H78" r:id="rId35" display="file:///H:/backup" xr:uid="{00000000-0004-0000-0E00-000022000000}"/>
    <hyperlink ref="H79" r:id="rId36" display="file:///G:/log" xr:uid="{00000000-0004-0000-0E00-000023000000}"/>
    <hyperlink ref="H84" r:id="rId37" display="file:///H:/backup" xr:uid="{00000000-0004-0000-0E00-000024000000}"/>
    <hyperlink ref="H85" r:id="rId38" display="file:///G:/log" xr:uid="{00000000-0004-0000-0E00-000025000000}"/>
    <hyperlink ref="H88" r:id="rId39" display="file:///H:/backup" xr:uid="{00000000-0004-0000-0E00-000026000000}"/>
    <hyperlink ref="H89" r:id="rId40" display="file:///G:/log" xr:uid="{00000000-0004-0000-0E00-000027000000}"/>
    <hyperlink ref="H92" r:id="rId41" display="file:///H:/backup" xr:uid="{00000000-0004-0000-0E00-000028000000}"/>
    <hyperlink ref="H93" r:id="rId42" display="file:///G:/log" xr:uid="{00000000-0004-0000-0E00-000029000000}"/>
    <hyperlink ref="H96" r:id="rId43" display="file:///H:/backup" xr:uid="{00000000-0004-0000-0E00-00002A000000}"/>
    <hyperlink ref="H97" r:id="rId44" display="file:///G:/log" xr:uid="{00000000-0004-0000-0E00-00002B000000}"/>
    <hyperlink ref="H100" r:id="rId45" display="file:///H:/backup" xr:uid="{00000000-0004-0000-0E00-00002C000000}"/>
    <hyperlink ref="H101" r:id="rId46" display="file:///G:/log" xr:uid="{00000000-0004-0000-0E00-00002D000000}"/>
    <hyperlink ref="H104" r:id="rId47" display="file:///H:/backup" xr:uid="{00000000-0004-0000-0E00-00002E000000}"/>
    <hyperlink ref="H105" r:id="rId48" display="file:///G:/log" xr:uid="{00000000-0004-0000-0E00-00002F000000}"/>
    <hyperlink ref="H110" r:id="rId49" display="file:///H:/backup" xr:uid="{00000000-0004-0000-0E00-000030000000}"/>
    <hyperlink ref="H111" r:id="rId50" display="file:///G:/log" xr:uid="{00000000-0004-0000-0E00-000031000000}"/>
    <hyperlink ref="H114" r:id="rId51" display="file:///H:/backup" xr:uid="{00000000-0004-0000-0E00-000032000000}"/>
    <hyperlink ref="H115" r:id="rId52" display="file:///G:/log" xr:uid="{00000000-0004-0000-0E00-000033000000}"/>
    <hyperlink ref="H118" r:id="rId53" display="file:///H:/backup" xr:uid="{00000000-0004-0000-0E00-000034000000}"/>
    <hyperlink ref="H119" r:id="rId54" display="file:///G:/log" xr:uid="{00000000-0004-0000-0E00-000035000000}"/>
    <hyperlink ref="H122" r:id="rId55" display="file:///H:/backup" xr:uid="{00000000-0004-0000-0E00-000036000000}"/>
    <hyperlink ref="H123" r:id="rId56" display="file:///G:/log" xr:uid="{00000000-0004-0000-0E00-000037000000}"/>
    <hyperlink ref="H126" r:id="rId57" display="file:///H:/backup" xr:uid="{00000000-0004-0000-0E00-000038000000}"/>
    <hyperlink ref="H127" r:id="rId58" display="file:///G:/log" xr:uid="{00000000-0004-0000-0E00-000039000000}"/>
    <hyperlink ref="H130" r:id="rId59" display="file:///H:/backup" xr:uid="{00000000-0004-0000-0E00-00003A000000}"/>
    <hyperlink ref="H131" r:id="rId60" display="file:///G:/log" xr:uid="{00000000-0004-0000-0E00-00003B000000}"/>
  </hyperlinks>
  <pageMargins left="0.7" right="0.7" top="0.75" bottom="0.75" header="0.511811023622047" footer="0.511811023622047"/>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4472C4"/>
  </sheetPr>
  <dimension ref="A1:AMK132"/>
  <sheetViews>
    <sheetView zoomScale="51" zoomScaleNormal="51" workbookViewId="0">
      <selection activeCell="C8" sqref="C8"/>
    </sheetView>
  </sheetViews>
  <sheetFormatPr defaultColWidth="0" defaultRowHeight="13.5"/>
  <cols>
    <col min="1" max="1" width="37.42578125" style="142" customWidth="1"/>
    <col min="2" max="3" width="22.42578125" style="142" customWidth="1"/>
    <col min="4" max="4" width="17.42578125" style="142" customWidth="1"/>
    <col min="5" max="5" width="10.42578125" style="142" customWidth="1"/>
    <col min="6" max="6" width="13.42578125" style="142" customWidth="1"/>
    <col min="7" max="8" width="21.5703125" style="142" customWidth="1"/>
    <col min="9" max="9" width="17.42578125" style="142" customWidth="1"/>
    <col min="10" max="10" width="15.42578125" style="142" customWidth="1"/>
    <col min="11" max="11" width="15.5703125" style="143" customWidth="1"/>
    <col min="12" max="12" width="31.140625" style="143" customWidth="1"/>
    <col min="13" max="14" width="19.5703125" style="143" customWidth="1"/>
    <col min="15" max="15" width="23.42578125" style="143" customWidth="1"/>
    <col min="16" max="16" width="14.5703125" style="143" customWidth="1"/>
    <col min="17" max="1025" width="8.5703125" style="50" hidden="1" customWidth="1"/>
    <col min="1026" max="16384" width="8.5703125" style="23" hidden="1"/>
  </cols>
  <sheetData>
    <row r="1" spans="1:16" ht="25.5" customHeight="1">
      <c r="A1" s="257" t="s">
        <v>297</v>
      </c>
      <c r="B1" s="257"/>
      <c r="C1" s="257"/>
      <c r="D1" s="257"/>
      <c r="E1" s="257"/>
      <c r="F1" s="257"/>
      <c r="G1" s="257"/>
      <c r="H1" s="257"/>
      <c r="I1" s="257"/>
      <c r="J1" s="257"/>
      <c r="K1" s="257"/>
      <c r="L1" s="257"/>
      <c r="M1" s="257"/>
      <c r="N1" s="257"/>
      <c r="O1" s="257"/>
      <c r="P1" s="257"/>
    </row>
    <row r="2" spans="1:16" s="129" customFormat="1">
      <c r="A2" s="144" t="s">
        <v>272</v>
      </c>
      <c r="B2" s="301"/>
      <c r="C2" s="301"/>
      <c r="D2" s="301"/>
      <c r="E2" s="301"/>
      <c r="F2" s="301"/>
      <c r="G2" s="301"/>
      <c r="H2" s="301"/>
      <c r="I2" s="301"/>
      <c r="J2" s="301"/>
      <c r="K2" s="301"/>
      <c r="L2" s="301"/>
      <c r="M2" s="301"/>
      <c r="N2" s="301"/>
      <c r="O2" s="301"/>
      <c r="P2" s="301"/>
    </row>
    <row r="3" spans="1:16" ht="25.5" customHeight="1">
      <c r="A3" s="65" t="s">
        <v>12</v>
      </c>
      <c r="B3" s="65" t="s">
        <v>246</v>
      </c>
      <c r="C3" s="88" t="s">
        <v>273</v>
      </c>
      <c r="D3" s="145" t="s">
        <v>274</v>
      </c>
      <c r="E3" s="65" t="s">
        <v>99</v>
      </c>
      <c r="F3" s="65" t="s">
        <v>100</v>
      </c>
      <c r="G3" s="65" t="s">
        <v>275</v>
      </c>
      <c r="H3" s="293" t="s">
        <v>276</v>
      </c>
      <c r="I3" s="293"/>
      <c r="J3" s="65" t="s">
        <v>277</v>
      </c>
      <c r="K3" s="114" t="s">
        <v>278</v>
      </c>
      <c r="L3" s="114" t="s">
        <v>247</v>
      </c>
      <c r="M3" s="114" t="s">
        <v>279</v>
      </c>
      <c r="N3" s="114" t="s">
        <v>280</v>
      </c>
      <c r="O3" s="114" t="s">
        <v>281</v>
      </c>
      <c r="P3" s="114" t="s">
        <v>250</v>
      </c>
    </row>
    <row r="4" spans="1:16" s="147" customFormat="1" ht="12" customHeight="1">
      <c r="A4" s="294"/>
      <c r="B4" s="290">
        <f>((12*7*4)/(24*7*4))*730</f>
        <v>365</v>
      </c>
      <c r="C4" s="294" t="s">
        <v>282</v>
      </c>
      <c r="D4" s="295"/>
      <c r="E4" s="295"/>
      <c r="F4" s="295"/>
      <c r="G4" s="294" t="s">
        <v>283</v>
      </c>
      <c r="H4" s="32" t="str">
        <f>IF(G4="Windows Server", "C:\", "/")</f>
        <v>C:\</v>
      </c>
      <c r="I4" s="146">
        <f>IF(G4="Windows Server", 150, 20)</f>
        <v>150</v>
      </c>
      <c r="J4" s="296">
        <f>SUM(I4:I7)</f>
        <v>300</v>
      </c>
      <c r="K4" s="297">
        <f>J4 *(IF(C4="AZURE", SUMMARY!C$20, SUMMARY!C$21))</f>
        <v>28.8</v>
      </c>
      <c r="L4" s="298">
        <v>2</v>
      </c>
      <c r="M4" s="299">
        <f>IF(C4="ON PREM", 0, SUMMARY!C$25%)</f>
        <v>0.12</v>
      </c>
      <c r="N4" s="299">
        <f>IF(C4="AWS",SUMMARY!C$26%, 0)</f>
        <v>0.13</v>
      </c>
      <c r="O4" s="300">
        <f>((SUM(K4:L4))-((SUM(K4:L4))*N4))*(1 + M4)</f>
        <v>30.011520000000001</v>
      </c>
      <c r="P4" s="300">
        <f>O4*12</f>
        <v>360.13824</v>
      </c>
    </row>
    <row r="5" spans="1:16" s="147" customFormat="1" ht="12" customHeight="1">
      <c r="A5" s="294"/>
      <c r="B5" s="294"/>
      <c r="C5" s="294"/>
      <c r="D5" s="295"/>
      <c r="E5" s="295"/>
      <c r="F5" s="295"/>
      <c r="G5" s="294"/>
      <c r="H5" s="148" t="str">
        <f>IF(G4="Windows Server", "F:\appdir", "/appdir")</f>
        <v>F:\appdir</v>
      </c>
      <c r="I5" s="149"/>
      <c r="J5" s="296"/>
      <c r="K5" s="296"/>
      <c r="L5" s="296"/>
      <c r="M5" s="296"/>
      <c r="N5" s="296"/>
      <c r="O5" s="296"/>
      <c r="P5" s="296"/>
    </row>
    <row r="6" spans="1:16" s="147" customFormat="1" ht="12" customHeight="1">
      <c r="A6" s="294"/>
      <c r="B6" s="294"/>
      <c r="C6" s="294"/>
      <c r="D6" s="295"/>
      <c r="E6" s="295"/>
      <c r="F6" s="295"/>
      <c r="G6" s="294"/>
      <c r="H6" s="32" t="str">
        <f>IF(G4="Windows Server", "G:\Log", "/var/log")</f>
        <v>G:\Log</v>
      </c>
      <c r="I6" s="146">
        <f>IF(G4="Windows Server", 50, 20)</f>
        <v>50</v>
      </c>
      <c r="J6" s="296"/>
      <c r="K6" s="296"/>
      <c r="L6" s="296"/>
      <c r="M6" s="296"/>
      <c r="N6" s="296"/>
      <c r="O6" s="296"/>
      <c r="P6" s="296"/>
    </row>
    <row r="7" spans="1:16" s="147" customFormat="1" ht="12" customHeight="1">
      <c r="A7" s="294"/>
      <c r="B7" s="294"/>
      <c r="C7" s="294"/>
      <c r="D7" s="295"/>
      <c r="E7" s="295"/>
      <c r="F7" s="295"/>
      <c r="G7" s="294"/>
      <c r="H7" s="32" t="str">
        <f>IF(G4="Windows Server", "H:\Backup", "/backup")</f>
        <v>H:\Backup</v>
      </c>
      <c r="I7" s="146">
        <f>IF(G4="Windows Server", 100, 10)</f>
        <v>100</v>
      </c>
      <c r="J7" s="296"/>
      <c r="K7" s="296"/>
      <c r="L7" s="296"/>
      <c r="M7" s="296"/>
      <c r="N7" s="296"/>
      <c r="O7" s="296"/>
      <c r="P7" s="296"/>
    </row>
    <row r="8" spans="1:16" s="147" customFormat="1" ht="12" customHeight="1">
      <c r="A8" s="294"/>
      <c r="B8" s="290">
        <f>((12*7*4)/(24*7*4))*730</f>
        <v>365</v>
      </c>
      <c r="C8" s="294" t="s">
        <v>282</v>
      </c>
      <c r="D8" s="295"/>
      <c r="E8" s="295"/>
      <c r="F8" s="295"/>
      <c r="G8" s="294" t="s">
        <v>283</v>
      </c>
      <c r="H8" s="32" t="str">
        <f>IF(G8="Windows Server", "C:\", "/")</f>
        <v>C:\</v>
      </c>
      <c r="I8" s="146">
        <f>IF(G8="Windows Server", 150, 20)</f>
        <v>150</v>
      </c>
      <c r="J8" s="296">
        <f>SUM(I8:I11)</f>
        <v>300</v>
      </c>
      <c r="K8" s="297">
        <f>J8 *(IF(C8="AZURE", SUMMARY!C$20, SUMMARY!C$21))</f>
        <v>28.8</v>
      </c>
      <c r="L8" s="298"/>
      <c r="M8" s="299">
        <f>IF(C8="ON PREM", 0, SUMMARY!C$25%)</f>
        <v>0.12</v>
      </c>
      <c r="N8" s="299">
        <f>IF(C8="AWS",SUMMARY!C$26%, 0)</f>
        <v>0.13</v>
      </c>
      <c r="O8" s="300">
        <f>((SUM(K8:L8))-((SUM(K8:L8))*N8))*(1 + M8)</f>
        <v>28.062720000000002</v>
      </c>
      <c r="P8" s="300">
        <f>O8*12</f>
        <v>336.75264000000004</v>
      </c>
    </row>
    <row r="9" spans="1:16" s="147" customFormat="1" ht="12" customHeight="1">
      <c r="A9" s="294"/>
      <c r="B9" s="294"/>
      <c r="C9" s="294"/>
      <c r="D9" s="295"/>
      <c r="E9" s="295"/>
      <c r="F9" s="295"/>
      <c r="G9" s="294"/>
      <c r="H9" s="148" t="str">
        <f>IF(G8="Windows Server", "F:\appdir", "/appdir")</f>
        <v>F:\appdir</v>
      </c>
      <c r="I9" s="149"/>
      <c r="J9" s="296"/>
      <c r="K9" s="296"/>
      <c r="L9" s="296"/>
      <c r="M9" s="296"/>
      <c r="N9" s="296"/>
      <c r="O9" s="296"/>
      <c r="P9" s="296"/>
    </row>
    <row r="10" spans="1:16" s="147" customFormat="1" ht="12" customHeight="1">
      <c r="A10" s="294"/>
      <c r="B10" s="294"/>
      <c r="C10" s="294"/>
      <c r="D10" s="295"/>
      <c r="E10" s="295"/>
      <c r="F10" s="295"/>
      <c r="G10" s="294"/>
      <c r="H10" s="32" t="str">
        <f>IF(G8="Windows Server", "G:\Log", "/var/log")</f>
        <v>G:\Log</v>
      </c>
      <c r="I10" s="146">
        <f>IF(G8="Windows Server", 50, 20)</f>
        <v>50</v>
      </c>
      <c r="J10" s="296"/>
      <c r="K10" s="296"/>
      <c r="L10" s="296"/>
      <c r="M10" s="296"/>
      <c r="N10" s="296"/>
      <c r="O10" s="296"/>
      <c r="P10" s="296"/>
    </row>
    <row r="11" spans="1:16" s="147" customFormat="1" ht="12" customHeight="1">
      <c r="A11" s="294"/>
      <c r="B11" s="294"/>
      <c r="C11" s="294"/>
      <c r="D11" s="295"/>
      <c r="E11" s="295"/>
      <c r="F11" s="295"/>
      <c r="G11" s="294"/>
      <c r="H11" s="32" t="str">
        <f>IF(G8="Windows Server", "H:\Backup", "/backup")</f>
        <v>H:\Backup</v>
      </c>
      <c r="I11" s="146">
        <f>IF(G8="Windows Server", 100, 10)</f>
        <v>100</v>
      </c>
      <c r="J11" s="296"/>
      <c r="K11" s="296"/>
      <c r="L11" s="296"/>
      <c r="M11" s="296"/>
      <c r="N11" s="296"/>
      <c r="O11" s="296"/>
      <c r="P11" s="296"/>
    </row>
    <row r="12" spans="1:16" s="147" customFormat="1" ht="12" customHeight="1">
      <c r="A12" s="294"/>
      <c r="B12" s="290">
        <f>((12*7*4)/(24*7*4))*730</f>
        <v>365</v>
      </c>
      <c r="C12" s="294" t="s">
        <v>286</v>
      </c>
      <c r="D12" s="295"/>
      <c r="E12" s="295"/>
      <c r="F12" s="295"/>
      <c r="G12" s="294" t="s">
        <v>283</v>
      </c>
      <c r="H12" s="32" t="str">
        <f>IF(G12="Windows Server", "C:\", "/")</f>
        <v>C:\</v>
      </c>
      <c r="I12" s="146">
        <f>IF(G12="Windows Server", 150, 20)</f>
        <v>150</v>
      </c>
      <c r="J12" s="296">
        <f>SUM(I12:I15)</f>
        <v>300</v>
      </c>
      <c r="K12" s="297">
        <f>J12 *(IF(C12="AZURE", SUMMARY!C$20, SUMMARY!C$21))</f>
        <v>28.8</v>
      </c>
      <c r="L12" s="298"/>
      <c r="M12" s="299">
        <f>IF(C12="ON PREM", 0, SUMMARY!C$25%)</f>
        <v>0.12</v>
      </c>
      <c r="N12" s="299">
        <f>IF(C12="AWS",SUMMARY!C$26%, 0)</f>
        <v>0</v>
      </c>
      <c r="O12" s="300">
        <f>((SUM(K12:L12))-((SUM(K12:L12))*N12))*(1 + M12)</f>
        <v>32.256000000000007</v>
      </c>
      <c r="P12" s="300">
        <f>O12*12</f>
        <v>387.07200000000012</v>
      </c>
    </row>
    <row r="13" spans="1:16" s="147" customFormat="1" ht="12" customHeight="1">
      <c r="A13" s="294"/>
      <c r="B13" s="294"/>
      <c r="C13" s="294"/>
      <c r="D13" s="295"/>
      <c r="E13" s="295"/>
      <c r="F13" s="295"/>
      <c r="G13" s="294"/>
      <c r="H13" s="148" t="str">
        <f>IF(G12="Windows Server", "F:\appdir", "/appdir")</f>
        <v>F:\appdir</v>
      </c>
      <c r="I13" s="149"/>
      <c r="J13" s="296"/>
      <c r="K13" s="296"/>
      <c r="L13" s="296"/>
      <c r="M13" s="296"/>
      <c r="N13" s="296"/>
      <c r="O13" s="296"/>
      <c r="P13" s="296"/>
    </row>
    <row r="14" spans="1:16" s="147" customFormat="1" ht="12" customHeight="1">
      <c r="A14" s="294"/>
      <c r="B14" s="294"/>
      <c r="C14" s="294"/>
      <c r="D14" s="295"/>
      <c r="E14" s="295"/>
      <c r="F14" s="295"/>
      <c r="G14" s="294"/>
      <c r="H14" s="32" t="str">
        <f>IF(G12="Windows Server", "G:\Log", "/var/log")</f>
        <v>G:\Log</v>
      </c>
      <c r="I14" s="146">
        <f>IF(G12="Windows Server", 50, 20)</f>
        <v>50</v>
      </c>
      <c r="J14" s="296"/>
      <c r="K14" s="296"/>
      <c r="L14" s="296"/>
      <c r="M14" s="296"/>
      <c r="N14" s="296"/>
      <c r="O14" s="296"/>
      <c r="P14" s="296"/>
    </row>
    <row r="15" spans="1:16" s="147" customFormat="1" ht="12" customHeight="1">
      <c r="A15" s="294"/>
      <c r="B15" s="294"/>
      <c r="C15" s="294"/>
      <c r="D15" s="295"/>
      <c r="E15" s="295"/>
      <c r="F15" s="295"/>
      <c r="G15" s="294"/>
      <c r="H15" s="32" t="str">
        <f>IF(G12="Windows Server", "H:\Backup", "/backup")</f>
        <v>H:\Backup</v>
      </c>
      <c r="I15" s="146">
        <f>IF(G12="Windows Server", 100, 10)</f>
        <v>100</v>
      </c>
      <c r="J15" s="296"/>
      <c r="K15" s="296"/>
      <c r="L15" s="296"/>
      <c r="M15" s="296"/>
      <c r="N15" s="296"/>
      <c r="O15" s="296"/>
      <c r="P15" s="296"/>
    </row>
    <row r="16" spans="1:16" s="147" customFormat="1" ht="12" customHeight="1">
      <c r="A16" s="294"/>
      <c r="B16" s="290">
        <f>((12*7*4)/(24*7*4))*730</f>
        <v>365</v>
      </c>
      <c r="C16" s="294" t="s">
        <v>286</v>
      </c>
      <c r="D16" s="295"/>
      <c r="E16" s="295"/>
      <c r="F16" s="295"/>
      <c r="G16" s="294" t="s">
        <v>283</v>
      </c>
      <c r="H16" s="32" t="str">
        <f>IF(G16="Windows Server", "C:\", "/")</f>
        <v>C:\</v>
      </c>
      <c r="I16" s="146">
        <f>IF(G16="Windows Server", 150, 20)</f>
        <v>150</v>
      </c>
      <c r="J16" s="296">
        <f>SUM(I16:I19)</f>
        <v>300</v>
      </c>
      <c r="K16" s="297">
        <f>J16 *(IF(C16="AZURE", SUMMARY!C$20, SUMMARY!C$21))</f>
        <v>28.8</v>
      </c>
      <c r="L16" s="298"/>
      <c r="M16" s="299">
        <f>IF(C16="ON PREM", 0, SUMMARY!C$25%)</f>
        <v>0.12</v>
      </c>
      <c r="N16" s="299">
        <f>IF(C16="AWS",SUMMARY!C$26%, 0)</f>
        <v>0</v>
      </c>
      <c r="O16" s="300">
        <f>((SUM(K16:L16))-((SUM(K16:L16))*N16))*(1 + M16)</f>
        <v>32.256000000000007</v>
      </c>
      <c r="P16" s="300">
        <f>O16*12</f>
        <v>387.07200000000012</v>
      </c>
    </row>
    <row r="17" spans="1:16" s="147" customFormat="1" ht="12" customHeight="1">
      <c r="A17" s="294"/>
      <c r="B17" s="294"/>
      <c r="C17" s="294"/>
      <c r="D17" s="295"/>
      <c r="E17" s="295"/>
      <c r="F17" s="295"/>
      <c r="G17" s="294"/>
      <c r="H17" s="148" t="str">
        <f>IF(G16="Windows Server", "F:\appdir", "/appdir")</f>
        <v>F:\appdir</v>
      </c>
      <c r="I17" s="149"/>
      <c r="J17" s="296"/>
      <c r="K17" s="296"/>
      <c r="L17" s="296"/>
      <c r="M17" s="296"/>
      <c r="N17" s="296"/>
      <c r="O17" s="296"/>
      <c r="P17" s="296"/>
    </row>
    <row r="18" spans="1:16" s="147" customFormat="1" ht="12" customHeight="1">
      <c r="A18" s="294"/>
      <c r="B18" s="294"/>
      <c r="C18" s="294"/>
      <c r="D18" s="295"/>
      <c r="E18" s="295"/>
      <c r="F18" s="295"/>
      <c r="G18" s="294"/>
      <c r="H18" s="32" t="str">
        <f>IF(G16="Windows Server", "G:\Log", "/var/log")</f>
        <v>G:\Log</v>
      </c>
      <c r="I18" s="146">
        <f>IF(G16="Windows Server", 50, 20)</f>
        <v>50</v>
      </c>
      <c r="J18" s="296"/>
      <c r="K18" s="296"/>
      <c r="L18" s="296"/>
      <c r="M18" s="296"/>
      <c r="N18" s="296"/>
      <c r="O18" s="296"/>
      <c r="P18" s="296"/>
    </row>
    <row r="19" spans="1:16" s="147" customFormat="1" ht="12" customHeight="1">
      <c r="A19" s="294"/>
      <c r="B19" s="294"/>
      <c r="C19" s="294"/>
      <c r="D19" s="295"/>
      <c r="E19" s="295"/>
      <c r="F19" s="295"/>
      <c r="G19" s="294"/>
      <c r="H19" s="32" t="str">
        <f>IF(G16="Windows Server", "H:\Backup", "/backup")</f>
        <v>H:\Backup</v>
      </c>
      <c r="I19" s="146">
        <f>IF(G16="Windows Server", 100, 10)</f>
        <v>100</v>
      </c>
      <c r="J19" s="296"/>
      <c r="K19" s="296"/>
      <c r="L19" s="296"/>
      <c r="M19" s="296"/>
      <c r="N19" s="296"/>
      <c r="O19" s="296"/>
      <c r="P19" s="296"/>
    </row>
    <row r="20" spans="1:16" s="147" customFormat="1" ht="12" customHeight="1">
      <c r="A20" s="294"/>
      <c r="B20" s="290">
        <f>((12*7*4)/(24*7*4))*730</f>
        <v>365</v>
      </c>
      <c r="C20" s="294" t="s">
        <v>286</v>
      </c>
      <c r="D20" s="295"/>
      <c r="E20" s="295"/>
      <c r="F20" s="295"/>
      <c r="G20" s="294" t="s">
        <v>283</v>
      </c>
      <c r="H20" s="32" t="str">
        <f>IF(G20="Windows Server", "C:\", "/")</f>
        <v>C:\</v>
      </c>
      <c r="I20" s="146">
        <f>IF(G20="Windows Server", 150, 20)</f>
        <v>150</v>
      </c>
      <c r="J20" s="296">
        <f>SUM(I20:I23)</f>
        <v>300</v>
      </c>
      <c r="K20" s="297">
        <f>J20 *(IF(C20="AZURE", SUMMARY!C$20, SUMMARY!C$21))</f>
        <v>28.8</v>
      </c>
      <c r="L20" s="298"/>
      <c r="M20" s="299">
        <f>IF(C20="ON PREM", 0, SUMMARY!C$25%)</f>
        <v>0.12</v>
      </c>
      <c r="N20" s="299">
        <f>IF(C20="AWS",SUMMARY!C$26%, 0)</f>
        <v>0</v>
      </c>
      <c r="O20" s="300">
        <f>((SUM(K20:L20))-((SUM(K20:L20))*N20))*(1 + M20)</f>
        <v>32.256000000000007</v>
      </c>
      <c r="P20" s="300">
        <f>O20*12</f>
        <v>387.07200000000012</v>
      </c>
    </row>
    <row r="21" spans="1:16" s="147" customFormat="1" ht="12" customHeight="1">
      <c r="A21" s="294"/>
      <c r="B21" s="294"/>
      <c r="C21" s="294"/>
      <c r="D21" s="295"/>
      <c r="E21" s="295"/>
      <c r="F21" s="295"/>
      <c r="G21" s="294"/>
      <c r="H21" s="148" t="str">
        <f>IF(G20="Windows Server", "F:\appdir", "/appdir")</f>
        <v>F:\appdir</v>
      </c>
      <c r="I21" s="149"/>
      <c r="J21" s="296"/>
      <c r="K21" s="296"/>
      <c r="L21" s="296"/>
      <c r="M21" s="296"/>
      <c r="N21" s="296"/>
      <c r="O21" s="296"/>
      <c r="P21" s="296"/>
    </row>
    <row r="22" spans="1:16" s="147" customFormat="1" ht="12" customHeight="1">
      <c r="A22" s="294"/>
      <c r="B22" s="294"/>
      <c r="C22" s="294"/>
      <c r="D22" s="295"/>
      <c r="E22" s="295"/>
      <c r="F22" s="295"/>
      <c r="G22" s="294"/>
      <c r="H22" s="32" t="str">
        <f>IF(G20="Windows Server", "G:\Log", "/var/log")</f>
        <v>G:\Log</v>
      </c>
      <c r="I22" s="146">
        <f>IF(G20="Windows Server", 50, 20)</f>
        <v>50</v>
      </c>
      <c r="J22" s="296"/>
      <c r="K22" s="296"/>
      <c r="L22" s="296"/>
      <c r="M22" s="296"/>
      <c r="N22" s="296"/>
      <c r="O22" s="296"/>
      <c r="P22" s="296"/>
    </row>
    <row r="23" spans="1:16" s="147" customFormat="1" ht="12" customHeight="1">
      <c r="A23" s="294"/>
      <c r="B23" s="294"/>
      <c r="C23" s="294"/>
      <c r="D23" s="295"/>
      <c r="E23" s="295"/>
      <c r="F23" s="295"/>
      <c r="G23" s="294"/>
      <c r="H23" s="32" t="str">
        <f>IF(G20="Windows Server", "H:\Backup", "/backup")</f>
        <v>H:\Backup</v>
      </c>
      <c r="I23" s="146">
        <f>IF(G20="Windows Server", 100, 10)</f>
        <v>100</v>
      </c>
      <c r="J23" s="296"/>
      <c r="K23" s="296"/>
      <c r="L23" s="296"/>
      <c r="M23" s="296"/>
      <c r="N23" s="296"/>
      <c r="O23" s="296"/>
      <c r="P23" s="296"/>
    </row>
    <row r="24" spans="1:16" s="147" customFormat="1" ht="12" customHeight="1">
      <c r="A24" s="294"/>
      <c r="B24" s="290">
        <f>((12*7*4)/(24*7*4))*730</f>
        <v>365</v>
      </c>
      <c r="C24" s="294" t="s">
        <v>286</v>
      </c>
      <c r="D24" s="295"/>
      <c r="E24" s="295"/>
      <c r="F24" s="295"/>
      <c r="G24" s="294" t="s">
        <v>283</v>
      </c>
      <c r="H24" s="32" t="str">
        <f>IF(G24="Windows Server", "C:\", "/")</f>
        <v>C:\</v>
      </c>
      <c r="I24" s="146">
        <f>IF(G24="Windows Server", 150, 20)</f>
        <v>150</v>
      </c>
      <c r="J24" s="296">
        <f>SUM(I24:I27)</f>
        <v>300</v>
      </c>
      <c r="K24" s="297">
        <f>J24 *(IF(C24="AZURE", SUMMARY!C$20, SUMMARY!C$21))</f>
        <v>28.8</v>
      </c>
      <c r="L24" s="298"/>
      <c r="M24" s="299">
        <f>IF(C24="ON PREM", 0, SUMMARY!C$25%)</f>
        <v>0.12</v>
      </c>
      <c r="N24" s="299">
        <f>IF(C24="AWS",SUMMARY!C$26%, 0)</f>
        <v>0</v>
      </c>
      <c r="O24" s="300">
        <f>((SUM(K24:L24))-((SUM(K24:L24))*N24))*(1 + M24)</f>
        <v>32.256000000000007</v>
      </c>
      <c r="P24" s="300">
        <f>O24*12</f>
        <v>387.07200000000012</v>
      </c>
    </row>
    <row r="25" spans="1:16" s="147" customFormat="1" ht="12" customHeight="1">
      <c r="A25" s="294"/>
      <c r="B25" s="294"/>
      <c r="C25" s="294"/>
      <c r="D25" s="295"/>
      <c r="E25" s="295"/>
      <c r="F25" s="295"/>
      <c r="G25" s="294"/>
      <c r="H25" s="148" t="str">
        <f>IF(G24="Windows Server", "F:\appdir", "/appdir")</f>
        <v>F:\appdir</v>
      </c>
      <c r="I25" s="149"/>
      <c r="J25" s="296"/>
      <c r="K25" s="296"/>
      <c r="L25" s="296"/>
      <c r="M25" s="296"/>
      <c r="N25" s="296"/>
      <c r="O25" s="296"/>
      <c r="P25" s="296"/>
    </row>
    <row r="26" spans="1:16" s="147" customFormat="1" ht="12" customHeight="1">
      <c r="A26" s="294"/>
      <c r="B26" s="294"/>
      <c r="C26" s="294"/>
      <c r="D26" s="295"/>
      <c r="E26" s="295"/>
      <c r="F26" s="295"/>
      <c r="G26" s="294"/>
      <c r="H26" s="32" t="str">
        <f>IF(G24="Windows Server", "G:\Log", "/var/log")</f>
        <v>G:\Log</v>
      </c>
      <c r="I26" s="146">
        <f>IF(G24="Windows Server", 50, 20)</f>
        <v>50</v>
      </c>
      <c r="J26" s="296"/>
      <c r="K26" s="296"/>
      <c r="L26" s="296"/>
      <c r="M26" s="296"/>
      <c r="N26" s="296"/>
      <c r="O26" s="296"/>
      <c r="P26" s="296"/>
    </row>
    <row r="27" spans="1:16" s="147" customFormat="1" ht="12" customHeight="1">
      <c r="A27" s="294"/>
      <c r="B27" s="294"/>
      <c r="C27" s="294"/>
      <c r="D27" s="295"/>
      <c r="E27" s="295"/>
      <c r="F27" s="295"/>
      <c r="G27" s="294"/>
      <c r="H27" s="32" t="str">
        <f>IF(G24="Windows Server", "H:\Backup", "/backup")</f>
        <v>H:\Backup</v>
      </c>
      <c r="I27" s="146">
        <f>IF(G24="Windows Server", 100, 10)</f>
        <v>100</v>
      </c>
      <c r="J27" s="296"/>
      <c r="K27" s="296"/>
      <c r="L27" s="296"/>
      <c r="M27" s="296"/>
      <c r="N27" s="296"/>
      <c r="O27" s="296"/>
      <c r="P27" s="296"/>
    </row>
    <row r="28" spans="1:16" ht="14.25" customHeight="1">
      <c r="A28" s="3"/>
      <c r="B28" s="153"/>
      <c r="C28" s="153"/>
      <c r="D28" s="153"/>
      <c r="E28" s="153">
        <f>SUM(E4:E27)</f>
        <v>0</v>
      </c>
      <c r="F28" s="153">
        <f>SUM(F4:F27)</f>
        <v>0</v>
      </c>
      <c r="G28" s="153"/>
      <c r="H28" s="153"/>
      <c r="I28" s="153"/>
      <c r="J28" s="153">
        <f>SUM(J4:J27)</f>
        <v>1800</v>
      </c>
      <c r="K28" s="154">
        <f>SUM(K4:K27)</f>
        <v>172.8</v>
      </c>
      <c r="L28" s="154">
        <f>SUM(L4:L27)</f>
        <v>2</v>
      </c>
      <c r="M28" s="154"/>
      <c r="N28" s="154"/>
      <c r="O28" s="154">
        <f>SUM(O4:O27)</f>
        <v>187.09824</v>
      </c>
      <c r="P28" s="154">
        <f>SUM(P4:P27)</f>
        <v>2245.1788800000004</v>
      </c>
    </row>
    <row r="29" spans="1:16" s="129" customFormat="1">
      <c r="A29" s="144" t="s">
        <v>284</v>
      </c>
      <c r="B29" s="301"/>
      <c r="C29" s="301"/>
      <c r="D29" s="301"/>
      <c r="E29" s="301"/>
      <c r="F29" s="301"/>
      <c r="G29" s="301"/>
      <c r="H29" s="301"/>
      <c r="I29" s="301"/>
      <c r="J29" s="301"/>
      <c r="K29" s="301"/>
      <c r="L29" s="301"/>
      <c r="M29" s="301"/>
      <c r="N29" s="301"/>
      <c r="O29" s="301"/>
      <c r="P29" s="301"/>
    </row>
    <row r="30" spans="1:16" s="147" customFormat="1" ht="12" customHeight="1">
      <c r="A30" s="302"/>
      <c r="B30" s="290">
        <f>((12*7*4)/(24*7*4))*730</f>
        <v>365</v>
      </c>
      <c r="C30" s="303" t="s">
        <v>282</v>
      </c>
      <c r="D30" s="311"/>
      <c r="E30" s="305">
        <f>CEILING(E4*(100+SUMMARY!$C$24)%,1)</f>
        <v>0</v>
      </c>
      <c r="F30" s="305">
        <f>CEILING(F4*(100+SUMMARY!$C$24)%,1)</f>
        <v>0</v>
      </c>
      <c r="G30" s="306" t="s">
        <v>283</v>
      </c>
      <c r="H30" s="32" t="str">
        <f>IF(G30="Windows Server", "C:\", "/")</f>
        <v>C:\</v>
      </c>
      <c r="I30" s="146">
        <f>IF(G30="Windows Server", 150, 20)</f>
        <v>150</v>
      </c>
      <c r="J30" s="296">
        <f>SUM(I30:I33)</f>
        <v>300</v>
      </c>
      <c r="K30" s="307">
        <f>J30 *(IF(C30="AZURE", SUMMARY!C$20, SUMMARY!C$21))</f>
        <v>28.8</v>
      </c>
      <c r="L30" s="308"/>
      <c r="M30" s="299">
        <f>IF(C30="ON PREM", 0, SUMMARY!C$25%)</f>
        <v>0.12</v>
      </c>
      <c r="N30" s="299">
        <f>IF(C30="AWS",SUMMARY!C$26%, 0)</f>
        <v>0.13</v>
      </c>
      <c r="O30" s="300">
        <f>((SUM(K30:L30))-((SUM(K30:L30))*N30))*(1 + M30)</f>
        <v>28.062720000000002</v>
      </c>
      <c r="P30" s="312">
        <f>O30*12</f>
        <v>336.75264000000004</v>
      </c>
    </row>
    <row r="31" spans="1:16" s="147" customFormat="1" ht="12" customHeight="1">
      <c r="A31" s="302"/>
      <c r="B31" s="302"/>
      <c r="C31" s="303"/>
      <c r="D31" s="311"/>
      <c r="E31" s="311"/>
      <c r="F31" s="311"/>
      <c r="G31" s="306"/>
      <c r="H31" s="155" t="str">
        <f>IF(G30="Windows Server", "F:\appdir", "/appdir")</f>
        <v>F:\appdir</v>
      </c>
      <c r="I31" s="152">
        <f>CEILING(I5*(100+SUMMARY!$C$24)%,1)</f>
        <v>0</v>
      </c>
      <c r="J31" s="296"/>
      <c r="K31" s="296"/>
      <c r="L31" s="296"/>
      <c r="M31" s="296"/>
      <c r="N31" s="296"/>
      <c r="O31" s="296"/>
      <c r="P31" s="296"/>
    </row>
    <row r="32" spans="1:16" s="147" customFormat="1" ht="12" customHeight="1">
      <c r="A32" s="302"/>
      <c r="B32" s="302"/>
      <c r="C32" s="303"/>
      <c r="D32" s="311"/>
      <c r="E32" s="311"/>
      <c r="F32" s="311"/>
      <c r="G32" s="306"/>
      <c r="H32" s="32" t="str">
        <f>IF(G30="Windows Server", "G:\Log", "/var/log")</f>
        <v>G:\Log</v>
      </c>
      <c r="I32" s="146">
        <f>IF(G30="Windows Server", 50, 20)</f>
        <v>50</v>
      </c>
      <c r="J32" s="296"/>
      <c r="K32" s="296"/>
      <c r="L32" s="296"/>
      <c r="M32" s="296"/>
      <c r="N32" s="296"/>
      <c r="O32" s="296"/>
      <c r="P32" s="296"/>
    </row>
    <row r="33" spans="1:16" s="147" customFormat="1" ht="12" customHeight="1">
      <c r="A33" s="302"/>
      <c r="B33" s="302"/>
      <c r="C33" s="303"/>
      <c r="D33" s="311"/>
      <c r="E33" s="311"/>
      <c r="F33" s="311"/>
      <c r="G33" s="306"/>
      <c r="H33" s="32" t="str">
        <f>IF(G30="Windows Server", "H:\Backup", "/backup")</f>
        <v>H:\Backup</v>
      </c>
      <c r="I33" s="146">
        <f>IF(G30="Windows Server", 100, 10)</f>
        <v>100</v>
      </c>
      <c r="J33" s="296"/>
      <c r="K33" s="296"/>
      <c r="L33" s="296"/>
      <c r="M33" s="296"/>
      <c r="N33" s="296"/>
      <c r="O33" s="296"/>
      <c r="P33" s="296"/>
    </row>
    <row r="34" spans="1:16" s="147" customFormat="1" ht="12" customHeight="1">
      <c r="A34" s="302"/>
      <c r="B34" s="290">
        <f>((12*7*4)/(24*7*4))*730</f>
        <v>365</v>
      </c>
      <c r="C34" s="303" t="s">
        <v>282</v>
      </c>
      <c r="D34" s="311"/>
      <c r="E34" s="305">
        <f>CEILING(E8*(100+SUMMARY!$C$24)%,1)</f>
        <v>0</v>
      </c>
      <c r="F34" s="305">
        <f>CEILING(F8*(100+SUMMARY!$C$24)%,1)</f>
        <v>0</v>
      </c>
      <c r="G34" s="306" t="s">
        <v>283</v>
      </c>
      <c r="H34" s="32" t="str">
        <f>IF(G34="Windows Server", "C:\", "/")</f>
        <v>C:\</v>
      </c>
      <c r="I34" s="146">
        <f>IF(G34="Windows Server", 150, 20)</f>
        <v>150</v>
      </c>
      <c r="J34" s="296">
        <f>SUM(I34:I37)</f>
        <v>300</v>
      </c>
      <c r="K34" s="307">
        <f>J34 *(IF(C34="AZURE", SUMMARY!C$20, SUMMARY!C$21))</f>
        <v>28.8</v>
      </c>
      <c r="L34" s="308"/>
      <c r="M34" s="299">
        <f>IF(C34="ON PREM", 0, SUMMARY!C$25%)</f>
        <v>0.12</v>
      </c>
      <c r="N34" s="299">
        <f>IF(C34="AWS",SUMMARY!C$26%, 0)</f>
        <v>0.13</v>
      </c>
      <c r="O34" s="300">
        <f>((SUM(K34:L34))-((SUM(K34:L34))*N34))*(1 + M34)</f>
        <v>28.062720000000002</v>
      </c>
      <c r="P34" s="300">
        <f>O34*12</f>
        <v>336.75264000000004</v>
      </c>
    </row>
    <row r="35" spans="1:16" s="147" customFormat="1" ht="12" customHeight="1">
      <c r="A35" s="302"/>
      <c r="B35" s="302"/>
      <c r="C35" s="303"/>
      <c r="D35" s="311"/>
      <c r="E35" s="311"/>
      <c r="F35" s="311"/>
      <c r="G35" s="306"/>
      <c r="H35" s="155" t="str">
        <f>IF(G34="Windows Server", "F:\appdir", "/appdir")</f>
        <v>F:\appdir</v>
      </c>
      <c r="I35" s="152">
        <f>CEILING(I9*(100+SUMMARY!$C$24)%,1)</f>
        <v>0</v>
      </c>
      <c r="J35" s="296"/>
      <c r="K35" s="296"/>
      <c r="L35" s="296"/>
      <c r="M35" s="296"/>
      <c r="N35" s="296"/>
      <c r="O35" s="296"/>
      <c r="P35" s="296"/>
    </row>
    <row r="36" spans="1:16" s="147" customFormat="1" ht="12" customHeight="1">
      <c r="A36" s="302"/>
      <c r="B36" s="302"/>
      <c r="C36" s="303"/>
      <c r="D36" s="311"/>
      <c r="E36" s="311"/>
      <c r="F36" s="311"/>
      <c r="G36" s="306"/>
      <c r="H36" s="32" t="str">
        <f>IF(G34="Windows Server", "G:\Log", "/var/log")</f>
        <v>G:\Log</v>
      </c>
      <c r="I36" s="146">
        <f>IF(G34="Windows Server", 50, 20)</f>
        <v>50</v>
      </c>
      <c r="J36" s="296"/>
      <c r="K36" s="296"/>
      <c r="L36" s="296"/>
      <c r="M36" s="296"/>
      <c r="N36" s="296"/>
      <c r="O36" s="296"/>
      <c r="P36" s="296"/>
    </row>
    <row r="37" spans="1:16" s="147" customFormat="1" ht="12" customHeight="1">
      <c r="A37" s="302"/>
      <c r="B37" s="302"/>
      <c r="C37" s="303"/>
      <c r="D37" s="311"/>
      <c r="E37" s="311"/>
      <c r="F37" s="311"/>
      <c r="G37" s="306"/>
      <c r="H37" s="32" t="str">
        <f>IF(G34="Windows Server", "H:\Backup", "/backup")</f>
        <v>H:\Backup</v>
      </c>
      <c r="I37" s="146">
        <f>IF(G34="Windows Server", 100, 10)</f>
        <v>100</v>
      </c>
      <c r="J37" s="296"/>
      <c r="K37" s="296"/>
      <c r="L37" s="296"/>
      <c r="M37" s="296"/>
      <c r="N37" s="296"/>
      <c r="O37" s="296"/>
      <c r="P37" s="296"/>
    </row>
    <row r="38" spans="1:16" s="147" customFormat="1" ht="12" customHeight="1">
      <c r="A38" s="302"/>
      <c r="B38" s="290">
        <f>((12*7*4)/(24*7*4))*730</f>
        <v>365</v>
      </c>
      <c r="C38" s="303" t="s">
        <v>282</v>
      </c>
      <c r="D38" s="311"/>
      <c r="E38" s="305">
        <f>CEILING(E12*(100+SUMMARY!$C$24)%,1)</f>
        <v>0</v>
      </c>
      <c r="F38" s="305">
        <f>CEILING(F12*(100+SUMMARY!$C$24)%,1)</f>
        <v>0</v>
      </c>
      <c r="G38" s="306" t="s">
        <v>283</v>
      </c>
      <c r="H38" s="32" t="str">
        <f>IF(G38="Windows Server", "C:\", "/")</f>
        <v>C:\</v>
      </c>
      <c r="I38" s="146">
        <f>IF(G38="Windows Server", 150, 20)</f>
        <v>150</v>
      </c>
      <c r="J38" s="296">
        <f>SUM(I38:I41)</f>
        <v>300</v>
      </c>
      <c r="K38" s="307">
        <f>J38 *(IF(C38="AZURE", SUMMARY!C$20, SUMMARY!C$21))</f>
        <v>28.8</v>
      </c>
      <c r="L38" s="308"/>
      <c r="M38" s="299">
        <f>IF(C38="ON PREM", 0, SUMMARY!C$25%)</f>
        <v>0.12</v>
      </c>
      <c r="N38" s="299">
        <f>IF(C38="AWS",SUMMARY!C$26%, 0)</f>
        <v>0.13</v>
      </c>
      <c r="O38" s="300">
        <f>((SUM(K38:L38))-((SUM(K38:L38))*N38))*(1 + M38)</f>
        <v>28.062720000000002</v>
      </c>
      <c r="P38" s="300">
        <f>O38*12</f>
        <v>336.75264000000004</v>
      </c>
    </row>
    <row r="39" spans="1:16" s="147" customFormat="1" ht="12" customHeight="1">
      <c r="A39" s="302"/>
      <c r="B39" s="302"/>
      <c r="C39" s="303"/>
      <c r="D39" s="311"/>
      <c r="E39" s="311"/>
      <c r="F39" s="311"/>
      <c r="G39" s="306"/>
      <c r="H39" s="155" t="str">
        <f>IF(G38="Windows Server", "F:\appdir", "/appdir")</f>
        <v>F:\appdir</v>
      </c>
      <c r="I39" s="152">
        <f>CEILING(I13*(100+SUMMARY!$C$24)%,1)</f>
        <v>0</v>
      </c>
      <c r="J39" s="296"/>
      <c r="K39" s="296"/>
      <c r="L39" s="296"/>
      <c r="M39" s="296"/>
      <c r="N39" s="296"/>
      <c r="O39" s="296"/>
      <c r="P39" s="296"/>
    </row>
    <row r="40" spans="1:16" s="147" customFormat="1" ht="12" customHeight="1">
      <c r="A40" s="302"/>
      <c r="B40" s="302"/>
      <c r="C40" s="303"/>
      <c r="D40" s="311"/>
      <c r="E40" s="311"/>
      <c r="F40" s="311"/>
      <c r="G40" s="306"/>
      <c r="H40" s="32" t="str">
        <f>IF(G38="Windows Server", "G:\Log", "/var/log")</f>
        <v>G:\Log</v>
      </c>
      <c r="I40" s="146">
        <f>IF(G38="Windows Server", 50, 20)</f>
        <v>50</v>
      </c>
      <c r="J40" s="296"/>
      <c r="K40" s="296"/>
      <c r="L40" s="296"/>
      <c r="M40" s="296"/>
      <c r="N40" s="296"/>
      <c r="O40" s="296"/>
      <c r="P40" s="296"/>
    </row>
    <row r="41" spans="1:16" s="147" customFormat="1" ht="12" customHeight="1">
      <c r="A41" s="302"/>
      <c r="B41" s="302"/>
      <c r="C41" s="303"/>
      <c r="D41" s="311"/>
      <c r="E41" s="311"/>
      <c r="F41" s="311"/>
      <c r="G41" s="306"/>
      <c r="H41" s="32" t="str">
        <f>IF(G38="Windows Server", "H:\Backup", "/backup")</f>
        <v>H:\Backup</v>
      </c>
      <c r="I41" s="146">
        <f>IF(G38="Windows Server", 100, 10)</f>
        <v>100</v>
      </c>
      <c r="J41" s="296"/>
      <c r="K41" s="296"/>
      <c r="L41" s="296"/>
      <c r="M41" s="296"/>
      <c r="N41" s="296"/>
      <c r="O41" s="296"/>
      <c r="P41" s="296"/>
    </row>
    <row r="42" spans="1:16" s="147" customFormat="1" ht="12" customHeight="1">
      <c r="A42" s="302"/>
      <c r="B42" s="290">
        <f>((12*7*4)/(24*7*4))*730</f>
        <v>365</v>
      </c>
      <c r="C42" s="303" t="s">
        <v>282</v>
      </c>
      <c r="D42" s="311"/>
      <c r="E42" s="305">
        <f>CEILING(E16*(100+SUMMARY!$C$24)%,1)</f>
        <v>0</v>
      </c>
      <c r="F42" s="305">
        <f>CEILING(F16*(100+SUMMARY!$C$24)%,1)</f>
        <v>0</v>
      </c>
      <c r="G42" s="306" t="s">
        <v>283</v>
      </c>
      <c r="H42" s="32" t="str">
        <f>IF(G42="Windows Server", "C:\", "/")</f>
        <v>C:\</v>
      </c>
      <c r="I42" s="146">
        <f>IF(G42="Windows Server", 150, 20)</f>
        <v>150</v>
      </c>
      <c r="J42" s="296">
        <f>SUM(I42:I45)</f>
        <v>300</v>
      </c>
      <c r="K42" s="307">
        <f>J42 *(IF(C42="AZURE", SUMMARY!C$20, SUMMARY!C$21))</f>
        <v>28.8</v>
      </c>
      <c r="L42" s="308"/>
      <c r="M42" s="299">
        <f>IF(C42="ON PREM", 0, SUMMARY!C$25%)</f>
        <v>0.12</v>
      </c>
      <c r="N42" s="299">
        <f>IF(C42="AWS",SUMMARY!C$26%, 0)</f>
        <v>0.13</v>
      </c>
      <c r="O42" s="300">
        <f>((SUM(K42:L42))-((SUM(K42:L42))*N42))*(1 + M42)</f>
        <v>28.062720000000002</v>
      </c>
      <c r="P42" s="300">
        <f>O42*12</f>
        <v>336.75264000000004</v>
      </c>
    </row>
    <row r="43" spans="1:16" s="147" customFormat="1" ht="12" customHeight="1">
      <c r="A43" s="302"/>
      <c r="B43" s="302"/>
      <c r="C43" s="303"/>
      <c r="D43" s="311"/>
      <c r="E43" s="311"/>
      <c r="F43" s="311"/>
      <c r="G43" s="306"/>
      <c r="H43" s="155" t="str">
        <f>IF(G42="Windows Server", "F:\appdir", "/appdir")</f>
        <v>F:\appdir</v>
      </c>
      <c r="I43" s="152">
        <f>CEILING(I17*(100+SUMMARY!$C$24)%,1)</f>
        <v>0</v>
      </c>
      <c r="J43" s="296"/>
      <c r="K43" s="296"/>
      <c r="L43" s="296"/>
      <c r="M43" s="296"/>
      <c r="N43" s="296"/>
      <c r="O43" s="296"/>
      <c r="P43" s="296"/>
    </row>
    <row r="44" spans="1:16" s="147" customFormat="1" ht="12" customHeight="1">
      <c r="A44" s="302"/>
      <c r="B44" s="302"/>
      <c r="C44" s="303"/>
      <c r="D44" s="311"/>
      <c r="E44" s="311"/>
      <c r="F44" s="311"/>
      <c r="G44" s="306"/>
      <c r="H44" s="32" t="str">
        <f>IF(G42="Windows Server", "G:\Log", "/var/log")</f>
        <v>G:\Log</v>
      </c>
      <c r="I44" s="146">
        <f>IF(G42="Windows Server", 50, 20)</f>
        <v>50</v>
      </c>
      <c r="J44" s="296"/>
      <c r="K44" s="296"/>
      <c r="L44" s="296"/>
      <c r="M44" s="296"/>
      <c r="N44" s="296"/>
      <c r="O44" s="296"/>
      <c r="P44" s="296"/>
    </row>
    <row r="45" spans="1:16" s="147" customFormat="1" ht="12" customHeight="1">
      <c r="A45" s="302"/>
      <c r="B45" s="302"/>
      <c r="C45" s="303"/>
      <c r="D45" s="311"/>
      <c r="E45" s="311"/>
      <c r="F45" s="311"/>
      <c r="G45" s="306"/>
      <c r="H45" s="32" t="str">
        <f>IF(G42="Windows Server", "H:\Backup", "/backup")</f>
        <v>H:\Backup</v>
      </c>
      <c r="I45" s="146">
        <f>IF(G42="Windows Server", 100, 10)</f>
        <v>100</v>
      </c>
      <c r="J45" s="296"/>
      <c r="K45" s="296"/>
      <c r="L45" s="296"/>
      <c r="M45" s="296"/>
      <c r="N45" s="296"/>
      <c r="O45" s="296"/>
      <c r="P45" s="296"/>
    </row>
    <row r="46" spans="1:16" s="147" customFormat="1" ht="12" customHeight="1">
      <c r="A46" s="302"/>
      <c r="B46" s="290">
        <f>((12*7*4)/(24*7*4))*730</f>
        <v>365</v>
      </c>
      <c r="C46" s="303" t="s">
        <v>282</v>
      </c>
      <c r="D46" s="311"/>
      <c r="E46" s="305">
        <f>CEILING(E20*(100+SUMMARY!$C$24)%,1)</f>
        <v>0</v>
      </c>
      <c r="F46" s="305">
        <f>CEILING(F20*(100+SUMMARY!$C$24)%,1)</f>
        <v>0</v>
      </c>
      <c r="G46" s="306" t="s">
        <v>283</v>
      </c>
      <c r="H46" s="32" t="str">
        <f>IF(G46="Windows Server", "C:\", "/")</f>
        <v>C:\</v>
      </c>
      <c r="I46" s="146">
        <f>IF(G46="Windows Server", 150, 20)</f>
        <v>150</v>
      </c>
      <c r="J46" s="296">
        <f>SUM(I46:I49)</f>
        <v>300</v>
      </c>
      <c r="K46" s="307">
        <f>J46 *(IF(C46="AZURE", SUMMARY!C$20, SUMMARY!C$21))</f>
        <v>28.8</v>
      </c>
      <c r="L46" s="308"/>
      <c r="M46" s="299">
        <f>IF(C46="ON PREM", 0, SUMMARY!C$25%)</f>
        <v>0.12</v>
      </c>
      <c r="N46" s="299">
        <f>IF(C46="AWS",SUMMARY!C$26%, 0)</f>
        <v>0.13</v>
      </c>
      <c r="O46" s="300">
        <f>((SUM(K46:L46))-((SUM(K46:L46))*N46))*(1 + M46)</f>
        <v>28.062720000000002</v>
      </c>
      <c r="P46" s="300">
        <f>O46*12</f>
        <v>336.75264000000004</v>
      </c>
    </row>
    <row r="47" spans="1:16" s="147" customFormat="1" ht="12" customHeight="1">
      <c r="A47" s="302"/>
      <c r="B47" s="302"/>
      <c r="C47" s="303"/>
      <c r="D47" s="311"/>
      <c r="E47" s="311"/>
      <c r="F47" s="311"/>
      <c r="G47" s="306"/>
      <c r="H47" s="155" t="str">
        <f>IF(G46="Windows Server", "F:\appdir", "/appdir")</f>
        <v>F:\appdir</v>
      </c>
      <c r="I47" s="152">
        <f>CEILING(I21*(100+SUMMARY!$C$24)%,1)</f>
        <v>0</v>
      </c>
      <c r="J47" s="296"/>
      <c r="K47" s="296"/>
      <c r="L47" s="296"/>
      <c r="M47" s="296"/>
      <c r="N47" s="296"/>
      <c r="O47" s="296"/>
      <c r="P47" s="296"/>
    </row>
    <row r="48" spans="1:16" s="147" customFormat="1" ht="12" customHeight="1">
      <c r="A48" s="302"/>
      <c r="B48" s="302"/>
      <c r="C48" s="303"/>
      <c r="D48" s="311"/>
      <c r="E48" s="311"/>
      <c r="F48" s="311"/>
      <c r="G48" s="306"/>
      <c r="H48" s="32" t="str">
        <f>IF(G46="Windows Server", "G:\Log", "/var/log")</f>
        <v>G:\Log</v>
      </c>
      <c r="I48" s="146">
        <f>IF(G46="Windows Server", 50, 20)</f>
        <v>50</v>
      </c>
      <c r="J48" s="296"/>
      <c r="K48" s="296"/>
      <c r="L48" s="296"/>
      <c r="M48" s="296"/>
      <c r="N48" s="296"/>
      <c r="O48" s="296"/>
      <c r="P48" s="296"/>
    </row>
    <row r="49" spans="1:16" s="147" customFormat="1" ht="12" customHeight="1">
      <c r="A49" s="302"/>
      <c r="B49" s="302"/>
      <c r="C49" s="303"/>
      <c r="D49" s="311"/>
      <c r="E49" s="311"/>
      <c r="F49" s="311"/>
      <c r="G49" s="306"/>
      <c r="H49" s="32" t="str">
        <f>IF(G46="Windows Server", "H:\Backup", "/backup")</f>
        <v>H:\Backup</v>
      </c>
      <c r="I49" s="146">
        <f>IF(G46="Windows Server", 100, 10)</f>
        <v>100</v>
      </c>
      <c r="J49" s="296"/>
      <c r="K49" s="296"/>
      <c r="L49" s="296"/>
      <c r="M49" s="296"/>
      <c r="N49" s="296"/>
      <c r="O49" s="296"/>
      <c r="P49" s="296"/>
    </row>
    <row r="50" spans="1:16" s="147" customFormat="1" ht="12" customHeight="1">
      <c r="A50" s="302"/>
      <c r="B50" s="290">
        <f>((12*7*4)/(24*7*4))*730</f>
        <v>365</v>
      </c>
      <c r="C50" s="303" t="s">
        <v>282</v>
      </c>
      <c r="D50" s="311"/>
      <c r="E50" s="305">
        <f>CEILING(E24*(100+SUMMARY!$C$24)%,1)</f>
        <v>0</v>
      </c>
      <c r="F50" s="305">
        <f>CEILING(F24*(100+SUMMARY!$C$24)%,1)</f>
        <v>0</v>
      </c>
      <c r="G50" s="306" t="s">
        <v>283</v>
      </c>
      <c r="H50" s="32" t="str">
        <f>IF(G50="Windows Server", "C:\", "/")</f>
        <v>C:\</v>
      </c>
      <c r="I50" s="146">
        <f>IF(G50="Windows Server", 150, 20)</f>
        <v>150</v>
      </c>
      <c r="J50" s="296">
        <f>SUM(I50:I53)</f>
        <v>300</v>
      </c>
      <c r="K50" s="307">
        <f>J50 *(IF(C50="AZURE", SUMMARY!C$20, SUMMARY!C$21))</f>
        <v>28.8</v>
      </c>
      <c r="L50" s="308"/>
      <c r="M50" s="299">
        <f>IF(C50="ON PREM", 0, SUMMARY!C$25%)</f>
        <v>0.12</v>
      </c>
      <c r="N50" s="299">
        <f>IF(C50="AWS",SUMMARY!C$26%, 0)</f>
        <v>0.13</v>
      </c>
      <c r="O50" s="300">
        <f>((SUM(K50:L50))-((SUM(K50:L50))*N50))*(1 + M50)</f>
        <v>28.062720000000002</v>
      </c>
      <c r="P50" s="312">
        <f>O50*12</f>
        <v>336.75264000000004</v>
      </c>
    </row>
    <row r="51" spans="1:16" s="147" customFormat="1" ht="12" customHeight="1">
      <c r="A51" s="302"/>
      <c r="B51" s="302"/>
      <c r="C51" s="303"/>
      <c r="D51" s="311"/>
      <c r="E51" s="311"/>
      <c r="F51" s="311"/>
      <c r="G51" s="306"/>
      <c r="H51" s="155" t="str">
        <f>IF(G50="Windows Server", "F:\appdir", "/appdir")</f>
        <v>F:\appdir</v>
      </c>
      <c r="I51" s="152">
        <f>CEILING(I25*(100+SUMMARY!$C$24)%,1)</f>
        <v>0</v>
      </c>
      <c r="J51" s="296"/>
      <c r="K51" s="296"/>
      <c r="L51" s="296"/>
      <c r="M51" s="296"/>
      <c r="N51" s="296"/>
      <c r="O51" s="296"/>
      <c r="P51" s="296"/>
    </row>
    <row r="52" spans="1:16" s="147" customFormat="1" ht="12" customHeight="1">
      <c r="A52" s="302"/>
      <c r="B52" s="302"/>
      <c r="C52" s="303"/>
      <c r="D52" s="311"/>
      <c r="E52" s="311"/>
      <c r="F52" s="311"/>
      <c r="G52" s="306"/>
      <c r="H52" s="32" t="str">
        <f>IF(G50="Windows Server", "G:\Log", "/var/log")</f>
        <v>G:\Log</v>
      </c>
      <c r="I52" s="146">
        <f>IF(G50="Windows Server", 50, 20)</f>
        <v>50</v>
      </c>
      <c r="J52" s="296"/>
      <c r="K52" s="296"/>
      <c r="L52" s="296"/>
      <c r="M52" s="296"/>
      <c r="N52" s="296"/>
      <c r="O52" s="296"/>
      <c r="P52" s="296"/>
    </row>
    <row r="53" spans="1:16" s="147" customFormat="1" ht="12" customHeight="1">
      <c r="A53" s="302"/>
      <c r="B53" s="302"/>
      <c r="C53" s="303"/>
      <c r="D53" s="311"/>
      <c r="E53" s="311"/>
      <c r="F53" s="311"/>
      <c r="G53" s="306"/>
      <c r="H53" s="32" t="str">
        <f>IF(G50="Windows Server", "H:\Backup", "/backup")</f>
        <v>H:\Backup</v>
      </c>
      <c r="I53" s="146">
        <f>IF(G50="Windows Server", 100, 10)</f>
        <v>100</v>
      </c>
      <c r="J53" s="296"/>
      <c r="K53" s="296"/>
      <c r="L53" s="296"/>
      <c r="M53" s="296"/>
      <c r="N53" s="296"/>
      <c r="O53" s="296"/>
      <c r="P53" s="296"/>
    </row>
    <row r="54" spans="1:16" s="147" customFormat="1" ht="13.5" customHeight="1">
      <c r="A54" s="3"/>
      <c r="B54" s="153"/>
      <c r="C54" s="153"/>
      <c r="D54" s="153"/>
      <c r="E54" s="156">
        <f>SUM(E30:E53)</f>
        <v>0</v>
      </c>
      <c r="F54" s="156">
        <f>SUM(F30:F53)</f>
        <v>0</v>
      </c>
      <c r="G54" s="153"/>
      <c r="H54" s="153"/>
      <c r="I54" s="153"/>
      <c r="J54" s="156">
        <f>SUM(J30:J53)</f>
        <v>1800</v>
      </c>
      <c r="K54" s="154">
        <f>SUM(K30:K53)</f>
        <v>172.8</v>
      </c>
      <c r="L54" s="154">
        <f>SUM(L30:L53)</f>
        <v>0</v>
      </c>
      <c r="M54" s="154"/>
      <c r="N54" s="154"/>
      <c r="O54" s="154">
        <f>SUM(O30:O53)</f>
        <v>168.37632000000002</v>
      </c>
      <c r="P54" s="154">
        <f>SUM(P30:P53)</f>
        <v>2020.5158400000005</v>
      </c>
    </row>
    <row r="55" spans="1:16" s="129" customFormat="1">
      <c r="A55" s="144" t="s">
        <v>285</v>
      </c>
      <c r="B55" s="301"/>
      <c r="C55" s="301"/>
      <c r="D55" s="301"/>
      <c r="E55" s="301"/>
      <c r="F55" s="301"/>
      <c r="G55" s="301"/>
      <c r="H55" s="301"/>
      <c r="I55" s="301"/>
      <c r="J55" s="301"/>
      <c r="K55" s="301"/>
      <c r="L55" s="301"/>
      <c r="M55" s="301"/>
      <c r="N55" s="301"/>
      <c r="O55" s="301"/>
      <c r="P55" s="301"/>
    </row>
    <row r="56" spans="1:16" ht="13.5" customHeight="1">
      <c r="A56" s="294"/>
      <c r="B56" s="290">
        <f>((12*7*4)/(24*7*4))*730</f>
        <v>365</v>
      </c>
      <c r="C56" s="294" t="s">
        <v>286</v>
      </c>
      <c r="D56" s="295"/>
      <c r="E56" s="310">
        <f>CEILING(E30*(100+SUMMARY!$C$24)%,1)</f>
        <v>0</v>
      </c>
      <c r="F56" s="310">
        <f>CEILING(F30*(100+SUMMARY!$C$24)%,1)</f>
        <v>0</v>
      </c>
      <c r="G56" s="294" t="s">
        <v>283</v>
      </c>
      <c r="H56" s="32" t="str">
        <f>IF(G56="Windows Server", "C:\", "/")</f>
        <v>C:\</v>
      </c>
      <c r="I56" s="146">
        <f>IF(G56="Windows Server", 150, 20)</f>
        <v>150</v>
      </c>
      <c r="J56" s="296">
        <f>SUM(I56:I59)</f>
        <v>300</v>
      </c>
      <c r="K56" s="297">
        <f>J56 *(IF(C56="AZURE", SUMMARY!C$20, SUMMARY!C$21))</f>
        <v>28.8</v>
      </c>
      <c r="L56" s="298"/>
      <c r="M56" s="299">
        <f>IF(C56="ON PREM", 0, SUMMARY!C$25%)</f>
        <v>0.12</v>
      </c>
      <c r="N56" s="299">
        <f>IF(C56="AWS",SUMMARY!C$26%, 0)</f>
        <v>0</v>
      </c>
      <c r="O56" s="300">
        <f>((SUM(K56:L56))-((SUM(K56:L56))*N56))*(1 + M56)</f>
        <v>32.256000000000007</v>
      </c>
      <c r="P56" s="300">
        <f>O56*12</f>
        <v>387.07200000000012</v>
      </c>
    </row>
    <row r="57" spans="1:16">
      <c r="A57" s="294"/>
      <c r="B57" s="294"/>
      <c r="C57" s="294"/>
      <c r="D57" s="295"/>
      <c r="E57" s="295"/>
      <c r="F57" s="295"/>
      <c r="G57" s="294"/>
      <c r="H57" s="148" t="str">
        <f>IF(G56="Windows Server", "F:\appdir", "/appdir")</f>
        <v>F:\appdir</v>
      </c>
      <c r="I57" s="149">
        <f>CEILING(I31*(100+SUMMARY!$C$24)%,1)</f>
        <v>0</v>
      </c>
      <c r="J57" s="296"/>
      <c r="K57" s="296"/>
      <c r="L57" s="296"/>
      <c r="M57" s="296"/>
      <c r="N57" s="296"/>
      <c r="O57" s="296"/>
      <c r="P57" s="296"/>
    </row>
    <row r="58" spans="1:16">
      <c r="A58" s="294"/>
      <c r="B58" s="294"/>
      <c r="C58" s="294"/>
      <c r="D58" s="295"/>
      <c r="E58" s="295"/>
      <c r="F58" s="295"/>
      <c r="G58" s="294"/>
      <c r="H58" s="32" t="str">
        <f>IF(G56="Windows Server", "G:\Log", "/var/log")</f>
        <v>G:\Log</v>
      </c>
      <c r="I58" s="146">
        <f>IF(G56="Windows Server", 50, 20)</f>
        <v>50</v>
      </c>
      <c r="J58" s="296"/>
      <c r="K58" s="296"/>
      <c r="L58" s="296"/>
      <c r="M58" s="296"/>
      <c r="N58" s="296"/>
      <c r="O58" s="296"/>
      <c r="P58" s="296"/>
    </row>
    <row r="59" spans="1:16">
      <c r="A59" s="294"/>
      <c r="B59" s="294"/>
      <c r="C59" s="294"/>
      <c r="D59" s="295"/>
      <c r="E59" s="295"/>
      <c r="F59" s="295"/>
      <c r="G59" s="294"/>
      <c r="H59" s="32" t="str">
        <f>IF(G56="Windows Server", "H:\Backup", "/backup")</f>
        <v>H:\Backup</v>
      </c>
      <c r="I59" s="146">
        <f>IF(G56="Windows Server", 100, 10)</f>
        <v>100</v>
      </c>
      <c r="J59" s="296"/>
      <c r="K59" s="296"/>
      <c r="L59" s="296"/>
      <c r="M59" s="296"/>
      <c r="N59" s="296"/>
      <c r="O59" s="296"/>
      <c r="P59" s="296"/>
    </row>
    <row r="60" spans="1:16" ht="13.5" customHeight="1">
      <c r="A60" s="294"/>
      <c r="B60" s="290">
        <f>((12*7*4)/(24*7*4))*730</f>
        <v>365</v>
      </c>
      <c r="C60" s="294" t="s">
        <v>288</v>
      </c>
      <c r="D60" s="295"/>
      <c r="E60" s="310">
        <f>CEILING(E34*(100+SUMMARY!$C$24)%,1)</f>
        <v>0</v>
      </c>
      <c r="F60" s="310">
        <f>CEILING(F34*(100+SUMMARY!$C$24)%,1)</f>
        <v>0</v>
      </c>
      <c r="G60" s="294" t="s">
        <v>283</v>
      </c>
      <c r="H60" s="32" t="str">
        <f>IF(G60="Windows Server", "C:\", "/")</f>
        <v>C:\</v>
      </c>
      <c r="I60" s="146">
        <f>IF(G60="Windows Server", 150, 20)</f>
        <v>150</v>
      </c>
      <c r="J60" s="296">
        <f>SUM(I60:I63)</f>
        <v>300</v>
      </c>
      <c r="K60" s="297">
        <f>J60 *(IF(C60="AZURE", SUMMARY!C$20, SUMMARY!C$21))</f>
        <v>28.8</v>
      </c>
      <c r="L60" s="298"/>
      <c r="M60" s="299">
        <f>IF(C60="ON PREM", 0, SUMMARY!C$25%)</f>
        <v>0</v>
      </c>
      <c r="N60" s="299">
        <f>IF(C60="AWS",SUMMARY!C$26%, 0)</f>
        <v>0</v>
      </c>
      <c r="O60" s="300">
        <f>((SUM(K60:L60))-((SUM(K60:L60))*N60))*(1 + M60)</f>
        <v>28.8</v>
      </c>
      <c r="P60" s="300">
        <f>O60*12</f>
        <v>345.6</v>
      </c>
    </row>
    <row r="61" spans="1:16">
      <c r="A61" s="294"/>
      <c r="B61" s="294"/>
      <c r="C61" s="294"/>
      <c r="D61" s="295"/>
      <c r="E61" s="295"/>
      <c r="F61" s="295"/>
      <c r="G61" s="294"/>
      <c r="H61" s="148" t="str">
        <f>IF(G60="Windows Server", "F:\appdir", "/appdir")</f>
        <v>F:\appdir</v>
      </c>
      <c r="I61" s="149">
        <f>CEILING(I35*(100+SUMMARY!$C$24)%,1)</f>
        <v>0</v>
      </c>
      <c r="J61" s="296"/>
      <c r="K61" s="296"/>
      <c r="L61" s="296"/>
      <c r="M61" s="296"/>
      <c r="N61" s="296"/>
      <c r="O61" s="296"/>
      <c r="P61" s="296"/>
    </row>
    <row r="62" spans="1:16">
      <c r="A62" s="294"/>
      <c r="B62" s="294"/>
      <c r="C62" s="294"/>
      <c r="D62" s="295"/>
      <c r="E62" s="295"/>
      <c r="F62" s="295"/>
      <c r="G62" s="294"/>
      <c r="H62" s="32" t="str">
        <f>IF(G60="Windows Server", "G:\Log", "/var/log")</f>
        <v>G:\Log</v>
      </c>
      <c r="I62" s="146">
        <f>IF(G60="Windows Server", 50, 20)</f>
        <v>50</v>
      </c>
      <c r="J62" s="296"/>
      <c r="K62" s="296"/>
      <c r="L62" s="296"/>
      <c r="M62" s="296"/>
      <c r="N62" s="296"/>
      <c r="O62" s="296"/>
      <c r="P62" s="296"/>
    </row>
    <row r="63" spans="1:16">
      <c r="A63" s="294"/>
      <c r="B63" s="294"/>
      <c r="C63" s="294"/>
      <c r="D63" s="295"/>
      <c r="E63" s="295"/>
      <c r="F63" s="295"/>
      <c r="G63" s="294"/>
      <c r="H63" s="32" t="str">
        <f>IF(G60="Windows Server", "H:\Backup", "/backup")</f>
        <v>H:\Backup</v>
      </c>
      <c r="I63" s="146">
        <f>IF(G60="Windows Server", 100, 10)</f>
        <v>100</v>
      </c>
      <c r="J63" s="296"/>
      <c r="K63" s="296"/>
      <c r="L63" s="296"/>
      <c r="M63" s="296"/>
      <c r="N63" s="296"/>
      <c r="O63" s="296"/>
      <c r="P63" s="296"/>
    </row>
    <row r="64" spans="1:16" ht="13.5" customHeight="1">
      <c r="A64" s="294"/>
      <c r="B64" s="290">
        <f>((12*7*4)/(24*7*4))*730</f>
        <v>365</v>
      </c>
      <c r="C64" s="294" t="s">
        <v>286</v>
      </c>
      <c r="D64" s="295"/>
      <c r="E64" s="310">
        <f>CEILING(E38*(100+SUMMARY!$C$24)%,1)</f>
        <v>0</v>
      </c>
      <c r="F64" s="310">
        <f>CEILING(F38*(100+SUMMARY!$C$24)%,1)</f>
        <v>0</v>
      </c>
      <c r="G64" s="294" t="s">
        <v>283</v>
      </c>
      <c r="H64" s="32" t="str">
        <f>IF(G64="Windows Server", "C:\", "/")</f>
        <v>C:\</v>
      </c>
      <c r="I64" s="146">
        <f>IF(G64="Windows Server", 150, 20)</f>
        <v>150</v>
      </c>
      <c r="J64" s="296">
        <f>SUM(I64:I67)</f>
        <v>300</v>
      </c>
      <c r="K64" s="297">
        <f>J64 *(IF(C64="AZURE", SUMMARY!C$20, SUMMARY!C$21))</f>
        <v>28.8</v>
      </c>
      <c r="L64" s="298"/>
      <c r="M64" s="299">
        <f>IF(C64="ON PREM", 0, SUMMARY!C$25%)</f>
        <v>0.12</v>
      </c>
      <c r="N64" s="299">
        <f>IF(C64="AWS",SUMMARY!C$26%, 0)</f>
        <v>0</v>
      </c>
      <c r="O64" s="300">
        <f>((SUM(K64:L64))-((SUM(K64:L64))*N64))*(1 + M64)</f>
        <v>32.256000000000007</v>
      </c>
      <c r="P64" s="300">
        <f>O64*12</f>
        <v>387.07200000000012</v>
      </c>
    </row>
    <row r="65" spans="1:16">
      <c r="A65" s="294"/>
      <c r="B65" s="294"/>
      <c r="C65" s="294"/>
      <c r="D65" s="295"/>
      <c r="E65" s="295"/>
      <c r="F65" s="295"/>
      <c r="G65" s="294"/>
      <c r="H65" s="148" t="str">
        <f>IF(G64="Windows Server", "F:\appdir", "/appdir")</f>
        <v>F:\appdir</v>
      </c>
      <c r="I65" s="149">
        <f>CEILING(I39*(100+SUMMARY!$C$24)%,1)</f>
        <v>0</v>
      </c>
      <c r="J65" s="296"/>
      <c r="K65" s="296"/>
      <c r="L65" s="296"/>
      <c r="M65" s="296"/>
      <c r="N65" s="296"/>
      <c r="O65" s="296"/>
      <c r="P65" s="296"/>
    </row>
    <row r="66" spans="1:16">
      <c r="A66" s="294"/>
      <c r="B66" s="294"/>
      <c r="C66" s="294"/>
      <c r="D66" s="295"/>
      <c r="E66" s="295"/>
      <c r="F66" s="295"/>
      <c r="G66" s="294"/>
      <c r="H66" s="32" t="str">
        <f>IF(G64="Windows Server", "G:\Log", "/var/log")</f>
        <v>G:\Log</v>
      </c>
      <c r="I66" s="146">
        <f>IF(G64="Windows Server", 50, 20)</f>
        <v>50</v>
      </c>
      <c r="J66" s="296"/>
      <c r="K66" s="296"/>
      <c r="L66" s="296"/>
      <c r="M66" s="296"/>
      <c r="N66" s="296"/>
      <c r="O66" s="296"/>
      <c r="P66" s="296"/>
    </row>
    <row r="67" spans="1:16">
      <c r="A67" s="294"/>
      <c r="B67" s="294"/>
      <c r="C67" s="294"/>
      <c r="D67" s="295"/>
      <c r="E67" s="295"/>
      <c r="F67" s="295"/>
      <c r="G67" s="294"/>
      <c r="H67" s="32" t="str">
        <f>IF(G64="Windows Server", "H:\Backup", "/backup")</f>
        <v>H:\Backup</v>
      </c>
      <c r="I67" s="146">
        <f>IF(G64="Windows Server", 100, 10)</f>
        <v>100</v>
      </c>
      <c r="J67" s="296"/>
      <c r="K67" s="296"/>
      <c r="L67" s="296"/>
      <c r="M67" s="296"/>
      <c r="N67" s="296"/>
      <c r="O67" s="296"/>
      <c r="P67" s="296"/>
    </row>
    <row r="68" spans="1:16" ht="13.5" customHeight="1">
      <c r="A68" s="294"/>
      <c r="B68" s="290">
        <f>((12*7*4)/(24*7*4))*730</f>
        <v>365</v>
      </c>
      <c r="C68" s="294" t="s">
        <v>286</v>
      </c>
      <c r="D68" s="295"/>
      <c r="E68" s="310">
        <f>CEILING(E42*(100+SUMMARY!$C$24)%,1)</f>
        <v>0</v>
      </c>
      <c r="F68" s="310">
        <f>CEILING(F42*(100+SUMMARY!$C$24)%,1)</f>
        <v>0</v>
      </c>
      <c r="G68" s="294" t="s">
        <v>283</v>
      </c>
      <c r="H68" s="32" t="str">
        <f>IF(G68="Windows Server", "C:\", "/")</f>
        <v>C:\</v>
      </c>
      <c r="I68" s="146">
        <f>IF(G68="Windows Server", 150, 20)</f>
        <v>150</v>
      </c>
      <c r="J68" s="296">
        <f>SUM(I68:I71)</f>
        <v>300</v>
      </c>
      <c r="K68" s="297">
        <f>J68 *(IF(C68="AZURE", SUMMARY!C$20, SUMMARY!C$21))</f>
        <v>28.8</v>
      </c>
      <c r="L68" s="298"/>
      <c r="M68" s="299">
        <f>IF(C68="ON PREM", 0, SUMMARY!C$25%)</f>
        <v>0.12</v>
      </c>
      <c r="N68" s="299">
        <f>IF(C68="AWS",SUMMARY!C$26%, 0)</f>
        <v>0</v>
      </c>
      <c r="O68" s="300">
        <f>((SUM(K68:L68))-((SUM(K68:L68))*N68))*(1 + M68)</f>
        <v>32.256000000000007</v>
      </c>
      <c r="P68" s="300">
        <f>O68*12</f>
        <v>387.07200000000012</v>
      </c>
    </row>
    <row r="69" spans="1:16">
      <c r="A69" s="294"/>
      <c r="B69" s="294"/>
      <c r="C69" s="294"/>
      <c r="D69" s="295"/>
      <c r="E69" s="295"/>
      <c r="F69" s="295"/>
      <c r="G69" s="294"/>
      <c r="H69" s="148" t="str">
        <f>IF(G68="Windows Server", "F:\appdir", "/appdir")</f>
        <v>F:\appdir</v>
      </c>
      <c r="I69" s="149">
        <f>CEILING(I43*(100+SUMMARY!$C$24)%,1)</f>
        <v>0</v>
      </c>
      <c r="J69" s="296"/>
      <c r="K69" s="296"/>
      <c r="L69" s="296"/>
      <c r="M69" s="296"/>
      <c r="N69" s="296"/>
      <c r="O69" s="296"/>
      <c r="P69" s="296"/>
    </row>
    <row r="70" spans="1:16">
      <c r="A70" s="294"/>
      <c r="B70" s="294"/>
      <c r="C70" s="294"/>
      <c r="D70" s="295"/>
      <c r="E70" s="295"/>
      <c r="F70" s="295"/>
      <c r="G70" s="294"/>
      <c r="H70" s="32" t="str">
        <f>IF(G68="Windows Server", "G:\Log", "/var/log")</f>
        <v>G:\Log</v>
      </c>
      <c r="I70" s="146">
        <f>IF(G68="Windows Server", 50, 20)</f>
        <v>50</v>
      </c>
      <c r="J70" s="296"/>
      <c r="K70" s="296"/>
      <c r="L70" s="296"/>
      <c r="M70" s="296"/>
      <c r="N70" s="296"/>
      <c r="O70" s="296"/>
      <c r="P70" s="296"/>
    </row>
    <row r="71" spans="1:16">
      <c r="A71" s="294"/>
      <c r="B71" s="294"/>
      <c r="C71" s="294"/>
      <c r="D71" s="295"/>
      <c r="E71" s="295"/>
      <c r="F71" s="295"/>
      <c r="G71" s="294"/>
      <c r="H71" s="32" t="str">
        <f>IF(G68="Windows Server", "H:\Backup", "/backup")</f>
        <v>H:\Backup</v>
      </c>
      <c r="I71" s="146">
        <f>IF(G68="Windows Server", 100, 10)</f>
        <v>100</v>
      </c>
      <c r="J71" s="296"/>
      <c r="K71" s="296"/>
      <c r="L71" s="296"/>
      <c r="M71" s="296"/>
      <c r="N71" s="296"/>
      <c r="O71" s="296"/>
      <c r="P71" s="296"/>
    </row>
    <row r="72" spans="1:16" ht="13.5" customHeight="1">
      <c r="A72" s="294"/>
      <c r="B72" s="290">
        <f>((12*7*4)/(24*7*4))*730</f>
        <v>365</v>
      </c>
      <c r="C72" s="294" t="s">
        <v>286</v>
      </c>
      <c r="D72" s="295"/>
      <c r="E72" s="310">
        <f>CEILING(E46*(100+SUMMARY!$C$24)%,1)</f>
        <v>0</v>
      </c>
      <c r="F72" s="310">
        <f>CEILING(F46*(100+SUMMARY!$C$24)%,1)</f>
        <v>0</v>
      </c>
      <c r="G72" s="294" t="s">
        <v>283</v>
      </c>
      <c r="H72" s="32" t="str">
        <f>IF(G72="Windows Server", "C:\", "/")</f>
        <v>C:\</v>
      </c>
      <c r="I72" s="146">
        <f>IF(G72="Windows Server", 150, 20)</f>
        <v>150</v>
      </c>
      <c r="J72" s="296">
        <f>SUM(I72:I75)</f>
        <v>300</v>
      </c>
      <c r="K72" s="297">
        <f>J72 *(IF(C72="AZURE", SUMMARY!C$20, SUMMARY!C$21))</f>
        <v>28.8</v>
      </c>
      <c r="L72" s="298"/>
      <c r="M72" s="299">
        <f>IF(C72="ON PREM", 0, SUMMARY!C$25%)</f>
        <v>0.12</v>
      </c>
      <c r="N72" s="299">
        <f>IF(C72="AWS",SUMMARY!C$26%, 0)</f>
        <v>0</v>
      </c>
      <c r="O72" s="300">
        <f>((SUM(K72:L72))-((SUM(K72:L72))*N72))*(1 + M72)</f>
        <v>32.256000000000007</v>
      </c>
      <c r="P72" s="300">
        <f>O72*12</f>
        <v>387.07200000000012</v>
      </c>
    </row>
    <row r="73" spans="1:16">
      <c r="A73" s="294"/>
      <c r="B73" s="294"/>
      <c r="C73" s="294"/>
      <c r="D73" s="295"/>
      <c r="E73" s="295"/>
      <c r="F73" s="295"/>
      <c r="G73" s="294"/>
      <c r="H73" s="148" t="str">
        <f>IF(G72="Windows Server", "F:\appdir", "/appdir")</f>
        <v>F:\appdir</v>
      </c>
      <c r="I73" s="149">
        <f>CEILING(I47*(100+SUMMARY!$C$24)%,1)</f>
        <v>0</v>
      </c>
      <c r="J73" s="296"/>
      <c r="K73" s="296"/>
      <c r="L73" s="296"/>
      <c r="M73" s="296"/>
      <c r="N73" s="296"/>
      <c r="O73" s="296"/>
      <c r="P73" s="296"/>
    </row>
    <row r="74" spans="1:16">
      <c r="A74" s="294"/>
      <c r="B74" s="294"/>
      <c r="C74" s="294"/>
      <c r="D74" s="295"/>
      <c r="E74" s="295"/>
      <c r="F74" s="295"/>
      <c r="G74" s="294"/>
      <c r="H74" s="32" t="str">
        <f>IF(G72="Windows Server", "G:\Log", "/var/log")</f>
        <v>G:\Log</v>
      </c>
      <c r="I74" s="146">
        <f>IF(G72="Windows Server", 50, 20)</f>
        <v>50</v>
      </c>
      <c r="J74" s="296"/>
      <c r="K74" s="296"/>
      <c r="L74" s="296"/>
      <c r="M74" s="296"/>
      <c r="N74" s="296"/>
      <c r="O74" s="296"/>
      <c r="P74" s="296"/>
    </row>
    <row r="75" spans="1:16">
      <c r="A75" s="294"/>
      <c r="B75" s="294"/>
      <c r="C75" s="294"/>
      <c r="D75" s="295"/>
      <c r="E75" s="295"/>
      <c r="F75" s="295"/>
      <c r="G75" s="294"/>
      <c r="H75" s="32" t="str">
        <f>IF(G72="Windows Server", "H:\Backup", "/backup")</f>
        <v>H:\Backup</v>
      </c>
      <c r="I75" s="146">
        <f>IF(G72="Windows Server", 100, 10)</f>
        <v>100</v>
      </c>
      <c r="J75" s="296"/>
      <c r="K75" s="296"/>
      <c r="L75" s="296"/>
      <c r="M75" s="296"/>
      <c r="N75" s="296"/>
      <c r="O75" s="296"/>
      <c r="P75" s="296"/>
    </row>
    <row r="76" spans="1:16" ht="13.5" customHeight="1">
      <c r="A76" s="294"/>
      <c r="B76" s="290">
        <f>((12*7*4)/(24*7*4))*730</f>
        <v>365</v>
      </c>
      <c r="C76" s="294" t="s">
        <v>286</v>
      </c>
      <c r="D76" s="295"/>
      <c r="E76" s="310">
        <f>CEILING(E50*(100+SUMMARY!$C$24)%,1)</f>
        <v>0</v>
      </c>
      <c r="F76" s="310">
        <f>CEILING(F50*(100+SUMMARY!$C$24)%,1)</f>
        <v>0</v>
      </c>
      <c r="G76" s="294" t="s">
        <v>283</v>
      </c>
      <c r="H76" s="32" t="str">
        <f>IF(G76="Windows Server", "C:\", "/")</f>
        <v>C:\</v>
      </c>
      <c r="I76" s="146">
        <f>IF(G76="Windows Server", 150, 20)</f>
        <v>150</v>
      </c>
      <c r="J76" s="296">
        <f>SUM(I76:I79)</f>
        <v>300</v>
      </c>
      <c r="K76" s="297">
        <f>J76 *(IF(C76="AZURE", SUMMARY!C$20, SUMMARY!C$21))</f>
        <v>28.8</v>
      </c>
      <c r="L76" s="298"/>
      <c r="M76" s="299">
        <f>IF(C76="ON PREM", 0, SUMMARY!C$25%)</f>
        <v>0.12</v>
      </c>
      <c r="N76" s="299">
        <f>IF(C76="AWS",SUMMARY!C$26%, 0)</f>
        <v>0</v>
      </c>
      <c r="O76" s="300">
        <f>((SUM(K76:L76))-((SUM(K76:L76))*N76))*(1 + M76)</f>
        <v>32.256000000000007</v>
      </c>
      <c r="P76" s="300">
        <f>O76*12</f>
        <v>387.07200000000012</v>
      </c>
    </row>
    <row r="77" spans="1:16">
      <c r="A77" s="294"/>
      <c r="B77" s="294"/>
      <c r="C77" s="294"/>
      <c r="D77" s="295"/>
      <c r="E77" s="295"/>
      <c r="F77" s="295"/>
      <c r="G77" s="294"/>
      <c r="H77" s="148" t="str">
        <f>IF(G76="Windows Server", "F:\appdir", "/appdir")</f>
        <v>F:\appdir</v>
      </c>
      <c r="I77" s="149">
        <f>CEILING(I51*(100+SUMMARY!$C$24)%,1)</f>
        <v>0</v>
      </c>
      <c r="J77" s="296"/>
      <c r="K77" s="296"/>
      <c r="L77" s="296"/>
      <c r="M77" s="296"/>
      <c r="N77" s="296"/>
      <c r="O77" s="296"/>
      <c r="P77" s="296"/>
    </row>
    <row r="78" spans="1:16">
      <c r="A78" s="294"/>
      <c r="B78" s="294"/>
      <c r="C78" s="294"/>
      <c r="D78" s="295"/>
      <c r="E78" s="295"/>
      <c r="F78" s="295"/>
      <c r="G78" s="294"/>
      <c r="H78" s="32" t="str">
        <f>IF(G76="Windows Server", "G:\Log", "/var/log")</f>
        <v>G:\Log</v>
      </c>
      <c r="I78" s="146">
        <f>IF(G76="Windows Server", 50, 20)</f>
        <v>50</v>
      </c>
      <c r="J78" s="296"/>
      <c r="K78" s="296"/>
      <c r="L78" s="296"/>
      <c r="M78" s="296"/>
      <c r="N78" s="296"/>
      <c r="O78" s="296"/>
      <c r="P78" s="296"/>
    </row>
    <row r="79" spans="1:16">
      <c r="A79" s="294"/>
      <c r="B79" s="294"/>
      <c r="C79" s="294"/>
      <c r="D79" s="295"/>
      <c r="E79" s="295"/>
      <c r="F79" s="295"/>
      <c r="G79" s="294"/>
      <c r="H79" s="32" t="str">
        <f>IF(G76="Windows Server", "H:\Backup", "/backup")</f>
        <v>H:\Backup</v>
      </c>
      <c r="I79" s="146">
        <f>IF(G76="Windows Server", 100, 10)</f>
        <v>100</v>
      </c>
      <c r="J79" s="296"/>
      <c r="K79" s="296"/>
      <c r="L79" s="296"/>
      <c r="M79" s="296"/>
      <c r="N79" s="296"/>
      <c r="O79" s="296"/>
      <c r="P79" s="296"/>
    </row>
    <row r="80" spans="1:16" ht="14.25" customHeight="1">
      <c r="A80" s="3"/>
      <c r="B80" s="153"/>
      <c r="C80" s="153"/>
      <c r="D80" s="153"/>
      <c r="E80" s="156">
        <f>SUM(E56:E79)</f>
        <v>0</v>
      </c>
      <c r="F80" s="156">
        <f>SUM(F56:F79)</f>
        <v>0</v>
      </c>
      <c r="G80" s="153"/>
      <c r="H80" s="153"/>
      <c r="I80" s="153"/>
      <c r="J80" s="153">
        <f>SUM(J56:J79)</f>
        <v>1800</v>
      </c>
      <c r="K80" s="154">
        <f>SUM(K56:K79)</f>
        <v>172.8</v>
      </c>
      <c r="L80" s="154">
        <f>SUM(L56:L79)</f>
        <v>0</v>
      </c>
      <c r="M80" s="154"/>
      <c r="N80" s="154"/>
      <c r="O80" s="154">
        <f>SUM(O56:O79)</f>
        <v>190.08</v>
      </c>
      <c r="P80" s="154">
        <f>SUM(P56:P79)</f>
        <v>2280.9600000000005</v>
      </c>
    </row>
    <row r="81" spans="1:16" s="129" customFormat="1">
      <c r="A81" s="144" t="s">
        <v>289</v>
      </c>
      <c r="B81" s="301"/>
      <c r="C81" s="301"/>
      <c r="D81" s="301"/>
      <c r="E81" s="301"/>
      <c r="F81" s="301"/>
      <c r="G81" s="301"/>
      <c r="H81" s="301"/>
      <c r="I81" s="301"/>
      <c r="J81" s="301"/>
      <c r="K81" s="301"/>
      <c r="L81" s="301"/>
      <c r="M81" s="301"/>
      <c r="N81" s="301"/>
      <c r="O81" s="301"/>
      <c r="P81" s="301"/>
    </row>
    <row r="82" spans="1:16" ht="13.5" customHeight="1">
      <c r="A82" s="302"/>
      <c r="B82" s="290">
        <f>((12*7*4)/(24*7*4))*730</f>
        <v>365</v>
      </c>
      <c r="C82" s="303" t="s">
        <v>282</v>
      </c>
      <c r="D82" s="311"/>
      <c r="E82" s="305">
        <f>CEILING(E56*(100+SUMMARY!$C$24)%,1)</f>
        <v>0</v>
      </c>
      <c r="F82" s="305">
        <f>CEILING(F56*(100+SUMMARY!$C$24)%,1)</f>
        <v>0</v>
      </c>
      <c r="G82" s="306" t="s">
        <v>287</v>
      </c>
      <c r="H82" s="32" t="str">
        <f>IF(G82="Windows Server", "C:\", "/")</f>
        <v>/</v>
      </c>
      <c r="I82" s="146">
        <f>IF(G82="Windows Server", 150, 20)</f>
        <v>20</v>
      </c>
      <c r="J82" s="296">
        <f>SUM(I82:I85)</f>
        <v>50</v>
      </c>
      <c r="K82" s="307">
        <f>J82 *(IF(C82="AZURE", SUMMARY!C$20, SUMMARY!C$21))</f>
        <v>4.8</v>
      </c>
      <c r="L82" s="308"/>
      <c r="M82" s="299">
        <f>IF(C82="ON PREM", 0, SUMMARY!C$25%)</f>
        <v>0.12</v>
      </c>
      <c r="N82" s="299">
        <f>IF(C82="AWS",SUMMARY!C$26%, 0)</f>
        <v>0.13</v>
      </c>
      <c r="O82" s="300">
        <f>((SUM(K82:L82))-((SUM(K82:L82))*N82))*(1 + M82)</f>
        <v>4.6771200000000004</v>
      </c>
      <c r="P82" s="300">
        <f>O82*12</f>
        <v>56.125440000000005</v>
      </c>
    </row>
    <row r="83" spans="1:16">
      <c r="A83" s="302"/>
      <c r="B83" s="302"/>
      <c r="C83" s="303"/>
      <c r="D83" s="311"/>
      <c r="E83" s="311"/>
      <c r="F83" s="311"/>
      <c r="G83" s="306"/>
      <c r="H83" s="155" t="str">
        <f>IF(G82="Windows Server", "F:\appdir", "/appdir")</f>
        <v>/appdir</v>
      </c>
      <c r="I83" s="152">
        <f>CEILING(I57*(100+SUMMARY!$C$24)%,1)</f>
        <v>0</v>
      </c>
      <c r="J83" s="296"/>
      <c r="K83" s="296"/>
      <c r="L83" s="296"/>
      <c r="M83" s="296"/>
      <c r="N83" s="296"/>
      <c r="O83" s="296"/>
      <c r="P83" s="296"/>
    </row>
    <row r="84" spans="1:16">
      <c r="A84" s="302"/>
      <c r="B84" s="302"/>
      <c r="C84" s="303"/>
      <c r="D84" s="311"/>
      <c r="E84" s="311"/>
      <c r="F84" s="311"/>
      <c r="G84" s="306"/>
      <c r="H84" s="32" t="str">
        <f>IF(G82="Windows Server", "G:\Log", "/var/log")</f>
        <v>/var/log</v>
      </c>
      <c r="I84" s="146">
        <f>IF(G82="Windows Server", 50, 20)</f>
        <v>20</v>
      </c>
      <c r="J84" s="296"/>
      <c r="K84" s="296"/>
      <c r="L84" s="296"/>
      <c r="M84" s="296"/>
      <c r="N84" s="296"/>
      <c r="O84" s="296"/>
      <c r="P84" s="296"/>
    </row>
    <row r="85" spans="1:16">
      <c r="A85" s="302"/>
      <c r="B85" s="302"/>
      <c r="C85" s="303"/>
      <c r="D85" s="311"/>
      <c r="E85" s="311"/>
      <c r="F85" s="311"/>
      <c r="G85" s="306"/>
      <c r="H85" s="32" t="str">
        <f>IF(G82="Windows Server", "H:\Backup", "/backup")</f>
        <v>/backup</v>
      </c>
      <c r="I85" s="146">
        <f>IF(G82="Windows Server", 100, 10)</f>
        <v>10</v>
      </c>
      <c r="J85" s="296"/>
      <c r="K85" s="296"/>
      <c r="L85" s="296"/>
      <c r="M85" s="296"/>
      <c r="N85" s="296"/>
      <c r="O85" s="296"/>
      <c r="P85" s="296"/>
    </row>
    <row r="86" spans="1:16" ht="13.5" customHeight="1">
      <c r="A86" s="302"/>
      <c r="B86" s="290">
        <f>((12*7*4)/(24*7*4))*730</f>
        <v>365</v>
      </c>
      <c r="C86" s="303" t="s">
        <v>282</v>
      </c>
      <c r="D86" s="311"/>
      <c r="E86" s="305">
        <f>CEILING(E60*(100+SUMMARY!$C$24)%,1)</f>
        <v>0</v>
      </c>
      <c r="F86" s="305">
        <f>CEILING(F60*(100+SUMMARY!$C$24)%,1)</f>
        <v>0</v>
      </c>
      <c r="G86" s="306" t="s">
        <v>283</v>
      </c>
      <c r="H86" s="32" t="str">
        <f>IF(G86="Windows Server", "C:\", "/")</f>
        <v>C:\</v>
      </c>
      <c r="I86" s="146">
        <f>IF(G86="Windows Server", 150, 20)</f>
        <v>150</v>
      </c>
      <c r="J86" s="296">
        <f>SUM(I86:I89)</f>
        <v>300</v>
      </c>
      <c r="K86" s="307">
        <f>J86 *(IF(C86="AZURE", SUMMARY!C$20, SUMMARY!C$21))</f>
        <v>28.8</v>
      </c>
      <c r="L86" s="308"/>
      <c r="M86" s="299">
        <f>IF(C86="ON PREM", 0, SUMMARY!C$25%)</f>
        <v>0.12</v>
      </c>
      <c r="N86" s="299">
        <f>IF(C86="AWS",SUMMARY!C$26%, 0)</f>
        <v>0.13</v>
      </c>
      <c r="O86" s="300">
        <f>((SUM(K86:L86))-((SUM(K86:L86))*N86))*(1 + M86)</f>
        <v>28.062720000000002</v>
      </c>
      <c r="P86" s="300">
        <f>O86*12</f>
        <v>336.75264000000004</v>
      </c>
    </row>
    <row r="87" spans="1:16">
      <c r="A87" s="302"/>
      <c r="B87" s="302"/>
      <c r="C87" s="303"/>
      <c r="D87" s="311"/>
      <c r="E87" s="311"/>
      <c r="F87" s="311"/>
      <c r="G87" s="306"/>
      <c r="H87" s="155" t="str">
        <f>IF(G86="Windows Server", "F:\appdir", "/appdir")</f>
        <v>F:\appdir</v>
      </c>
      <c r="I87" s="152">
        <f>CEILING(I61*(100+SUMMARY!$C$24)%,1)</f>
        <v>0</v>
      </c>
      <c r="J87" s="296"/>
      <c r="K87" s="296"/>
      <c r="L87" s="296"/>
      <c r="M87" s="296"/>
      <c r="N87" s="296"/>
      <c r="O87" s="296"/>
      <c r="P87" s="296"/>
    </row>
    <row r="88" spans="1:16">
      <c r="A88" s="302"/>
      <c r="B88" s="302"/>
      <c r="C88" s="303"/>
      <c r="D88" s="311"/>
      <c r="E88" s="311"/>
      <c r="F88" s="311"/>
      <c r="G88" s="306"/>
      <c r="H88" s="32" t="str">
        <f>IF(G86="Windows Server", "G:\Log", "/var/log")</f>
        <v>G:\Log</v>
      </c>
      <c r="I88" s="146">
        <f>IF(G86="Windows Server", 50, 20)</f>
        <v>50</v>
      </c>
      <c r="J88" s="296"/>
      <c r="K88" s="296"/>
      <c r="L88" s="296"/>
      <c r="M88" s="296"/>
      <c r="N88" s="296"/>
      <c r="O88" s="296"/>
      <c r="P88" s="296"/>
    </row>
    <row r="89" spans="1:16">
      <c r="A89" s="302"/>
      <c r="B89" s="302"/>
      <c r="C89" s="303"/>
      <c r="D89" s="311"/>
      <c r="E89" s="311"/>
      <c r="F89" s="311"/>
      <c r="G89" s="306"/>
      <c r="H89" s="32" t="str">
        <f>IF(G86="Windows Server", "H:\Backup", "/backup")</f>
        <v>H:\Backup</v>
      </c>
      <c r="I89" s="146">
        <f>IF(G86="Windows Server", 100, 10)</f>
        <v>100</v>
      </c>
      <c r="J89" s="296"/>
      <c r="K89" s="296"/>
      <c r="L89" s="296"/>
      <c r="M89" s="296"/>
      <c r="N89" s="296"/>
      <c r="O89" s="296"/>
      <c r="P89" s="296"/>
    </row>
    <row r="90" spans="1:16" ht="13.5" customHeight="1">
      <c r="A90" s="302"/>
      <c r="B90" s="290">
        <f>((12*7*4)/(24*7*4))*730</f>
        <v>365</v>
      </c>
      <c r="C90" s="303" t="s">
        <v>282</v>
      </c>
      <c r="D90" s="311"/>
      <c r="E90" s="305">
        <f>CEILING(E64*(100+SUMMARY!$C$24)%,1)</f>
        <v>0</v>
      </c>
      <c r="F90" s="305">
        <f>CEILING(F64*(100+SUMMARY!$C$24)%,1)</f>
        <v>0</v>
      </c>
      <c r="G90" s="306" t="s">
        <v>283</v>
      </c>
      <c r="H90" s="32" t="str">
        <f>IF(G90="Windows Server", "C:\", "/")</f>
        <v>C:\</v>
      </c>
      <c r="I90" s="146">
        <f>IF(G90="Windows Server", 150, 20)</f>
        <v>150</v>
      </c>
      <c r="J90" s="296">
        <f>SUM(I90:I93)</f>
        <v>300</v>
      </c>
      <c r="K90" s="307">
        <f>J90 *(IF(C90="AZURE", SUMMARY!C$20, SUMMARY!C$21))</f>
        <v>28.8</v>
      </c>
      <c r="L90" s="308"/>
      <c r="M90" s="299">
        <f>IF(C90="ON PREM", 0, SUMMARY!C$25%)</f>
        <v>0.12</v>
      </c>
      <c r="N90" s="299">
        <f>IF(C90="AWS",SUMMARY!C$26%, 0)</f>
        <v>0.13</v>
      </c>
      <c r="O90" s="300">
        <f>((SUM(K90:L90))-((SUM(K90:L90))*N90))*(1 + M90)</f>
        <v>28.062720000000002</v>
      </c>
      <c r="P90" s="300">
        <f>O90*12</f>
        <v>336.75264000000004</v>
      </c>
    </row>
    <row r="91" spans="1:16">
      <c r="A91" s="302"/>
      <c r="B91" s="302"/>
      <c r="C91" s="303"/>
      <c r="D91" s="311"/>
      <c r="E91" s="311"/>
      <c r="F91" s="311"/>
      <c r="G91" s="306"/>
      <c r="H91" s="155" t="str">
        <f>IF(G90="Windows Server", "F:\appdir", "/appdir")</f>
        <v>F:\appdir</v>
      </c>
      <c r="I91" s="152">
        <f>CEILING(I65*(100+SUMMARY!$C$24)%,1)</f>
        <v>0</v>
      </c>
      <c r="J91" s="296"/>
      <c r="K91" s="296"/>
      <c r="L91" s="296"/>
      <c r="M91" s="296"/>
      <c r="N91" s="296"/>
      <c r="O91" s="296"/>
      <c r="P91" s="296"/>
    </row>
    <row r="92" spans="1:16">
      <c r="A92" s="302"/>
      <c r="B92" s="302"/>
      <c r="C92" s="303"/>
      <c r="D92" s="311"/>
      <c r="E92" s="311"/>
      <c r="F92" s="311"/>
      <c r="G92" s="306"/>
      <c r="H92" s="32" t="str">
        <f>IF(G90="Windows Server", "G:\Log", "/var/log")</f>
        <v>G:\Log</v>
      </c>
      <c r="I92" s="146">
        <f>IF(G90="Windows Server", 50, 20)</f>
        <v>50</v>
      </c>
      <c r="J92" s="296"/>
      <c r="K92" s="296"/>
      <c r="L92" s="296"/>
      <c r="M92" s="296"/>
      <c r="N92" s="296"/>
      <c r="O92" s="296"/>
      <c r="P92" s="296"/>
    </row>
    <row r="93" spans="1:16">
      <c r="A93" s="302"/>
      <c r="B93" s="302"/>
      <c r="C93" s="303"/>
      <c r="D93" s="311"/>
      <c r="E93" s="311"/>
      <c r="F93" s="311"/>
      <c r="G93" s="306"/>
      <c r="H93" s="32" t="str">
        <f>IF(G90="Windows Server", "H:\Backup", "/backup")</f>
        <v>H:\Backup</v>
      </c>
      <c r="I93" s="146">
        <f>IF(G90="Windows Server", 100, 10)</f>
        <v>100</v>
      </c>
      <c r="J93" s="296"/>
      <c r="K93" s="296"/>
      <c r="L93" s="296"/>
      <c r="M93" s="296"/>
      <c r="N93" s="296"/>
      <c r="O93" s="296"/>
      <c r="P93" s="296"/>
    </row>
    <row r="94" spans="1:16" ht="13.5" customHeight="1">
      <c r="A94" s="302"/>
      <c r="B94" s="290">
        <f>((12*7*4)/(24*7*4))*730</f>
        <v>365</v>
      </c>
      <c r="C94" s="303" t="s">
        <v>282</v>
      </c>
      <c r="D94" s="311"/>
      <c r="E94" s="305">
        <f>CEILING(E68*(100+SUMMARY!$C$24)%,1)</f>
        <v>0</v>
      </c>
      <c r="F94" s="305">
        <f>CEILING(F68*(100+SUMMARY!$C$24)%,1)</f>
        <v>0</v>
      </c>
      <c r="G94" s="306" t="s">
        <v>283</v>
      </c>
      <c r="H94" s="32" t="str">
        <f>IF(G94="Windows Server", "C:\", "/")</f>
        <v>C:\</v>
      </c>
      <c r="I94" s="146">
        <f>IF(G94="Windows Server", 150, 20)</f>
        <v>150</v>
      </c>
      <c r="J94" s="296">
        <f>SUM(I94:I97)</f>
        <v>300</v>
      </c>
      <c r="K94" s="307">
        <f>J94 *(IF(C94="AZURE", SUMMARY!C$20, SUMMARY!C$21))</f>
        <v>28.8</v>
      </c>
      <c r="L94" s="308"/>
      <c r="M94" s="299">
        <f>IF(C94="ON PREM", 0, SUMMARY!C$25%)</f>
        <v>0.12</v>
      </c>
      <c r="N94" s="299">
        <f>IF(C94="AWS",SUMMARY!C$26%, 0)</f>
        <v>0.13</v>
      </c>
      <c r="O94" s="300">
        <f>((SUM(K94:L94))-((SUM(K94:L94))*N94))*(1 + M94)</f>
        <v>28.062720000000002</v>
      </c>
      <c r="P94" s="300">
        <f>O94*12</f>
        <v>336.75264000000004</v>
      </c>
    </row>
    <row r="95" spans="1:16">
      <c r="A95" s="302"/>
      <c r="B95" s="302"/>
      <c r="C95" s="303"/>
      <c r="D95" s="311"/>
      <c r="E95" s="311"/>
      <c r="F95" s="311"/>
      <c r="G95" s="306"/>
      <c r="H95" s="155" t="str">
        <f>IF(G94="Windows Server", "F:\appdir", "/appdir")</f>
        <v>F:\appdir</v>
      </c>
      <c r="I95" s="152">
        <f>CEILING(I69*(100+SUMMARY!$C$24)%,1)</f>
        <v>0</v>
      </c>
      <c r="J95" s="296"/>
      <c r="K95" s="296"/>
      <c r="L95" s="296"/>
      <c r="M95" s="296"/>
      <c r="N95" s="296"/>
      <c r="O95" s="296"/>
      <c r="P95" s="296"/>
    </row>
    <row r="96" spans="1:16">
      <c r="A96" s="302"/>
      <c r="B96" s="302"/>
      <c r="C96" s="303"/>
      <c r="D96" s="311"/>
      <c r="E96" s="311"/>
      <c r="F96" s="311"/>
      <c r="G96" s="306"/>
      <c r="H96" s="32" t="str">
        <f>IF(G94="Windows Server", "G:\Log", "/var/log")</f>
        <v>G:\Log</v>
      </c>
      <c r="I96" s="146">
        <f>IF(G94="Windows Server", 50, 20)</f>
        <v>50</v>
      </c>
      <c r="J96" s="296"/>
      <c r="K96" s="296"/>
      <c r="L96" s="296"/>
      <c r="M96" s="296"/>
      <c r="N96" s="296"/>
      <c r="O96" s="296"/>
      <c r="P96" s="296"/>
    </row>
    <row r="97" spans="1:16">
      <c r="A97" s="302"/>
      <c r="B97" s="302"/>
      <c r="C97" s="303"/>
      <c r="D97" s="311"/>
      <c r="E97" s="311"/>
      <c r="F97" s="311"/>
      <c r="G97" s="306"/>
      <c r="H97" s="32" t="str">
        <f>IF(G94="Windows Server", "H:\Backup", "/backup")</f>
        <v>H:\Backup</v>
      </c>
      <c r="I97" s="146">
        <f>IF(G94="Windows Server", 100, 10)</f>
        <v>100</v>
      </c>
      <c r="J97" s="296"/>
      <c r="K97" s="296"/>
      <c r="L97" s="296"/>
      <c r="M97" s="296"/>
      <c r="N97" s="296"/>
      <c r="O97" s="296"/>
      <c r="P97" s="296"/>
    </row>
    <row r="98" spans="1:16" ht="13.5" customHeight="1">
      <c r="A98" s="302"/>
      <c r="B98" s="290">
        <f>((12*7*4)/(24*7*4))*730</f>
        <v>365</v>
      </c>
      <c r="C98" s="303" t="s">
        <v>282</v>
      </c>
      <c r="D98" s="311"/>
      <c r="E98" s="305">
        <f>CEILING(E72*(100+SUMMARY!$C$24)%,1)</f>
        <v>0</v>
      </c>
      <c r="F98" s="305">
        <f>CEILING(F72*(100+SUMMARY!$C$24)%,1)</f>
        <v>0</v>
      </c>
      <c r="G98" s="306" t="s">
        <v>283</v>
      </c>
      <c r="H98" s="32" t="str">
        <f>IF(G98="Windows Server", "C:\", "/")</f>
        <v>C:\</v>
      </c>
      <c r="I98" s="146">
        <f>IF(G98="Windows Server", 150, 20)</f>
        <v>150</v>
      </c>
      <c r="J98" s="296">
        <f>SUM(I98:I101)</f>
        <v>300</v>
      </c>
      <c r="K98" s="307">
        <f>J98 *(IF(C98="AZURE", SUMMARY!C$20, SUMMARY!C$21))</f>
        <v>28.8</v>
      </c>
      <c r="L98" s="308"/>
      <c r="M98" s="299">
        <f>IF(C98="ON PREM", 0, SUMMARY!C$25%)</f>
        <v>0.12</v>
      </c>
      <c r="N98" s="299">
        <f>IF(C98="AWS",SUMMARY!C$26%, 0)</f>
        <v>0.13</v>
      </c>
      <c r="O98" s="300">
        <f>((SUM(K98:L98))-((SUM(K98:L98))*N98))*(1 + M98)</f>
        <v>28.062720000000002</v>
      </c>
      <c r="P98" s="300">
        <f>O98*12</f>
        <v>336.75264000000004</v>
      </c>
    </row>
    <row r="99" spans="1:16">
      <c r="A99" s="302"/>
      <c r="B99" s="302"/>
      <c r="C99" s="303"/>
      <c r="D99" s="311"/>
      <c r="E99" s="311"/>
      <c r="F99" s="311"/>
      <c r="G99" s="306"/>
      <c r="H99" s="155" t="str">
        <f>IF(G98="Windows Server", "F:\appdir", "/appdir")</f>
        <v>F:\appdir</v>
      </c>
      <c r="I99" s="152">
        <f>CEILING(I73*(100+SUMMARY!$C$24)%,1)</f>
        <v>0</v>
      </c>
      <c r="J99" s="296"/>
      <c r="K99" s="296"/>
      <c r="L99" s="296"/>
      <c r="M99" s="296"/>
      <c r="N99" s="296"/>
      <c r="O99" s="296"/>
      <c r="P99" s="296"/>
    </row>
    <row r="100" spans="1:16">
      <c r="A100" s="302"/>
      <c r="B100" s="302"/>
      <c r="C100" s="303"/>
      <c r="D100" s="311"/>
      <c r="E100" s="311"/>
      <c r="F100" s="311"/>
      <c r="G100" s="306"/>
      <c r="H100" s="32" t="str">
        <f>IF(G98="Windows Server", "G:\Log", "/var/log")</f>
        <v>G:\Log</v>
      </c>
      <c r="I100" s="146">
        <f>IF(G98="Windows Server", 50, 20)</f>
        <v>50</v>
      </c>
      <c r="J100" s="296"/>
      <c r="K100" s="296"/>
      <c r="L100" s="296"/>
      <c r="M100" s="296"/>
      <c r="N100" s="296"/>
      <c r="O100" s="296"/>
      <c r="P100" s="296"/>
    </row>
    <row r="101" spans="1:16">
      <c r="A101" s="302"/>
      <c r="B101" s="302"/>
      <c r="C101" s="303"/>
      <c r="D101" s="311"/>
      <c r="E101" s="311"/>
      <c r="F101" s="311"/>
      <c r="G101" s="306"/>
      <c r="H101" s="32" t="str">
        <f>IF(G98="Windows Server", "H:\Backup", "/backup")</f>
        <v>H:\Backup</v>
      </c>
      <c r="I101" s="146">
        <f>IF(G98="Windows Server", 100, 10)</f>
        <v>100</v>
      </c>
      <c r="J101" s="296"/>
      <c r="K101" s="296"/>
      <c r="L101" s="296"/>
      <c r="M101" s="296"/>
      <c r="N101" s="296"/>
      <c r="O101" s="296"/>
      <c r="P101" s="296"/>
    </row>
    <row r="102" spans="1:16" ht="13.5" customHeight="1">
      <c r="A102" s="302"/>
      <c r="B102" s="290">
        <f>((12*7*4)/(24*7*4))*730</f>
        <v>365</v>
      </c>
      <c r="C102" s="303" t="s">
        <v>282</v>
      </c>
      <c r="D102" s="311"/>
      <c r="E102" s="305">
        <f>CEILING(E76*(100+SUMMARY!$C$24)%,1)</f>
        <v>0</v>
      </c>
      <c r="F102" s="305">
        <f>CEILING(F76*(100+SUMMARY!$C$24)%,1)</f>
        <v>0</v>
      </c>
      <c r="G102" s="306" t="s">
        <v>283</v>
      </c>
      <c r="H102" s="32" t="str">
        <f>IF(G102="Windows Server", "C:\", "/")</f>
        <v>C:\</v>
      </c>
      <c r="I102" s="146">
        <f>IF(G102="Windows Server", 150, 20)</f>
        <v>150</v>
      </c>
      <c r="J102" s="296">
        <f>SUM(I102:I105)</f>
        <v>300</v>
      </c>
      <c r="K102" s="307">
        <f>J102 *(IF(C102="AZURE", SUMMARY!C$20, SUMMARY!C$21))</f>
        <v>28.8</v>
      </c>
      <c r="L102" s="308"/>
      <c r="M102" s="299">
        <f>IF(C102="ON PREM", 0, SUMMARY!C$25%)</f>
        <v>0.12</v>
      </c>
      <c r="N102" s="299">
        <f>IF(C102="AWS",SUMMARY!C$26%, 0)</f>
        <v>0.13</v>
      </c>
      <c r="O102" s="300">
        <f>((SUM(K102:L102))-((SUM(K102:L102))*N102))*(1 + M102)</f>
        <v>28.062720000000002</v>
      </c>
      <c r="P102" s="300">
        <f>O102*12</f>
        <v>336.75264000000004</v>
      </c>
    </row>
    <row r="103" spans="1:16">
      <c r="A103" s="302"/>
      <c r="B103" s="302"/>
      <c r="C103" s="303"/>
      <c r="D103" s="311"/>
      <c r="E103" s="311"/>
      <c r="F103" s="311"/>
      <c r="G103" s="306"/>
      <c r="H103" s="155" t="str">
        <f>IF(G102="Windows Server", "F:\appdir", "/appdir")</f>
        <v>F:\appdir</v>
      </c>
      <c r="I103" s="152">
        <f>CEILING(I77*(100+SUMMARY!$C$24)%,1)</f>
        <v>0</v>
      </c>
      <c r="J103" s="296"/>
      <c r="K103" s="296"/>
      <c r="L103" s="296"/>
      <c r="M103" s="296"/>
      <c r="N103" s="296"/>
      <c r="O103" s="296"/>
      <c r="P103" s="296"/>
    </row>
    <row r="104" spans="1:16">
      <c r="A104" s="302"/>
      <c r="B104" s="302"/>
      <c r="C104" s="303"/>
      <c r="D104" s="311"/>
      <c r="E104" s="311"/>
      <c r="F104" s="311"/>
      <c r="G104" s="306"/>
      <c r="H104" s="32" t="str">
        <f>IF(G102="Windows Server", "G:\Log", "/var/log")</f>
        <v>G:\Log</v>
      </c>
      <c r="I104" s="146">
        <f>IF(G102="Windows Server", 50, 20)</f>
        <v>50</v>
      </c>
      <c r="J104" s="296"/>
      <c r="K104" s="296"/>
      <c r="L104" s="296"/>
      <c r="M104" s="296"/>
      <c r="N104" s="296"/>
      <c r="O104" s="296"/>
      <c r="P104" s="296"/>
    </row>
    <row r="105" spans="1:16">
      <c r="A105" s="302"/>
      <c r="B105" s="302"/>
      <c r="C105" s="303"/>
      <c r="D105" s="311"/>
      <c r="E105" s="311"/>
      <c r="F105" s="311"/>
      <c r="G105" s="306"/>
      <c r="H105" s="32" t="str">
        <f>IF(G102="Windows Server", "H:\Backup", "/backup")</f>
        <v>H:\Backup</v>
      </c>
      <c r="I105" s="146">
        <f>IF(G102="Windows Server", 100, 10)</f>
        <v>100</v>
      </c>
      <c r="J105" s="296"/>
      <c r="K105" s="296"/>
      <c r="L105" s="296"/>
      <c r="M105" s="296"/>
      <c r="N105" s="296"/>
      <c r="O105" s="296"/>
      <c r="P105" s="296"/>
    </row>
    <row r="106" spans="1:16" ht="14.25" customHeight="1">
      <c r="A106" s="3"/>
      <c r="B106" s="153"/>
      <c r="C106" s="153"/>
      <c r="D106" s="153"/>
      <c r="E106" s="156">
        <f>SUM(E82:E105)</f>
        <v>0</v>
      </c>
      <c r="F106" s="156">
        <f>SUM(F82:F105)</f>
        <v>0</v>
      </c>
      <c r="G106" s="156"/>
      <c r="H106" s="153"/>
      <c r="I106" s="153"/>
      <c r="J106" s="156">
        <f>SUM(J82:J105)</f>
        <v>1550</v>
      </c>
      <c r="K106" s="154">
        <f>SUM(K82:K105)</f>
        <v>148.80000000000001</v>
      </c>
      <c r="L106" s="154">
        <f>SUM(L82:L105)</f>
        <v>0</v>
      </c>
      <c r="M106" s="154"/>
      <c r="N106" s="154"/>
      <c r="O106" s="154">
        <f>SUM(O82:O105)</f>
        <v>144.99072000000001</v>
      </c>
      <c r="P106" s="154">
        <f>SUM(P82:P105)</f>
        <v>1739.8886400000006</v>
      </c>
    </row>
    <row r="107" spans="1:16" s="129" customFormat="1">
      <c r="A107" s="144" t="s">
        <v>290</v>
      </c>
      <c r="B107" s="301"/>
      <c r="C107" s="301"/>
      <c r="D107" s="301"/>
      <c r="E107" s="301"/>
      <c r="F107" s="301"/>
      <c r="G107" s="301"/>
      <c r="H107" s="301"/>
      <c r="I107" s="301"/>
      <c r="J107" s="301"/>
      <c r="K107" s="301"/>
      <c r="L107" s="301"/>
      <c r="M107" s="301"/>
      <c r="N107" s="301"/>
      <c r="O107" s="301"/>
      <c r="P107" s="301"/>
    </row>
    <row r="108" spans="1:16" ht="13.5" customHeight="1">
      <c r="A108" s="294"/>
      <c r="B108" s="290">
        <f>((12*7*4)/(24*7*4))*730</f>
        <v>365</v>
      </c>
      <c r="C108" s="294" t="s">
        <v>286</v>
      </c>
      <c r="D108" s="295"/>
      <c r="E108" s="310">
        <f>CEILING(E82*(100+SUMMARY!$C$24)%,1)</f>
        <v>0</v>
      </c>
      <c r="F108" s="310">
        <f>CEILING(F82*(100+SUMMARY!$C$24)%,1)</f>
        <v>0</v>
      </c>
      <c r="G108" s="294" t="s">
        <v>283</v>
      </c>
      <c r="H108" s="32" t="str">
        <f>IF(G108="Windows Server", "C:\", "/")</f>
        <v>C:\</v>
      </c>
      <c r="I108" s="146">
        <f>IF(G108="Windows Server", 150, 20)</f>
        <v>150</v>
      </c>
      <c r="J108" s="296">
        <f>SUM(I108:I111)</f>
        <v>300</v>
      </c>
      <c r="K108" s="297">
        <f>J108 *(IF(C108="AZURE", SUMMARY!C$20, SUMMARY!C$21))</f>
        <v>28.8</v>
      </c>
      <c r="L108" s="298"/>
      <c r="M108" s="299">
        <f>IF(C108="ON PREM", 0, SUMMARY!C$25%)</f>
        <v>0.12</v>
      </c>
      <c r="N108" s="299">
        <f>IF(C108="AWS",SUMMARY!C$26%, 0)</f>
        <v>0</v>
      </c>
      <c r="O108" s="300">
        <f>((SUM(K108:L108))-((SUM(K108:L108))*N108))*(1 + M108)</f>
        <v>32.256000000000007</v>
      </c>
      <c r="P108" s="300">
        <f>O108*12</f>
        <v>387.07200000000012</v>
      </c>
    </row>
    <row r="109" spans="1:16">
      <c r="A109" s="294"/>
      <c r="B109" s="294"/>
      <c r="C109" s="294"/>
      <c r="D109" s="295"/>
      <c r="E109" s="295"/>
      <c r="F109" s="295"/>
      <c r="G109" s="294"/>
      <c r="H109" s="148" t="str">
        <f>IF(G108="Windows Server", "F:\appdir", "/appdir")</f>
        <v>F:\appdir</v>
      </c>
      <c r="I109" s="149">
        <f>CEILING(I83*(100+SUMMARY!$C$24)%,1)</f>
        <v>0</v>
      </c>
      <c r="J109" s="296"/>
      <c r="K109" s="296"/>
      <c r="L109" s="296"/>
      <c r="M109" s="296"/>
      <c r="N109" s="296"/>
      <c r="O109" s="296"/>
      <c r="P109" s="296"/>
    </row>
    <row r="110" spans="1:16">
      <c r="A110" s="294"/>
      <c r="B110" s="294"/>
      <c r="C110" s="294"/>
      <c r="D110" s="295"/>
      <c r="E110" s="295"/>
      <c r="F110" s="295"/>
      <c r="G110" s="294"/>
      <c r="H110" s="32" t="str">
        <f>IF(G108="Windows Server", "G:\Log", "/var/log")</f>
        <v>G:\Log</v>
      </c>
      <c r="I110" s="146">
        <f>IF(G108="Windows Server", 50, 20)</f>
        <v>50</v>
      </c>
      <c r="J110" s="296"/>
      <c r="K110" s="296"/>
      <c r="L110" s="296"/>
      <c r="M110" s="296"/>
      <c r="N110" s="296"/>
      <c r="O110" s="296"/>
      <c r="P110" s="296"/>
    </row>
    <row r="111" spans="1:16">
      <c r="A111" s="294"/>
      <c r="B111" s="294"/>
      <c r="C111" s="294"/>
      <c r="D111" s="295"/>
      <c r="E111" s="295"/>
      <c r="F111" s="295"/>
      <c r="G111" s="294"/>
      <c r="H111" s="32" t="str">
        <f>IF(G108="Windows Server", "H:\Backup", "/backup")</f>
        <v>H:\Backup</v>
      </c>
      <c r="I111" s="146">
        <f>IF(G108="Windows Server", 100, 10)</f>
        <v>100</v>
      </c>
      <c r="J111" s="296"/>
      <c r="K111" s="296"/>
      <c r="L111" s="296"/>
      <c r="M111" s="296"/>
      <c r="N111" s="296"/>
      <c r="O111" s="296"/>
      <c r="P111" s="296"/>
    </row>
    <row r="112" spans="1:16" ht="13.5" customHeight="1">
      <c r="A112" s="294"/>
      <c r="B112" s="290">
        <f>((12*7*4)/(24*7*4))*730</f>
        <v>365</v>
      </c>
      <c r="C112" s="294" t="s">
        <v>288</v>
      </c>
      <c r="D112" s="295"/>
      <c r="E112" s="310">
        <f>CEILING(E86*(100+SUMMARY!$C$24)%,1)</f>
        <v>0</v>
      </c>
      <c r="F112" s="310">
        <f>CEILING(F86*(100+SUMMARY!$C$24)%,1)</f>
        <v>0</v>
      </c>
      <c r="G112" s="294" t="s">
        <v>293</v>
      </c>
      <c r="H112" s="32" t="str">
        <f>IF(G112="Windows Server", "C:\", "/")</f>
        <v>/</v>
      </c>
      <c r="I112" s="146">
        <f>IF(G112="Windows Server", 150, 20)</f>
        <v>20</v>
      </c>
      <c r="J112" s="296">
        <f>SUM(I112:I115)</f>
        <v>50</v>
      </c>
      <c r="K112" s="297">
        <f>J112 *(IF(C112="AZURE", SUMMARY!C$20, SUMMARY!C$21))</f>
        <v>4.8</v>
      </c>
      <c r="L112" s="298"/>
      <c r="M112" s="299">
        <f>IF(C112="ON PREM", 0, SUMMARY!C$25%)</f>
        <v>0</v>
      </c>
      <c r="N112" s="299">
        <f>IF(C112="AWS",SUMMARY!C$26%, 0)</f>
        <v>0</v>
      </c>
      <c r="O112" s="300">
        <f>((SUM(K112:L112))-((SUM(K112:L112))*N112))*(1 + M112)</f>
        <v>4.8</v>
      </c>
      <c r="P112" s="300">
        <f>O112*12</f>
        <v>57.599999999999994</v>
      </c>
    </row>
    <row r="113" spans="1:16">
      <c r="A113" s="294"/>
      <c r="B113" s="294"/>
      <c r="C113" s="294"/>
      <c r="D113" s="295"/>
      <c r="E113" s="295"/>
      <c r="F113" s="295"/>
      <c r="G113" s="294"/>
      <c r="H113" s="148" t="str">
        <f>IF(G112="Windows Server", "F:\appdir", "/appdir")</f>
        <v>/appdir</v>
      </c>
      <c r="I113" s="149">
        <f>CEILING(I87*(100+SUMMARY!$C$24)%,1)</f>
        <v>0</v>
      </c>
      <c r="J113" s="296"/>
      <c r="K113" s="296"/>
      <c r="L113" s="296"/>
      <c r="M113" s="296"/>
      <c r="N113" s="296"/>
      <c r="O113" s="296"/>
      <c r="P113" s="296"/>
    </row>
    <row r="114" spans="1:16">
      <c r="A114" s="294"/>
      <c r="B114" s="294"/>
      <c r="C114" s="294"/>
      <c r="D114" s="295"/>
      <c r="E114" s="295"/>
      <c r="F114" s="295"/>
      <c r="G114" s="294"/>
      <c r="H114" s="32" t="str">
        <f>IF(G112="Windows Server", "G:\Log", "/var/log")</f>
        <v>/var/log</v>
      </c>
      <c r="I114" s="146">
        <f>IF(G112="Windows Server", 50, 20)</f>
        <v>20</v>
      </c>
      <c r="J114" s="296"/>
      <c r="K114" s="296"/>
      <c r="L114" s="296"/>
      <c r="M114" s="296"/>
      <c r="N114" s="296"/>
      <c r="O114" s="296"/>
      <c r="P114" s="296"/>
    </row>
    <row r="115" spans="1:16">
      <c r="A115" s="294"/>
      <c r="B115" s="294"/>
      <c r="C115" s="294"/>
      <c r="D115" s="295"/>
      <c r="E115" s="295"/>
      <c r="F115" s="295"/>
      <c r="G115" s="294"/>
      <c r="H115" s="32" t="str">
        <f>IF(G112="Windows Server", "H:\Backup", "/backup")</f>
        <v>/backup</v>
      </c>
      <c r="I115" s="146">
        <f>IF(G112="Windows Server", 100, 10)</f>
        <v>10</v>
      </c>
      <c r="J115" s="296"/>
      <c r="K115" s="296"/>
      <c r="L115" s="296"/>
      <c r="M115" s="296"/>
      <c r="N115" s="296"/>
      <c r="O115" s="296"/>
      <c r="P115" s="296"/>
    </row>
    <row r="116" spans="1:16" ht="13.5" customHeight="1">
      <c r="A116" s="294"/>
      <c r="B116" s="290">
        <f>((12*7*4)/(24*7*4))*730</f>
        <v>365</v>
      </c>
      <c r="C116" s="294" t="s">
        <v>286</v>
      </c>
      <c r="D116" s="295"/>
      <c r="E116" s="310">
        <f>CEILING(E90*(100+SUMMARY!$C$24)%,1)</f>
        <v>0</v>
      </c>
      <c r="F116" s="310">
        <f>CEILING(F90*(100+SUMMARY!$C$24)%,1)</f>
        <v>0</v>
      </c>
      <c r="G116" s="294" t="s">
        <v>294</v>
      </c>
      <c r="H116" s="32" t="str">
        <f>IF(G116="Windows Server", "C:\", "/")</f>
        <v>/</v>
      </c>
      <c r="I116" s="146">
        <f>IF(G116="Windows Server", 150, 20)</f>
        <v>20</v>
      </c>
      <c r="J116" s="296">
        <f>SUM(I116:I119)</f>
        <v>50</v>
      </c>
      <c r="K116" s="297">
        <f>J116 *(IF(C116="AZURE", SUMMARY!C$20, SUMMARY!C$21))</f>
        <v>4.8</v>
      </c>
      <c r="L116" s="298"/>
      <c r="M116" s="299">
        <f>IF(C116="ON PREM", 0, SUMMARY!C$25%)</f>
        <v>0.12</v>
      </c>
      <c r="N116" s="299">
        <f>IF(C116="AWS",SUMMARY!C$26%, 0)</f>
        <v>0</v>
      </c>
      <c r="O116" s="300">
        <f>((SUM(K116:L116))-((SUM(K116:L116))*N116))*(1 + M116)</f>
        <v>5.3760000000000003</v>
      </c>
      <c r="P116" s="300">
        <f>O116*12</f>
        <v>64.512</v>
      </c>
    </row>
    <row r="117" spans="1:16">
      <c r="A117" s="294"/>
      <c r="B117" s="294"/>
      <c r="C117" s="294"/>
      <c r="D117" s="295"/>
      <c r="E117" s="295"/>
      <c r="F117" s="295"/>
      <c r="G117" s="294"/>
      <c r="H117" s="148" t="str">
        <f>IF(G116="Windows Server", "F:\appdir", "/appdir")</f>
        <v>/appdir</v>
      </c>
      <c r="I117" s="149">
        <f>CEILING(I91*(100+SUMMARY!$C$24)%,1)</f>
        <v>0</v>
      </c>
      <c r="J117" s="296"/>
      <c r="K117" s="296"/>
      <c r="L117" s="296"/>
      <c r="M117" s="296"/>
      <c r="N117" s="296"/>
      <c r="O117" s="296"/>
      <c r="P117" s="296"/>
    </row>
    <row r="118" spans="1:16">
      <c r="A118" s="294"/>
      <c r="B118" s="294"/>
      <c r="C118" s="294"/>
      <c r="D118" s="295"/>
      <c r="E118" s="295"/>
      <c r="F118" s="295"/>
      <c r="G118" s="294"/>
      <c r="H118" s="32" t="str">
        <f>IF(G116="Windows Server", "G:\Log", "/var/log")</f>
        <v>/var/log</v>
      </c>
      <c r="I118" s="146">
        <f>IF(G116="Windows Server", 50, 20)</f>
        <v>20</v>
      </c>
      <c r="J118" s="296"/>
      <c r="K118" s="296"/>
      <c r="L118" s="296"/>
      <c r="M118" s="296"/>
      <c r="N118" s="296"/>
      <c r="O118" s="296"/>
      <c r="P118" s="296"/>
    </row>
    <row r="119" spans="1:16">
      <c r="A119" s="294"/>
      <c r="B119" s="294"/>
      <c r="C119" s="294"/>
      <c r="D119" s="295"/>
      <c r="E119" s="295"/>
      <c r="F119" s="295"/>
      <c r="G119" s="294"/>
      <c r="H119" s="32" t="str">
        <f>IF(G116="Windows Server", "H:\Backup", "/backup")</f>
        <v>/backup</v>
      </c>
      <c r="I119" s="146">
        <f>IF(G116="Windows Server", 100, 10)</f>
        <v>10</v>
      </c>
      <c r="J119" s="296"/>
      <c r="K119" s="296"/>
      <c r="L119" s="296"/>
      <c r="M119" s="296"/>
      <c r="N119" s="296"/>
      <c r="O119" s="296"/>
      <c r="P119" s="296"/>
    </row>
    <row r="120" spans="1:16" ht="13.5" customHeight="1">
      <c r="A120" s="294"/>
      <c r="B120" s="290">
        <f>((12*7*4)/(24*7*4))*730</f>
        <v>365</v>
      </c>
      <c r="C120" s="294" t="s">
        <v>286</v>
      </c>
      <c r="D120" s="295"/>
      <c r="E120" s="310">
        <f>CEILING(E94*(100+SUMMARY!$C$24)%,1)</f>
        <v>0</v>
      </c>
      <c r="F120" s="310">
        <f>CEILING(F94*(100+SUMMARY!$C$24)%,1)</f>
        <v>0</v>
      </c>
      <c r="G120" s="294" t="s">
        <v>294</v>
      </c>
      <c r="H120" s="32" t="str">
        <f>IF(G120="Windows Server", "C:\", "/")</f>
        <v>/</v>
      </c>
      <c r="I120" s="146">
        <f>IF(G120="Windows Server", 150, 20)</f>
        <v>20</v>
      </c>
      <c r="J120" s="296">
        <f>SUM(I120:I123)</f>
        <v>50</v>
      </c>
      <c r="K120" s="297">
        <f>J120 *(IF(C120="AZURE", SUMMARY!C$20, SUMMARY!C$21))</f>
        <v>4.8</v>
      </c>
      <c r="L120" s="298"/>
      <c r="M120" s="299">
        <f>IF(C120="ON PREM", 0, SUMMARY!C$25%)</f>
        <v>0.12</v>
      </c>
      <c r="N120" s="299">
        <f>IF(C120="AWS",SUMMARY!C$26%, 0)</f>
        <v>0</v>
      </c>
      <c r="O120" s="300">
        <f>((SUM(K120:L120))-((SUM(K120:L120))*N120))*(1 + M120)</f>
        <v>5.3760000000000003</v>
      </c>
      <c r="P120" s="300">
        <f>O120*12</f>
        <v>64.512</v>
      </c>
    </row>
    <row r="121" spans="1:16">
      <c r="A121" s="294"/>
      <c r="B121" s="294"/>
      <c r="C121" s="294"/>
      <c r="D121" s="295"/>
      <c r="E121" s="295"/>
      <c r="F121" s="295"/>
      <c r="G121" s="294"/>
      <c r="H121" s="148" t="str">
        <f>IF(G120="Windows Server", "F:\appdir", "/appdir")</f>
        <v>/appdir</v>
      </c>
      <c r="I121" s="149">
        <f>CEILING(I95*(100+SUMMARY!$C$24)%,1)</f>
        <v>0</v>
      </c>
      <c r="J121" s="296"/>
      <c r="K121" s="296"/>
      <c r="L121" s="296"/>
      <c r="M121" s="296"/>
      <c r="N121" s="296"/>
      <c r="O121" s="296"/>
      <c r="P121" s="296"/>
    </row>
    <row r="122" spans="1:16">
      <c r="A122" s="294"/>
      <c r="B122" s="294"/>
      <c r="C122" s="294"/>
      <c r="D122" s="295"/>
      <c r="E122" s="295"/>
      <c r="F122" s="295"/>
      <c r="G122" s="294"/>
      <c r="H122" s="32" t="str">
        <f>IF(G120="Windows Server", "G:\Log", "/var/log")</f>
        <v>/var/log</v>
      </c>
      <c r="I122" s="146">
        <f>IF(G120="Windows Server", 50, 20)</f>
        <v>20</v>
      </c>
      <c r="J122" s="296"/>
      <c r="K122" s="296"/>
      <c r="L122" s="296"/>
      <c r="M122" s="296"/>
      <c r="N122" s="296"/>
      <c r="O122" s="296"/>
      <c r="P122" s="296"/>
    </row>
    <row r="123" spans="1:16">
      <c r="A123" s="294"/>
      <c r="B123" s="294"/>
      <c r="C123" s="294"/>
      <c r="D123" s="295"/>
      <c r="E123" s="295"/>
      <c r="F123" s="295"/>
      <c r="G123" s="294"/>
      <c r="H123" s="32" t="str">
        <f>IF(G120="Windows Server", "H:\Backup", "/backup")</f>
        <v>/backup</v>
      </c>
      <c r="I123" s="146">
        <f>IF(G120="Windows Server", 100, 10)</f>
        <v>10</v>
      </c>
      <c r="J123" s="296"/>
      <c r="K123" s="296"/>
      <c r="L123" s="296"/>
      <c r="M123" s="296"/>
      <c r="N123" s="296"/>
      <c r="O123" s="296"/>
      <c r="P123" s="296"/>
    </row>
    <row r="124" spans="1:16" ht="13.5" customHeight="1">
      <c r="A124" s="294"/>
      <c r="B124" s="290">
        <f>((12*7*4)/(24*7*4))*730</f>
        <v>365</v>
      </c>
      <c r="C124" s="294" t="s">
        <v>286</v>
      </c>
      <c r="D124" s="295"/>
      <c r="E124" s="310">
        <f>CEILING(E98*(100+SUMMARY!$C$24)%,1)</f>
        <v>0</v>
      </c>
      <c r="F124" s="310">
        <f>CEILING(F98*(100+SUMMARY!$C$24)%,1)</f>
        <v>0</v>
      </c>
      <c r="G124" s="294" t="s">
        <v>293</v>
      </c>
      <c r="H124" s="32" t="str">
        <f>IF(G124="Windows Server", "C:\", "/")</f>
        <v>/</v>
      </c>
      <c r="I124" s="146">
        <f>IF(G124="Windows Server", 150, 20)</f>
        <v>20</v>
      </c>
      <c r="J124" s="296">
        <f>SUM(I124:I127)</f>
        <v>50</v>
      </c>
      <c r="K124" s="297">
        <f>J124 *(IF(C124="AZURE", SUMMARY!C$20, SUMMARY!C$21))</f>
        <v>4.8</v>
      </c>
      <c r="L124" s="298"/>
      <c r="M124" s="299">
        <f>IF(C124="ON PREM", 0, SUMMARY!C$25%)</f>
        <v>0.12</v>
      </c>
      <c r="N124" s="299">
        <f>IF(C124="AWS",SUMMARY!C$26%, 0)</f>
        <v>0</v>
      </c>
      <c r="O124" s="300">
        <f>((SUM(K124:L124))-((SUM(K124:L124))*N124))*(1 + M124)</f>
        <v>5.3760000000000003</v>
      </c>
      <c r="P124" s="300">
        <f>O124*12</f>
        <v>64.512</v>
      </c>
    </row>
    <row r="125" spans="1:16">
      <c r="A125" s="294"/>
      <c r="B125" s="294"/>
      <c r="C125" s="294"/>
      <c r="D125" s="295"/>
      <c r="E125" s="295"/>
      <c r="F125" s="295"/>
      <c r="G125" s="294"/>
      <c r="H125" s="148" t="str">
        <f>IF(G124="Windows Server", "F:\appdir", "/appdir")</f>
        <v>/appdir</v>
      </c>
      <c r="I125" s="149">
        <f>CEILING(I99*(100+SUMMARY!$C$24)%,1)</f>
        <v>0</v>
      </c>
      <c r="J125" s="296"/>
      <c r="K125" s="296"/>
      <c r="L125" s="296"/>
      <c r="M125" s="296"/>
      <c r="N125" s="296"/>
      <c r="O125" s="296"/>
      <c r="P125" s="296"/>
    </row>
    <row r="126" spans="1:16">
      <c r="A126" s="294"/>
      <c r="B126" s="294"/>
      <c r="C126" s="294"/>
      <c r="D126" s="295"/>
      <c r="E126" s="295"/>
      <c r="F126" s="295"/>
      <c r="G126" s="294"/>
      <c r="H126" s="32" t="str">
        <f>IF(G124="Windows Server", "G:\Log", "/var/log")</f>
        <v>/var/log</v>
      </c>
      <c r="I126" s="146">
        <f>IF(G124="Windows Server", 50, 20)</f>
        <v>20</v>
      </c>
      <c r="J126" s="296"/>
      <c r="K126" s="296"/>
      <c r="L126" s="296"/>
      <c r="M126" s="296"/>
      <c r="N126" s="296"/>
      <c r="O126" s="296"/>
      <c r="P126" s="296"/>
    </row>
    <row r="127" spans="1:16">
      <c r="A127" s="294"/>
      <c r="B127" s="294"/>
      <c r="C127" s="294"/>
      <c r="D127" s="295"/>
      <c r="E127" s="295"/>
      <c r="F127" s="295"/>
      <c r="G127" s="294"/>
      <c r="H127" s="32" t="str">
        <f>IF(G124="Windows Server", "H:\Backup", "/backup")</f>
        <v>/backup</v>
      </c>
      <c r="I127" s="146">
        <f>IF(G124="Windows Server", 100, 10)</f>
        <v>10</v>
      </c>
      <c r="J127" s="296"/>
      <c r="K127" s="296"/>
      <c r="L127" s="296"/>
      <c r="M127" s="296"/>
      <c r="N127" s="296"/>
      <c r="O127" s="296"/>
      <c r="P127" s="296"/>
    </row>
    <row r="128" spans="1:16" ht="13.5" customHeight="1">
      <c r="A128" s="294"/>
      <c r="B128" s="290">
        <f>((12*7*4)/(24*7*4))*730</f>
        <v>365</v>
      </c>
      <c r="C128" s="294" t="s">
        <v>286</v>
      </c>
      <c r="D128" s="295"/>
      <c r="E128" s="310">
        <f>CEILING(E102*(100+SUMMARY!$C$24)%,1)</f>
        <v>0</v>
      </c>
      <c r="F128" s="310">
        <f>CEILING(F102*(100+SUMMARY!$C$24)%,1)</f>
        <v>0</v>
      </c>
      <c r="G128" s="294" t="s">
        <v>283</v>
      </c>
      <c r="H128" s="32" t="str">
        <f>IF(G128="Windows Server", "C:\", "/")</f>
        <v>C:\</v>
      </c>
      <c r="I128" s="146">
        <f>IF(G128="Windows Server", 150, 20)</f>
        <v>150</v>
      </c>
      <c r="J128" s="296">
        <f>SUM(I128:I131)</f>
        <v>300</v>
      </c>
      <c r="K128" s="297">
        <f>J128 *(IF(C128="AZURE", SUMMARY!C$20, SUMMARY!C$21))</f>
        <v>28.8</v>
      </c>
      <c r="L128" s="298"/>
      <c r="M128" s="299">
        <f>IF(C128="ON PREM", 0, SUMMARY!C$25%)</f>
        <v>0.12</v>
      </c>
      <c r="N128" s="299">
        <f>IF(C128="AWS",SUMMARY!C$26%, 0)</f>
        <v>0</v>
      </c>
      <c r="O128" s="300">
        <f>((SUM(K128:L128))-((SUM(K128:L128))*N128))*(1 + M128)</f>
        <v>32.256000000000007</v>
      </c>
      <c r="P128" s="300">
        <f>O128*12</f>
        <v>387.07200000000012</v>
      </c>
    </row>
    <row r="129" spans="1:16">
      <c r="A129" s="294"/>
      <c r="B129" s="294"/>
      <c r="C129" s="294"/>
      <c r="D129" s="295"/>
      <c r="E129" s="295"/>
      <c r="F129" s="295"/>
      <c r="G129" s="294"/>
      <c r="H129" s="148" t="str">
        <f>IF(G128="Windows Server", "F:\appdir", "/appdir")</f>
        <v>F:\appdir</v>
      </c>
      <c r="I129" s="149">
        <f>CEILING(I103*(100+SUMMARY!$C$24)%,1)</f>
        <v>0</v>
      </c>
      <c r="J129" s="296"/>
      <c r="K129" s="296"/>
      <c r="L129" s="296"/>
      <c r="M129" s="296"/>
      <c r="N129" s="296"/>
      <c r="O129" s="296"/>
      <c r="P129" s="296"/>
    </row>
    <row r="130" spans="1:16">
      <c r="A130" s="294"/>
      <c r="B130" s="294"/>
      <c r="C130" s="294"/>
      <c r="D130" s="295"/>
      <c r="E130" s="295"/>
      <c r="F130" s="295"/>
      <c r="G130" s="294"/>
      <c r="H130" s="32" t="str">
        <f>IF(G128="Windows Server", "G:\Log", "/var/log")</f>
        <v>G:\Log</v>
      </c>
      <c r="I130" s="146">
        <f>IF(G128="Windows Server", 50, 20)</f>
        <v>50</v>
      </c>
      <c r="J130" s="296"/>
      <c r="K130" s="296"/>
      <c r="L130" s="296"/>
      <c r="M130" s="296"/>
      <c r="N130" s="296"/>
      <c r="O130" s="296"/>
      <c r="P130" s="296"/>
    </row>
    <row r="131" spans="1:16">
      <c r="A131" s="294"/>
      <c r="B131" s="294"/>
      <c r="C131" s="294"/>
      <c r="D131" s="295"/>
      <c r="E131" s="295"/>
      <c r="F131" s="295"/>
      <c r="G131" s="294"/>
      <c r="H131" s="32" t="str">
        <f>IF(G128="Windows Server", "H:\Backup", "/backup")</f>
        <v>H:\Backup</v>
      </c>
      <c r="I131" s="146">
        <f>IF(G128="Windows Server", 100, 10)</f>
        <v>100</v>
      </c>
      <c r="J131" s="296"/>
      <c r="K131" s="296"/>
      <c r="L131" s="296"/>
      <c r="M131" s="296"/>
      <c r="N131" s="296"/>
      <c r="O131" s="296"/>
      <c r="P131" s="296"/>
    </row>
    <row r="132" spans="1:16">
      <c r="A132" s="3"/>
      <c r="B132" s="3"/>
      <c r="C132" s="3"/>
      <c r="D132" s="3"/>
      <c r="E132" s="157">
        <f>SUM(E108:E131)</f>
        <v>0</v>
      </c>
      <c r="F132" s="157">
        <f>SUM(F108:F131)</f>
        <v>0</v>
      </c>
      <c r="G132" s="3"/>
      <c r="H132" s="3"/>
      <c r="I132" s="3"/>
      <c r="J132" s="157">
        <f>SUM(J108:J131)</f>
        <v>800</v>
      </c>
      <c r="K132" s="133">
        <f>SUM(K108:K131)</f>
        <v>76.8</v>
      </c>
      <c r="L132" s="133">
        <f>SUM(L108:L131)</f>
        <v>0</v>
      </c>
      <c r="M132" s="133"/>
      <c r="N132" s="133"/>
      <c r="O132" s="133">
        <f>SUM(O108:O131)</f>
        <v>85.44</v>
      </c>
      <c r="P132" s="133">
        <f>SUM(P108:P131)</f>
        <v>1025.2800000000002</v>
      </c>
    </row>
  </sheetData>
  <mergeCells count="427">
    <mergeCell ref="L128:L131"/>
    <mergeCell ref="M128:M131"/>
    <mergeCell ref="N128:N131"/>
    <mergeCell ref="O128:O131"/>
    <mergeCell ref="P128:P131"/>
    <mergeCell ref="A128:A131"/>
    <mergeCell ref="B128:B131"/>
    <mergeCell ref="C128:C131"/>
    <mergeCell ref="D128:D131"/>
    <mergeCell ref="E128:E131"/>
    <mergeCell ref="F128:F131"/>
    <mergeCell ref="G128:G131"/>
    <mergeCell ref="J128:J131"/>
    <mergeCell ref="K128:K131"/>
    <mergeCell ref="L124:L127"/>
    <mergeCell ref="M124:M127"/>
    <mergeCell ref="N124:N127"/>
    <mergeCell ref="O124:O127"/>
    <mergeCell ref="P124:P127"/>
    <mergeCell ref="A120:A123"/>
    <mergeCell ref="B120:B123"/>
    <mergeCell ref="C120:C123"/>
    <mergeCell ref="D120:D123"/>
    <mergeCell ref="E120:E123"/>
    <mergeCell ref="A124:A127"/>
    <mergeCell ref="B124:B127"/>
    <mergeCell ref="C124:C127"/>
    <mergeCell ref="D124:D127"/>
    <mergeCell ref="E124:E127"/>
    <mergeCell ref="F124:F127"/>
    <mergeCell ref="G124:G127"/>
    <mergeCell ref="J124:J127"/>
    <mergeCell ref="K124:K127"/>
    <mergeCell ref="F120:F123"/>
    <mergeCell ref="G120:G123"/>
    <mergeCell ref="J120:J123"/>
    <mergeCell ref="K120:K123"/>
    <mergeCell ref="L112:L115"/>
    <mergeCell ref="M112:M115"/>
    <mergeCell ref="N112:N115"/>
    <mergeCell ref="O112:O115"/>
    <mergeCell ref="P112:P115"/>
    <mergeCell ref="L116:L119"/>
    <mergeCell ref="M116:M119"/>
    <mergeCell ref="N116:N119"/>
    <mergeCell ref="O116:O119"/>
    <mergeCell ref="P116:P119"/>
    <mergeCell ref="L120:L123"/>
    <mergeCell ref="M120:M123"/>
    <mergeCell ref="N120:N123"/>
    <mergeCell ref="O120:O123"/>
    <mergeCell ref="P120:P123"/>
    <mergeCell ref="A116:A119"/>
    <mergeCell ref="B116:B119"/>
    <mergeCell ref="C116:C119"/>
    <mergeCell ref="D116:D119"/>
    <mergeCell ref="E116:E119"/>
    <mergeCell ref="F116:F119"/>
    <mergeCell ref="G116:G119"/>
    <mergeCell ref="J116:J119"/>
    <mergeCell ref="K116:K119"/>
    <mergeCell ref="A112:A115"/>
    <mergeCell ref="B112:B115"/>
    <mergeCell ref="C112:C115"/>
    <mergeCell ref="D112:D115"/>
    <mergeCell ref="E112:E115"/>
    <mergeCell ref="F112:F115"/>
    <mergeCell ref="G112:G115"/>
    <mergeCell ref="J112:J115"/>
    <mergeCell ref="K112:K115"/>
    <mergeCell ref="P102:P105"/>
    <mergeCell ref="B107:P107"/>
    <mergeCell ref="A108:A111"/>
    <mergeCell ref="B108:B111"/>
    <mergeCell ref="C108:C111"/>
    <mergeCell ref="D108:D111"/>
    <mergeCell ref="E108:E111"/>
    <mergeCell ref="F108:F111"/>
    <mergeCell ref="G108:G111"/>
    <mergeCell ref="J108:J111"/>
    <mergeCell ref="K108:K111"/>
    <mergeCell ref="L108:L111"/>
    <mergeCell ref="M108:M111"/>
    <mergeCell ref="N108:N111"/>
    <mergeCell ref="O108:O111"/>
    <mergeCell ref="P108:P111"/>
    <mergeCell ref="A102:A105"/>
    <mergeCell ref="B102:B105"/>
    <mergeCell ref="C102:C105"/>
    <mergeCell ref="D102:D105"/>
    <mergeCell ref="E102:E105"/>
    <mergeCell ref="F102:F105"/>
    <mergeCell ref="G102:G105"/>
    <mergeCell ref="J102:J105"/>
    <mergeCell ref="K102:K105"/>
    <mergeCell ref="L94:L97"/>
    <mergeCell ref="M94:M97"/>
    <mergeCell ref="N94:N97"/>
    <mergeCell ref="O94:O97"/>
    <mergeCell ref="L102:L105"/>
    <mergeCell ref="M102:M105"/>
    <mergeCell ref="N102:N105"/>
    <mergeCell ref="O102:O105"/>
    <mergeCell ref="P94:P97"/>
    <mergeCell ref="A98:A101"/>
    <mergeCell ref="B98:B101"/>
    <mergeCell ref="C98:C101"/>
    <mergeCell ref="D98:D101"/>
    <mergeCell ref="E98:E101"/>
    <mergeCell ref="F98:F101"/>
    <mergeCell ref="G98:G101"/>
    <mergeCell ref="J98:J101"/>
    <mergeCell ref="K98:K101"/>
    <mergeCell ref="L98:L101"/>
    <mergeCell ref="M98:M101"/>
    <mergeCell ref="N98:N101"/>
    <mergeCell ref="O98:O101"/>
    <mergeCell ref="P98:P101"/>
    <mergeCell ref="A94:A97"/>
    <mergeCell ref="B94:B97"/>
    <mergeCell ref="C94:C97"/>
    <mergeCell ref="D94:D97"/>
    <mergeCell ref="E94:E97"/>
    <mergeCell ref="F94:F97"/>
    <mergeCell ref="G94:G97"/>
    <mergeCell ref="J94:J97"/>
    <mergeCell ref="K94:K97"/>
    <mergeCell ref="L90:L93"/>
    <mergeCell ref="M90:M93"/>
    <mergeCell ref="N90:N93"/>
    <mergeCell ref="O90:O93"/>
    <mergeCell ref="P90:P93"/>
    <mergeCell ref="A86:A89"/>
    <mergeCell ref="B86:B89"/>
    <mergeCell ref="C86:C89"/>
    <mergeCell ref="D86:D89"/>
    <mergeCell ref="E86:E89"/>
    <mergeCell ref="A90:A93"/>
    <mergeCell ref="B90:B93"/>
    <mergeCell ref="C90:C93"/>
    <mergeCell ref="D90:D93"/>
    <mergeCell ref="E90:E93"/>
    <mergeCell ref="F90:F93"/>
    <mergeCell ref="G90:G93"/>
    <mergeCell ref="J90:J93"/>
    <mergeCell ref="K90:K93"/>
    <mergeCell ref="F86:F89"/>
    <mergeCell ref="G86:G89"/>
    <mergeCell ref="J86:J89"/>
    <mergeCell ref="K86:K89"/>
    <mergeCell ref="L76:L79"/>
    <mergeCell ref="M76:M79"/>
    <mergeCell ref="N76:N79"/>
    <mergeCell ref="O76:O79"/>
    <mergeCell ref="P76:P79"/>
    <mergeCell ref="B81:P81"/>
    <mergeCell ref="L82:L85"/>
    <mergeCell ref="M82:M85"/>
    <mergeCell ref="N82:N85"/>
    <mergeCell ref="O82:O85"/>
    <mergeCell ref="P82:P85"/>
    <mergeCell ref="L86:L89"/>
    <mergeCell ref="M86:M89"/>
    <mergeCell ref="N86:N89"/>
    <mergeCell ref="O86:O89"/>
    <mergeCell ref="P86:P89"/>
    <mergeCell ref="A82:A85"/>
    <mergeCell ref="B82:B85"/>
    <mergeCell ref="C82:C85"/>
    <mergeCell ref="D82:D85"/>
    <mergeCell ref="E82:E85"/>
    <mergeCell ref="F82:F85"/>
    <mergeCell ref="G82:G85"/>
    <mergeCell ref="J82:J85"/>
    <mergeCell ref="K82:K85"/>
    <mergeCell ref="A76:A79"/>
    <mergeCell ref="B76:B79"/>
    <mergeCell ref="C76:C79"/>
    <mergeCell ref="D76:D79"/>
    <mergeCell ref="E76:E79"/>
    <mergeCell ref="F76:F79"/>
    <mergeCell ref="G76:G79"/>
    <mergeCell ref="J76:J79"/>
    <mergeCell ref="K76:K79"/>
    <mergeCell ref="L72:L75"/>
    <mergeCell ref="M72:M75"/>
    <mergeCell ref="N72:N75"/>
    <mergeCell ref="O72:O75"/>
    <mergeCell ref="P72:P75"/>
    <mergeCell ref="A68:A71"/>
    <mergeCell ref="B68:B71"/>
    <mergeCell ref="C68:C71"/>
    <mergeCell ref="D68:D71"/>
    <mergeCell ref="E68:E71"/>
    <mergeCell ref="A72:A75"/>
    <mergeCell ref="B72:B75"/>
    <mergeCell ref="C72:C75"/>
    <mergeCell ref="D72:D75"/>
    <mergeCell ref="E72:E75"/>
    <mergeCell ref="F72:F75"/>
    <mergeCell ref="G72:G75"/>
    <mergeCell ref="J72:J75"/>
    <mergeCell ref="K72:K75"/>
    <mergeCell ref="F68:F71"/>
    <mergeCell ref="G68:G71"/>
    <mergeCell ref="J68:J71"/>
    <mergeCell ref="K68:K71"/>
    <mergeCell ref="L60:L63"/>
    <mergeCell ref="M60:M63"/>
    <mergeCell ref="N60:N63"/>
    <mergeCell ref="O60:O63"/>
    <mergeCell ref="P60:P63"/>
    <mergeCell ref="L64:L67"/>
    <mergeCell ref="M64:M67"/>
    <mergeCell ref="N64:N67"/>
    <mergeCell ref="O64:O67"/>
    <mergeCell ref="P64:P67"/>
    <mergeCell ref="L68:L71"/>
    <mergeCell ref="M68:M71"/>
    <mergeCell ref="N68:N71"/>
    <mergeCell ref="O68:O71"/>
    <mergeCell ref="P68:P71"/>
    <mergeCell ref="A64:A67"/>
    <mergeCell ref="B64:B67"/>
    <mergeCell ref="C64:C67"/>
    <mergeCell ref="D64:D67"/>
    <mergeCell ref="E64:E67"/>
    <mergeCell ref="F64:F67"/>
    <mergeCell ref="G64:G67"/>
    <mergeCell ref="J64:J67"/>
    <mergeCell ref="K64:K67"/>
    <mergeCell ref="A60:A63"/>
    <mergeCell ref="B60:B63"/>
    <mergeCell ref="C60:C63"/>
    <mergeCell ref="D60:D63"/>
    <mergeCell ref="E60:E63"/>
    <mergeCell ref="F60:F63"/>
    <mergeCell ref="G60:G63"/>
    <mergeCell ref="J60:J63"/>
    <mergeCell ref="K60:K63"/>
    <mergeCell ref="P50:P53"/>
    <mergeCell ref="B55:P55"/>
    <mergeCell ref="A56:A59"/>
    <mergeCell ref="B56:B59"/>
    <mergeCell ref="C56:C59"/>
    <mergeCell ref="D56:D59"/>
    <mergeCell ref="E56:E59"/>
    <mergeCell ref="F56:F59"/>
    <mergeCell ref="G56:G59"/>
    <mergeCell ref="J56:J59"/>
    <mergeCell ref="K56:K59"/>
    <mergeCell ref="L56:L59"/>
    <mergeCell ref="M56:M59"/>
    <mergeCell ref="N56:N59"/>
    <mergeCell ref="O56:O59"/>
    <mergeCell ref="P56:P59"/>
    <mergeCell ref="A50:A53"/>
    <mergeCell ref="B50:B53"/>
    <mergeCell ref="C50:C53"/>
    <mergeCell ref="D50:D53"/>
    <mergeCell ref="E50:E53"/>
    <mergeCell ref="F50:F53"/>
    <mergeCell ref="G50:G53"/>
    <mergeCell ref="J50:J53"/>
    <mergeCell ref="K50:K53"/>
    <mergeCell ref="L42:L45"/>
    <mergeCell ref="M42:M45"/>
    <mergeCell ref="N42:N45"/>
    <mergeCell ref="O42:O45"/>
    <mergeCell ref="L50:L53"/>
    <mergeCell ref="M50:M53"/>
    <mergeCell ref="N50:N53"/>
    <mergeCell ref="O50:O53"/>
    <mergeCell ref="P42:P45"/>
    <mergeCell ref="A46:A49"/>
    <mergeCell ref="B46:B49"/>
    <mergeCell ref="C46:C49"/>
    <mergeCell ref="D46:D49"/>
    <mergeCell ref="E46:E49"/>
    <mergeCell ref="F46:F49"/>
    <mergeCell ref="G46:G49"/>
    <mergeCell ref="J46:J49"/>
    <mergeCell ref="K46:K49"/>
    <mergeCell ref="L46:L49"/>
    <mergeCell ref="M46:M49"/>
    <mergeCell ref="N46:N49"/>
    <mergeCell ref="O46:O49"/>
    <mergeCell ref="P46:P49"/>
    <mergeCell ref="A42:A45"/>
    <mergeCell ref="B42:B45"/>
    <mergeCell ref="C42:C45"/>
    <mergeCell ref="D42:D45"/>
    <mergeCell ref="E42:E45"/>
    <mergeCell ref="F42:F45"/>
    <mergeCell ref="G42:G45"/>
    <mergeCell ref="J42:J45"/>
    <mergeCell ref="K42:K45"/>
    <mergeCell ref="L38:L41"/>
    <mergeCell ref="M38:M41"/>
    <mergeCell ref="N38:N41"/>
    <mergeCell ref="O38:O41"/>
    <mergeCell ref="P38:P41"/>
    <mergeCell ref="A34:A37"/>
    <mergeCell ref="B34:B37"/>
    <mergeCell ref="C34:C37"/>
    <mergeCell ref="D34:D37"/>
    <mergeCell ref="E34:E37"/>
    <mergeCell ref="A38:A41"/>
    <mergeCell ref="B38:B41"/>
    <mergeCell ref="C38:C41"/>
    <mergeCell ref="D38:D41"/>
    <mergeCell ref="E38:E41"/>
    <mergeCell ref="F38:F41"/>
    <mergeCell ref="G38:G41"/>
    <mergeCell ref="J38:J41"/>
    <mergeCell ref="K38:K41"/>
    <mergeCell ref="F34:F37"/>
    <mergeCell ref="G34:G37"/>
    <mergeCell ref="J34:J37"/>
    <mergeCell ref="K34:K37"/>
    <mergeCell ref="L24:L27"/>
    <mergeCell ref="M24:M27"/>
    <mergeCell ref="N24:N27"/>
    <mergeCell ref="O24:O27"/>
    <mergeCell ref="P24:P27"/>
    <mergeCell ref="B29:P29"/>
    <mergeCell ref="L30:L33"/>
    <mergeCell ref="M30:M33"/>
    <mergeCell ref="N30:N33"/>
    <mergeCell ref="O30:O33"/>
    <mergeCell ref="P30:P33"/>
    <mergeCell ref="L34:L37"/>
    <mergeCell ref="M34:M37"/>
    <mergeCell ref="N34:N37"/>
    <mergeCell ref="O34:O37"/>
    <mergeCell ref="P34:P37"/>
    <mergeCell ref="A30:A33"/>
    <mergeCell ref="B30:B33"/>
    <mergeCell ref="C30:C33"/>
    <mergeCell ref="D30:D33"/>
    <mergeCell ref="E30:E33"/>
    <mergeCell ref="F30:F33"/>
    <mergeCell ref="G30:G33"/>
    <mergeCell ref="J30:J33"/>
    <mergeCell ref="K30:K33"/>
    <mergeCell ref="A24:A27"/>
    <mergeCell ref="B24:B27"/>
    <mergeCell ref="C24:C27"/>
    <mergeCell ref="D24:D27"/>
    <mergeCell ref="E24:E27"/>
    <mergeCell ref="F24:F27"/>
    <mergeCell ref="G24:G27"/>
    <mergeCell ref="J24:J27"/>
    <mergeCell ref="K24:K27"/>
    <mergeCell ref="L20:L23"/>
    <mergeCell ref="M20:M23"/>
    <mergeCell ref="N20:N23"/>
    <mergeCell ref="O20:O23"/>
    <mergeCell ref="P20:P23"/>
    <mergeCell ref="A16:A19"/>
    <mergeCell ref="B16:B19"/>
    <mergeCell ref="C16:C19"/>
    <mergeCell ref="D16:D19"/>
    <mergeCell ref="E16:E19"/>
    <mergeCell ref="A20:A23"/>
    <mergeCell ref="B20:B23"/>
    <mergeCell ref="C20:C23"/>
    <mergeCell ref="D20:D23"/>
    <mergeCell ref="E20:E23"/>
    <mergeCell ref="F20:F23"/>
    <mergeCell ref="G20:G23"/>
    <mergeCell ref="J20:J23"/>
    <mergeCell ref="K20:K23"/>
    <mergeCell ref="F16:F19"/>
    <mergeCell ref="G16:G19"/>
    <mergeCell ref="J16:J19"/>
    <mergeCell ref="K16:K19"/>
    <mergeCell ref="L8:L11"/>
    <mergeCell ref="M8:M11"/>
    <mergeCell ref="N8:N11"/>
    <mergeCell ref="O8:O11"/>
    <mergeCell ref="P8:P11"/>
    <mergeCell ref="L12:L15"/>
    <mergeCell ref="M12:M15"/>
    <mergeCell ref="N12:N15"/>
    <mergeCell ref="O12:O15"/>
    <mergeCell ref="P12:P15"/>
    <mergeCell ref="L16:L19"/>
    <mergeCell ref="M16:M19"/>
    <mergeCell ref="N16:N19"/>
    <mergeCell ref="O16:O19"/>
    <mergeCell ref="P16:P19"/>
    <mergeCell ref="A12:A15"/>
    <mergeCell ref="B12:B15"/>
    <mergeCell ref="C12:C15"/>
    <mergeCell ref="D12:D15"/>
    <mergeCell ref="E12:E15"/>
    <mergeCell ref="F12:F15"/>
    <mergeCell ref="G12:G15"/>
    <mergeCell ref="J12:J15"/>
    <mergeCell ref="K12:K15"/>
    <mergeCell ref="A8:A11"/>
    <mergeCell ref="B8:B11"/>
    <mergeCell ref="C8:C11"/>
    <mergeCell ref="D8:D11"/>
    <mergeCell ref="E8:E11"/>
    <mergeCell ref="F8:F11"/>
    <mergeCell ref="G8:G11"/>
    <mergeCell ref="J8:J11"/>
    <mergeCell ref="K8:K11"/>
    <mergeCell ref="A1:P1"/>
    <mergeCell ref="B2:P2"/>
    <mergeCell ref="H3:I3"/>
    <mergeCell ref="A4:A7"/>
    <mergeCell ref="B4:B7"/>
    <mergeCell ref="C4:C7"/>
    <mergeCell ref="D4:D7"/>
    <mergeCell ref="E4:E7"/>
    <mergeCell ref="F4:F7"/>
    <mergeCell ref="G4:G7"/>
    <mergeCell ref="J4:J7"/>
    <mergeCell ref="K4:K7"/>
    <mergeCell ref="L4:L7"/>
    <mergeCell ref="M4:M7"/>
    <mergeCell ref="N4:N7"/>
    <mergeCell ref="O4:O7"/>
    <mergeCell ref="P4:P7"/>
  </mergeCells>
  <dataValidations count="2">
    <dataValidation type="list" allowBlank="1" showInputMessage="1" showErrorMessage="1" sqref="G4:G27 G30:G53 G56:G79 G82:G105 G108:G131" xr:uid="{00000000-0002-0000-0F00-000000000000}">
      <formula1>"RHEL,Windows Server,Oracle Linux,Ubuntu,Debian"</formula1>
      <formula2>0</formula2>
    </dataValidation>
    <dataValidation type="list" allowBlank="1" showInputMessage="1" showErrorMessage="1" sqref="C4:C27 C30:C53 C56:C79 C82:C105 C108:C131" xr:uid="{00000000-0002-0000-0F00-000001000000}">
      <formula1>"ON PREM,AWS,AZURE,EXACC"</formula1>
      <formula2>0</formula2>
    </dataValidation>
  </dataValidations>
  <hyperlinks>
    <hyperlink ref="H6" r:id="rId1" display="file:///H:/backup" xr:uid="{00000000-0004-0000-0F00-000000000000}"/>
    <hyperlink ref="H7" r:id="rId2" display="file:///G:/log" xr:uid="{00000000-0004-0000-0F00-000001000000}"/>
    <hyperlink ref="H10" r:id="rId3" display="file:///H:/backup" xr:uid="{00000000-0004-0000-0F00-000002000000}"/>
    <hyperlink ref="H11" r:id="rId4" display="file:///G:/log" xr:uid="{00000000-0004-0000-0F00-000003000000}"/>
    <hyperlink ref="H14" r:id="rId5" display="file:///H:/backup" xr:uid="{00000000-0004-0000-0F00-000004000000}"/>
    <hyperlink ref="H15" r:id="rId6" display="file:///G:/log" xr:uid="{00000000-0004-0000-0F00-000005000000}"/>
    <hyperlink ref="H18" r:id="rId7" display="file:///H:/backup" xr:uid="{00000000-0004-0000-0F00-000006000000}"/>
    <hyperlink ref="H19" r:id="rId8" display="file:///G:/log" xr:uid="{00000000-0004-0000-0F00-000007000000}"/>
    <hyperlink ref="H22" r:id="rId9" display="file:///H:/backup" xr:uid="{00000000-0004-0000-0F00-000008000000}"/>
    <hyperlink ref="H23" r:id="rId10" display="file:///G:/log" xr:uid="{00000000-0004-0000-0F00-000009000000}"/>
    <hyperlink ref="H26" r:id="rId11" display="file:///H:/backup" xr:uid="{00000000-0004-0000-0F00-00000A000000}"/>
    <hyperlink ref="H27" r:id="rId12" display="file:///G:/log" xr:uid="{00000000-0004-0000-0F00-00000B000000}"/>
    <hyperlink ref="H32" r:id="rId13" display="file:///H:/backup" xr:uid="{00000000-0004-0000-0F00-00000C000000}"/>
    <hyperlink ref="H33" r:id="rId14" display="file:///G:/log" xr:uid="{00000000-0004-0000-0F00-00000D000000}"/>
    <hyperlink ref="H36" r:id="rId15" display="file:///H:/backup" xr:uid="{00000000-0004-0000-0F00-00000E000000}"/>
    <hyperlink ref="H37" r:id="rId16" display="file:///G:/log" xr:uid="{00000000-0004-0000-0F00-00000F000000}"/>
    <hyperlink ref="H40" r:id="rId17" display="file:///H:/backup" xr:uid="{00000000-0004-0000-0F00-000010000000}"/>
    <hyperlink ref="H41" r:id="rId18" display="file:///G:/log" xr:uid="{00000000-0004-0000-0F00-000011000000}"/>
    <hyperlink ref="H44" r:id="rId19" display="file:///H:/backup" xr:uid="{00000000-0004-0000-0F00-000012000000}"/>
    <hyperlink ref="H45" r:id="rId20" display="file:///G:/log" xr:uid="{00000000-0004-0000-0F00-000013000000}"/>
    <hyperlink ref="H48" r:id="rId21" display="file:///H:/backup" xr:uid="{00000000-0004-0000-0F00-000014000000}"/>
    <hyperlink ref="H49" r:id="rId22" display="file:///G:/log" xr:uid="{00000000-0004-0000-0F00-000015000000}"/>
    <hyperlink ref="H52" r:id="rId23" display="file:///H:/backup" xr:uid="{00000000-0004-0000-0F00-000016000000}"/>
    <hyperlink ref="H53" r:id="rId24" display="file:///G:/log" xr:uid="{00000000-0004-0000-0F00-000017000000}"/>
    <hyperlink ref="H58" r:id="rId25" display="file:///H:/backup" xr:uid="{00000000-0004-0000-0F00-000018000000}"/>
    <hyperlink ref="H59" r:id="rId26" display="file:///G:/log" xr:uid="{00000000-0004-0000-0F00-000019000000}"/>
    <hyperlink ref="H62" r:id="rId27" display="file:///H:/backup" xr:uid="{00000000-0004-0000-0F00-00001A000000}"/>
    <hyperlink ref="H63" r:id="rId28" display="file:///G:/log" xr:uid="{00000000-0004-0000-0F00-00001B000000}"/>
    <hyperlink ref="H66" r:id="rId29" display="file:///H:/backup" xr:uid="{00000000-0004-0000-0F00-00001C000000}"/>
    <hyperlink ref="H67" r:id="rId30" display="file:///G:/log" xr:uid="{00000000-0004-0000-0F00-00001D000000}"/>
    <hyperlink ref="H70" r:id="rId31" display="file:///H:/backup" xr:uid="{00000000-0004-0000-0F00-00001E000000}"/>
    <hyperlink ref="H71" r:id="rId32" display="file:///G:/log" xr:uid="{00000000-0004-0000-0F00-00001F000000}"/>
    <hyperlink ref="H74" r:id="rId33" display="file:///H:/backup" xr:uid="{00000000-0004-0000-0F00-000020000000}"/>
    <hyperlink ref="H75" r:id="rId34" display="file:///G:/log" xr:uid="{00000000-0004-0000-0F00-000021000000}"/>
    <hyperlink ref="H78" r:id="rId35" display="file:///H:/backup" xr:uid="{00000000-0004-0000-0F00-000022000000}"/>
    <hyperlink ref="H79" r:id="rId36" display="file:///G:/log" xr:uid="{00000000-0004-0000-0F00-000023000000}"/>
    <hyperlink ref="H84" r:id="rId37" display="file:///H:/backup" xr:uid="{00000000-0004-0000-0F00-000024000000}"/>
    <hyperlink ref="H85" r:id="rId38" display="file:///G:/log" xr:uid="{00000000-0004-0000-0F00-000025000000}"/>
    <hyperlink ref="H88" r:id="rId39" display="file:///H:/backup" xr:uid="{00000000-0004-0000-0F00-000026000000}"/>
    <hyperlink ref="H89" r:id="rId40" display="file:///G:/log" xr:uid="{00000000-0004-0000-0F00-000027000000}"/>
    <hyperlink ref="H92" r:id="rId41" display="file:///H:/backup" xr:uid="{00000000-0004-0000-0F00-000028000000}"/>
    <hyperlink ref="H93" r:id="rId42" display="file:///G:/log" xr:uid="{00000000-0004-0000-0F00-000029000000}"/>
    <hyperlink ref="H96" r:id="rId43" display="file:///H:/backup" xr:uid="{00000000-0004-0000-0F00-00002A000000}"/>
    <hyperlink ref="H97" r:id="rId44" display="file:///G:/log" xr:uid="{00000000-0004-0000-0F00-00002B000000}"/>
    <hyperlink ref="H100" r:id="rId45" display="file:///H:/backup" xr:uid="{00000000-0004-0000-0F00-00002C000000}"/>
    <hyperlink ref="H101" r:id="rId46" display="file:///G:/log" xr:uid="{00000000-0004-0000-0F00-00002D000000}"/>
    <hyperlink ref="H104" r:id="rId47" display="file:///H:/backup" xr:uid="{00000000-0004-0000-0F00-00002E000000}"/>
    <hyperlink ref="H105" r:id="rId48" display="file:///G:/log" xr:uid="{00000000-0004-0000-0F00-00002F000000}"/>
    <hyperlink ref="H110" r:id="rId49" display="file:///H:/backup" xr:uid="{00000000-0004-0000-0F00-000030000000}"/>
    <hyperlink ref="H111" r:id="rId50" display="file:///G:/log" xr:uid="{00000000-0004-0000-0F00-000031000000}"/>
    <hyperlink ref="H114" r:id="rId51" display="file:///H:/backup" xr:uid="{00000000-0004-0000-0F00-000032000000}"/>
    <hyperlink ref="H115" r:id="rId52" display="file:///G:/log" xr:uid="{00000000-0004-0000-0F00-000033000000}"/>
    <hyperlink ref="H118" r:id="rId53" display="file:///H:/backup" xr:uid="{00000000-0004-0000-0F00-000034000000}"/>
    <hyperlink ref="H119" r:id="rId54" display="file:///G:/log" xr:uid="{00000000-0004-0000-0F00-000035000000}"/>
    <hyperlink ref="H122" r:id="rId55" display="file:///H:/backup" xr:uid="{00000000-0004-0000-0F00-000036000000}"/>
    <hyperlink ref="H123" r:id="rId56" display="file:///G:/log" xr:uid="{00000000-0004-0000-0F00-000037000000}"/>
    <hyperlink ref="H126" r:id="rId57" display="file:///H:/backup" xr:uid="{00000000-0004-0000-0F00-000038000000}"/>
    <hyperlink ref="H127" r:id="rId58" display="file:///G:/log" xr:uid="{00000000-0004-0000-0F00-000039000000}"/>
    <hyperlink ref="H130" r:id="rId59" display="file:///H:/backup" xr:uid="{00000000-0004-0000-0F00-00003A000000}"/>
    <hyperlink ref="H131" r:id="rId60" display="file:///G:/log" xr:uid="{00000000-0004-0000-0F00-00003B000000}"/>
  </hyperlinks>
  <pageMargins left="0.7" right="0.7" top="0.75" bottom="0.75"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29"/>
  <sheetViews>
    <sheetView zoomScale="77" zoomScaleNormal="77" workbookViewId="0">
      <selection activeCell="C6" sqref="C6"/>
    </sheetView>
  </sheetViews>
  <sheetFormatPr defaultColWidth="0" defaultRowHeight="13.5" zeroHeight="1"/>
  <cols>
    <col min="1" max="1" width="3.5703125" style="23" customWidth="1"/>
    <col min="2" max="2" width="33.85546875" style="23" customWidth="1"/>
    <col min="3" max="8" width="20.5703125" style="23" customWidth="1"/>
    <col min="9" max="9" width="3.5703125" style="23" customWidth="1"/>
    <col min="10" max="16384" width="8.5703125" style="23" hidden="1"/>
  </cols>
  <sheetData>
    <row r="1" spans="2:8" ht="25.5" customHeight="1">
      <c r="B1" s="313" t="s">
        <v>298</v>
      </c>
      <c r="C1" s="313"/>
      <c r="D1" s="313"/>
      <c r="E1" s="313"/>
      <c r="F1" s="313"/>
      <c r="G1" s="313"/>
      <c r="H1" s="313"/>
    </row>
    <row r="2" spans="2:8" ht="15" customHeight="1">
      <c r="B2" s="314" t="s">
        <v>299</v>
      </c>
      <c r="C2" s="315" t="s">
        <v>300</v>
      </c>
      <c r="D2" s="315"/>
      <c r="E2" s="315"/>
      <c r="F2" s="315"/>
      <c r="G2" s="315"/>
      <c r="H2" s="315"/>
    </row>
    <row r="3" spans="2:8" ht="14.25" customHeight="1">
      <c r="B3" s="314"/>
      <c r="C3" s="158" t="s">
        <v>301</v>
      </c>
      <c r="D3" s="159" t="s">
        <v>302</v>
      </c>
      <c r="E3" s="159" t="s">
        <v>303</v>
      </c>
      <c r="F3" s="159" t="s">
        <v>304</v>
      </c>
      <c r="G3" s="160" t="s">
        <v>305</v>
      </c>
      <c r="H3" s="160" t="s">
        <v>306</v>
      </c>
    </row>
    <row r="4" spans="2:8">
      <c r="B4" s="161" t="s">
        <v>104</v>
      </c>
      <c r="C4" s="162">
        <f>DEV!$P$12*$C$22</f>
        <v>40410.316800000008</v>
      </c>
      <c r="D4" s="163">
        <f>DEV!$P$22*$C$22</f>
        <v>40410.316800000008</v>
      </c>
      <c r="E4" s="163">
        <f>DEV!$P$32*$C$22</f>
        <v>7326.7199999999993</v>
      </c>
      <c r="F4" s="163">
        <f>DEV!$P$42*$C$22</f>
        <v>23572.684800000003</v>
      </c>
      <c r="G4" s="163">
        <f>DEV!$P$52*$C$22</f>
        <v>7741.4400000000005</v>
      </c>
      <c r="H4" s="164">
        <f>SUM(C4:G4)</f>
        <v>119461.47840000002</v>
      </c>
    </row>
    <row r="5" spans="2:8">
      <c r="B5" s="161" t="s">
        <v>111</v>
      </c>
      <c r="C5" s="162">
        <f>SIT!$P$12*$C$22</f>
        <v>47013.120000000003</v>
      </c>
      <c r="D5" s="163">
        <f>SIT!$P$22*$C$22</f>
        <v>40410.316800000008</v>
      </c>
      <c r="E5" s="163">
        <f>SIT!$P$32*$C$22</f>
        <v>7326.7199999999993</v>
      </c>
      <c r="F5" s="163">
        <f>SIT!$P$42*$C$22</f>
        <v>23572.684800000003</v>
      </c>
      <c r="G5" s="163">
        <f>SIT!$P$52*$C$22</f>
        <v>7741.4400000000005</v>
      </c>
      <c r="H5" s="164">
        <f>SUM(C5:G5)</f>
        <v>126064.28160000002</v>
      </c>
    </row>
    <row r="6" spans="2:8">
      <c r="B6" s="161" t="s">
        <v>115</v>
      </c>
      <c r="C6" s="162">
        <f>UAT!$P$28*$C$22</f>
        <v>22394.880000000001</v>
      </c>
      <c r="D6" s="163">
        <f>UAT!$P$54*$C$22</f>
        <v>104393.31840000003</v>
      </c>
      <c r="E6" s="163">
        <f>UAT!$P$80*$C$22</f>
        <v>80870.400000000023</v>
      </c>
      <c r="F6" s="163">
        <f>UAT!$P$106*$C$22</f>
        <v>104393.31840000003</v>
      </c>
      <c r="G6" s="163">
        <f>UAT!$P$132*$C$22</f>
        <v>58497.638400000011</v>
      </c>
      <c r="H6" s="164">
        <f>SUM(C6:G6)</f>
        <v>370549.55520000012</v>
      </c>
    </row>
    <row r="7" spans="2:8">
      <c r="B7" s="161" t="s">
        <v>307</v>
      </c>
      <c r="C7" s="162">
        <f>'Pre-Prod'!$P$28*$C$22</f>
        <v>22809.600000000002</v>
      </c>
      <c r="D7" s="163">
        <f>'Pre-Prod'!$P$54*$C$22</f>
        <v>104393.31840000003</v>
      </c>
      <c r="E7" s="163">
        <f>'Pre-Prod'!$P$80*$C$22</f>
        <v>80870.400000000023</v>
      </c>
      <c r="F7" s="163">
        <f>'Pre-Prod'!$P$106*$C$22</f>
        <v>104393.31840000003</v>
      </c>
      <c r="G7" s="163">
        <f>'Pre-Prod'!$P$132*$C$22</f>
        <v>61516.80000000001</v>
      </c>
      <c r="H7" s="164">
        <f>SUM(C7:G7)</f>
        <v>373983.43680000008</v>
      </c>
    </row>
    <row r="8" spans="2:8">
      <c r="B8" s="161" t="s">
        <v>121</v>
      </c>
      <c r="C8" s="162">
        <f>PROD!$P$28*$C$22</f>
        <v>75777.638399999996</v>
      </c>
      <c r="D8" s="163">
        <f>PROD!$P$54*$C$22</f>
        <v>121230.95040000003</v>
      </c>
      <c r="E8" s="163">
        <f>PROD!$P$80*$C$22</f>
        <v>136857.60000000003</v>
      </c>
      <c r="F8" s="163">
        <f>PROD!$P$106*$C$22</f>
        <v>121230.95040000003</v>
      </c>
      <c r="G8" s="163">
        <f>PROD!$P$132*$C$22</f>
        <v>136857.60000000003</v>
      </c>
      <c r="H8" s="164">
        <f>SUM(C8:G8)</f>
        <v>591954.73920000019</v>
      </c>
    </row>
    <row r="9" spans="2:8">
      <c r="B9" s="161" t="s">
        <v>127</v>
      </c>
      <c r="C9" s="162">
        <f>DR!$P$28*$C$22</f>
        <v>134710.73280000003</v>
      </c>
      <c r="D9" s="163">
        <f>DR!$P$54*$C$22</f>
        <v>121230.95040000003</v>
      </c>
      <c r="E9" s="163">
        <f>DR!$P$80*$C$22</f>
        <v>136857.60000000003</v>
      </c>
      <c r="F9" s="163">
        <f>DR!$P$106*$C$22</f>
        <v>104393.31840000003</v>
      </c>
      <c r="G9" s="163">
        <f>DR!$P$132*$C$22</f>
        <v>61516.80000000001</v>
      </c>
      <c r="H9" s="164">
        <f>SUM(C9:G9)</f>
        <v>558709.4016000001</v>
      </c>
    </row>
    <row r="10" spans="2:8">
      <c r="B10" s="161" t="s">
        <v>308</v>
      </c>
      <c r="C10" s="162">
        <f>'Software Licenses'!G19</f>
        <v>0</v>
      </c>
      <c r="D10" s="162">
        <f>'Software Licenses'!H19</f>
        <v>0</v>
      </c>
      <c r="E10" s="162">
        <f>'Software Licenses'!I19</f>
        <v>0</v>
      </c>
      <c r="F10" s="162">
        <f>'Software Licenses'!J19</f>
        <v>0</v>
      </c>
      <c r="G10" s="162">
        <f>'Software Licenses'!K19</f>
        <v>0</v>
      </c>
      <c r="H10" s="164">
        <f>SUM(C10:G10)</f>
        <v>0</v>
      </c>
    </row>
    <row r="11" spans="2:8" ht="14.25" customHeight="1">
      <c r="B11" s="161" t="s">
        <v>309</v>
      </c>
      <c r="C11" s="165">
        <f>('VDI Specifications (Infra)'!$J$16+'Software Licenses'!G25)*$C$22</f>
        <v>140400</v>
      </c>
      <c r="D11" s="165">
        <f>('VDI Specifications (Infra)'!$J$16+'Software Licenses'!H25)*$C$22</f>
        <v>140400</v>
      </c>
      <c r="E11" s="165">
        <f>('VDI Specifications (Infra)'!$J$16+'Software Licenses'!I25)*$C$22</f>
        <v>140400</v>
      </c>
      <c r="F11" s="165">
        <f>('VDI Specifications (Infra)'!$J$16+'Software Licenses'!J25)*$C$22</f>
        <v>140400</v>
      </c>
      <c r="G11" s="165">
        <f>('VDI Specifications (Infra)'!$J$16+'Software Licenses'!K25)*$C$22</f>
        <v>140400</v>
      </c>
      <c r="H11" s="164">
        <f>SUM(C11:G11)</f>
        <v>702000</v>
      </c>
    </row>
    <row r="12" spans="2:8" ht="14.25" customHeight="1">
      <c r="B12" s="166" t="s">
        <v>310</v>
      </c>
      <c r="C12" s="167">
        <f>SUM(C4:C11)</f>
        <v>483516.28800000006</v>
      </c>
      <c r="D12" s="167">
        <f>SUM(D4:D11)</f>
        <v>672469.17120000022</v>
      </c>
      <c r="E12" s="167">
        <f>SUM(E4:E11)</f>
        <v>590509.44000000018</v>
      </c>
      <c r="F12" s="167">
        <f>SUM(F4:F11)</f>
        <v>621956.27520000015</v>
      </c>
      <c r="G12" s="167">
        <f>SUM(G4:G11)</f>
        <v>474271.71840000007</v>
      </c>
      <c r="H12" s="167">
        <f>SUM(C12:G12)</f>
        <v>2842722.892800001</v>
      </c>
    </row>
    <row r="13" spans="2:8" ht="14.25" customHeight="1">
      <c r="B13" s="168" t="str">
        <f>CONCATENATE(SUMMARY!C23, "% Cost Buffer")</f>
        <v>25% Cost Buffer</v>
      </c>
      <c r="C13" s="169">
        <f>(C12*($C$23)%)</f>
        <v>120879.07200000001</v>
      </c>
      <c r="D13" s="169">
        <f>(D12*($C$23)%)</f>
        <v>168117.29280000005</v>
      </c>
      <c r="E13" s="169">
        <f>(E12*($C$23)%)</f>
        <v>147627.36000000004</v>
      </c>
      <c r="F13" s="169">
        <f>(F12*($C$23)%)</f>
        <v>155489.06880000004</v>
      </c>
      <c r="G13" s="169">
        <f>(G12*($C$23)%)</f>
        <v>118567.92960000002</v>
      </c>
      <c r="H13" s="169">
        <f>(H12*($C$23)%)</f>
        <v>710680.72320000024</v>
      </c>
    </row>
    <row r="14" spans="2:8" ht="14.25" customHeight="1">
      <c r="B14" s="52"/>
      <c r="C14" s="170"/>
      <c r="D14" s="170"/>
      <c r="E14" s="170"/>
      <c r="F14" s="170"/>
      <c r="G14" s="170"/>
      <c r="H14" s="170"/>
    </row>
    <row r="15" spans="2:8" s="171" customFormat="1" ht="14.25" customHeight="1">
      <c r="B15" s="172" t="s">
        <v>311</v>
      </c>
      <c r="C15" s="173">
        <f>SUM(C12:C13)</f>
        <v>604395.3600000001</v>
      </c>
      <c r="D15" s="173">
        <f>SUM(D12:D13)</f>
        <v>840586.46400000027</v>
      </c>
      <c r="E15" s="173">
        <f>SUM(E12:E13)</f>
        <v>738136.80000000028</v>
      </c>
      <c r="F15" s="173">
        <f>SUM(F12:F13)</f>
        <v>777445.34400000016</v>
      </c>
      <c r="G15" s="173">
        <f>SUM(G12:G13)</f>
        <v>592839.64800000004</v>
      </c>
      <c r="H15" s="173">
        <f>SUM(H12:H13)</f>
        <v>3553403.6160000013</v>
      </c>
    </row>
    <row r="17" spans="2:4">
      <c r="B17" s="316" t="s">
        <v>312</v>
      </c>
      <c r="C17" s="174" t="s">
        <v>313</v>
      </c>
      <c r="D17" s="175"/>
    </row>
    <row r="18" spans="2:4" ht="14.25" customHeight="1">
      <c r="B18" s="316"/>
      <c r="C18" s="174" t="s">
        <v>314</v>
      </c>
      <c r="D18" s="175"/>
    </row>
    <row r="19" spans="2:4" ht="14.25" customHeight="1">
      <c r="B19" s="176" t="s">
        <v>315</v>
      </c>
      <c r="C19" s="177"/>
      <c r="D19" s="175"/>
    </row>
    <row r="20" spans="2:4" ht="14.25" customHeight="1">
      <c r="B20" s="178" t="s">
        <v>316</v>
      </c>
      <c r="C20" s="179">
        <v>9.7000000000000003E-2</v>
      </c>
      <c r="D20" s="180" t="s">
        <v>317</v>
      </c>
    </row>
    <row r="21" spans="2:4" ht="15" customHeight="1">
      <c r="B21" s="178" t="s">
        <v>318</v>
      </c>
      <c r="C21" s="179">
        <v>9.6000000000000002E-2</v>
      </c>
      <c r="D21" s="180" t="s">
        <v>319</v>
      </c>
    </row>
    <row r="22" spans="2:4" ht="14.25" customHeight="1">
      <c r="B22" s="181" t="s">
        <v>320</v>
      </c>
      <c r="C22" s="182">
        <v>60</v>
      </c>
      <c r="D22" s="183" t="s">
        <v>321</v>
      </c>
    </row>
    <row r="23" spans="2:4" ht="14.25" customHeight="1">
      <c r="B23" s="181" t="s">
        <v>322</v>
      </c>
      <c r="C23" s="184">
        <v>25</v>
      </c>
      <c r="D23" s="129"/>
    </row>
    <row r="24" spans="2:4" ht="14.25" customHeight="1">
      <c r="B24" s="185" t="s">
        <v>323</v>
      </c>
      <c r="C24" s="186">
        <f>'HW &amp; SW Requirements'!$B$3</f>
        <v>15</v>
      </c>
      <c r="D24" s="129"/>
    </row>
    <row r="25" spans="2:4" ht="14.25" customHeight="1">
      <c r="B25" s="187" t="s">
        <v>324</v>
      </c>
      <c r="C25" s="188">
        <v>12</v>
      </c>
      <c r="D25" s="129"/>
    </row>
    <row r="26" spans="2:4" ht="14.25" customHeight="1">
      <c r="B26" s="189" t="s">
        <v>325</v>
      </c>
      <c r="C26" s="190">
        <v>13</v>
      </c>
      <c r="D26" s="129"/>
    </row>
    <row r="27" spans="2:4" s="129" customFormat="1">
      <c r="C27" s="191" t="s">
        <v>326</v>
      </c>
    </row>
    <row r="28" spans="2:4" s="129" customFormat="1">
      <c r="C28" s="191" t="s">
        <v>327</v>
      </c>
    </row>
    <row r="29" spans="2:4">
      <c r="C29" s="192" t="s">
        <v>328</v>
      </c>
    </row>
  </sheetData>
  <mergeCells count="4">
    <mergeCell ref="B1:H1"/>
    <mergeCell ref="B2:B3"/>
    <mergeCell ref="C2:H2"/>
    <mergeCell ref="B17:B18"/>
  </mergeCells>
  <dataValidations count="1">
    <dataValidation errorStyle="warning" allowBlank="1" showInputMessage="1" showErrorMessage="1" sqref="C24:C26" xr:uid="{00000000-0002-0000-1000-000000000000}">
      <formula1>0</formula1>
      <formula2>0</formula2>
    </dataValidation>
  </dataValidations>
  <hyperlinks>
    <hyperlink ref="C17" r:id="rId1" location="/" xr:uid="{00000000-0004-0000-1000-000000000000}"/>
    <hyperlink ref="C18" r:id="rId2" xr:uid="{00000000-0004-0000-1000-000001000000}"/>
    <hyperlink ref="D20" r:id="rId3" location=":~:text=only%2020%20GB.-,Pricing,true%20availability%20of%20this%20service%20can%20be%20found%20in%20documentation.,-Standard%20SSD" xr:uid="{00000000-0004-0000-1000-000002000000}"/>
    <hyperlink ref="D21" r:id="rId4" xr:uid="{00000000-0004-0000-1000-000003000000}"/>
  </hyperlinks>
  <pageMargins left="0.7" right="0.7" top="0.75" bottom="0.75"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sheetPr>
  <dimension ref="A1:R55"/>
  <sheetViews>
    <sheetView zoomScale="80" zoomScaleNormal="80" workbookViewId="0">
      <selection activeCell="D21" sqref="D21"/>
    </sheetView>
  </sheetViews>
  <sheetFormatPr defaultColWidth="21" defaultRowHeight="12"/>
  <cols>
    <col min="1" max="1" width="28.85546875" style="50" customWidth="1"/>
    <col min="2" max="3" width="21.85546875" style="50" customWidth="1"/>
    <col min="4" max="4" width="23.42578125" style="50" customWidth="1"/>
    <col min="5" max="5" width="32.7109375" style="50" customWidth="1"/>
    <col min="6" max="6" width="28.7109375" style="50" customWidth="1"/>
    <col min="7" max="7" width="24.28515625" style="50" customWidth="1"/>
    <col min="8" max="8" width="26.85546875" style="50" customWidth="1"/>
    <col min="9" max="9" width="18.85546875" style="50" customWidth="1"/>
    <col min="10" max="10" width="26.85546875" style="50" customWidth="1"/>
    <col min="11" max="12" width="21" style="50"/>
    <col min="13" max="13" width="27.42578125" style="50" customWidth="1"/>
    <col min="14" max="16384" width="21" style="50"/>
  </cols>
  <sheetData>
    <row r="1" spans="1:18" ht="12.75" customHeight="1">
      <c r="A1" s="193" t="s">
        <v>329</v>
      </c>
      <c r="H1" s="194"/>
      <c r="I1" s="195"/>
      <c r="J1" s="195"/>
      <c r="K1" s="196"/>
    </row>
    <row r="2" spans="1:18" ht="14.25" customHeight="1">
      <c r="A2" s="320" t="s">
        <v>330</v>
      </c>
      <c r="B2" s="320"/>
      <c r="C2" s="320"/>
      <c r="D2" s="320"/>
      <c r="E2" s="320"/>
      <c r="F2" s="320"/>
      <c r="G2" s="320"/>
      <c r="H2" s="320"/>
      <c r="I2" s="320"/>
      <c r="J2" s="320"/>
      <c r="K2" s="320"/>
      <c r="L2" s="320"/>
      <c r="M2" s="320"/>
      <c r="N2" s="320"/>
      <c r="O2" s="320"/>
      <c r="P2" s="320"/>
      <c r="Q2" s="320"/>
      <c r="R2" s="320"/>
    </row>
    <row r="3" spans="1:18" ht="14.25" customHeight="1">
      <c r="A3" s="197"/>
      <c r="B3" s="197"/>
      <c r="C3" s="197"/>
      <c r="D3" s="32"/>
      <c r="E3" s="32"/>
      <c r="F3" s="32"/>
      <c r="G3" s="32"/>
      <c r="H3" s="32"/>
      <c r="I3" s="32"/>
      <c r="J3" s="32"/>
      <c r="K3" s="32"/>
      <c r="L3" s="276" t="s">
        <v>331</v>
      </c>
      <c r="M3" s="276"/>
      <c r="N3" s="321" t="s">
        <v>332</v>
      </c>
      <c r="O3" s="321"/>
      <c r="P3" s="32"/>
      <c r="Q3" s="32"/>
      <c r="R3" s="32"/>
    </row>
    <row r="4" spans="1:18" ht="15.75" customHeight="1">
      <c r="A4" s="198" t="s">
        <v>333</v>
      </c>
      <c r="B4" s="198" t="s">
        <v>334</v>
      </c>
      <c r="C4" s="198" t="s">
        <v>335</v>
      </c>
      <c r="D4" s="198" t="s">
        <v>336</v>
      </c>
      <c r="E4" s="199" t="s">
        <v>337</v>
      </c>
      <c r="F4" s="199" t="s">
        <v>338</v>
      </c>
      <c r="G4" s="199" t="s">
        <v>339</v>
      </c>
      <c r="H4" s="199" t="s">
        <v>340</v>
      </c>
      <c r="I4" s="199" t="s">
        <v>341</v>
      </c>
      <c r="J4" s="198" t="s">
        <v>342</v>
      </c>
      <c r="K4" s="199" t="s">
        <v>343</v>
      </c>
      <c r="L4" s="198" t="s">
        <v>99</v>
      </c>
      <c r="M4" s="198" t="s">
        <v>344</v>
      </c>
      <c r="N4" s="198" t="s">
        <v>99</v>
      </c>
      <c r="O4" s="198" t="s">
        <v>344</v>
      </c>
      <c r="P4" s="198" t="s">
        <v>345</v>
      </c>
      <c r="Q4" s="198" t="s">
        <v>346</v>
      </c>
      <c r="R4" s="198" t="s">
        <v>103</v>
      </c>
    </row>
    <row r="5" spans="1:18" ht="13.5" customHeight="1">
      <c r="A5" s="200" t="s">
        <v>347</v>
      </c>
      <c r="B5" s="200">
        <v>1</v>
      </c>
      <c r="C5" s="200">
        <v>1</v>
      </c>
      <c r="D5" s="200">
        <v>1</v>
      </c>
      <c r="E5" s="201">
        <v>2</v>
      </c>
      <c r="F5" s="201">
        <v>25</v>
      </c>
      <c r="G5" s="201">
        <v>70</v>
      </c>
      <c r="H5" s="201">
        <v>50</v>
      </c>
      <c r="I5" s="201">
        <v>100</v>
      </c>
      <c r="J5" s="201">
        <v>80</v>
      </c>
      <c r="K5" s="201">
        <v>0</v>
      </c>
      <c r="L5" s="202">
        <f>D5*F5</f>
        <v>25</v>
      </c>
      <c r="M5" s="202">
        <f>D5*G5</f>
        <v>70</v>
      </c>
      <c r="N5" s="202">
        <f>E5*H5</f>
        <v>100</v>
      </c>
      <c r="O5" s="202">
        <f>E5*I5</f>
        <v>200</v>
      </c>
      <c r="P5" s="202">
        <f>J5*3</f>
        <v>240</v>
      </c>
      <c r="Q5" s="202">
        <f>E5*K5</f>
        <v>0</v>
      </c>
      <c r="R5" s="203"/>
    </row>
    <row r="6" spans="1:18" ht="13.5" customHeight="1">
      <c r="A6" s="200" t="s">
        <v>348</v>
      </c>
      <c r="B6" s="200">
        <v>1</v>
      </c>
      <c r="C6" s="200">
        <v>1</v>
      </c>
      <c r="D6" s="200">
        <v>1</v>
      </c>
      <c r="E6" s="201">
        <v>2</v>
      </c>
      <c r="F6" s="201">
        <v>100</v>
      </c>
      <c r="G6" s="201">
        <v>50</v>
      </c>
      <c r="H6" s="201">
        <v>100</v>
      </c>
      <c r="I6" s="201">
        <v>50</v>
      </c>
      <c r="J6" s="201">
        <v>60</v>
      </c>
      <c r="K6" s="201">
        <v>0</v>
      </c>
      <c r="L6" s="202">
        <f>D6*F6</f>
        <v>100</v>
      </c>
      <c r="M6" s="202">
        <f>D6*G6</f>
        <v>50</v>
      </c>
      <c r="N6" s="202">
        <f>E6*H6</f>
        <v>200</v>
      </c>
      <c r="O6" s="202">
        <f>E6*I6</f>
        <v>100</v>
      </c>
      <c r="P6" s="202">
        <f>J6*3</f>
        <v>180</v>
      </c>
      <c r="Q6" s="202">
        <f>E6*K6</f>
        <v>0</v>
      </c>
      <c r="R6" s="202"/>
    </row>
    <row r="7" spans="1:18" ht="13.5" customHeight="1">
      <c r="A7" s="200" t="s">
        <v>349</v>
      </c>
      <c r="B7" s="200">
        <v>1</v>
      </c>
      <c r="C7" s="200">
        <v>1</v>
      </c>
      <c r="D7" s="200">
        <v>1</v>
      </c>
      <c r="E7" s="201">
        <v>2</v>
      </c>
      <c r="F7" s="201">
        <v>100</v>
      </c>
      <c r="G7" s="201">
        <v>70</v>
      </c>
      <c r="H7" s="201">
        <v>100</v>
      </c>
      <c r="I7" s="201">
        <v>170</v>
      </c>
      <c r="J7" s="201">
        <v>40</v>
      </c>
      <c r="K7" s="201">
        <v>0</v>
      </c>
      <c r="L7" s="202">
        <f>D7*F7</f>
        <v>100</v>
      </c>
      <c r="M7" s="202">
        <f>D7*G7</f>
        <v>70</v>
      </c>
      <c r="N7" s="202">
        <f>E7*H7</f>
        <v>200</v>
      </c>
      <c r="O7" s="202">
        <f>E7*I7</f>
        <v>340</v>
      </c>
      <c r="P7" s="202">
        <f>J7*3</f>
        <v>120</v>
      </c>
      <c r="Q7" s="202">
        <f>E7*K7</f>
        <v>0</v>
      </c>
      <c r="R7" s="203"/>
    </row>
    <row r="8" spans="1:18" ht="13.5" customHeight="1">
      <c r="A8" s="200" t="s">
        <v>350</v>
      </c>
      <c r="B8" s="200">
        <v>1</v>
      </c>
      <c r="C8" s="200">
        <v>1</v>
      </c>
      <c r="D8" s="200">
        <v>1</v>
      </c>
      <c r="E8" s="201">
        <v>2</v>
      </c>
      <c r="F8" s="201">
        <v>100</v>
      </c>
      <c r="G8" s="201">
        <v>128</v>
      </c>
      <c r="H8" s="201">
        <v>100</v>
      </c>
      <c r="I8" s="201">
        <v>128</v>
      </c>
      <c r="J8" s="201">
        <v>50</v>
      </c>
      <c r="K8" s="201">
        <v>0</v>
      </c>
      <c r="L8" s="202">
        <f>D8*F8</f>
        <v>100</v>
      </c>
      <c r="M8" s="202">
        <f>D8*G8</f>
        <v>128</v>
      </c>
      <c r="N8" s="202">
        <f>E8*H8</f>
        <v>200</v>
      </c>
      <c r="O8" s="202">
        <f>E8*I8</f>
        <v>256</v>
      </c>
      <c r="P8" s="202">
        <f>J8*3</f>
        <v>150</v>
      </c>
      <c r="Q8" s="202">
        <f>E8*K8</f>
        <v>0</v>
      </c>
      <c r="R8" s="203"/>
    </row>
    <row r="9" spans="1:18" ht="13.5" customHeight="1">
      <c r="A9" s="200" t="s">
        <v>351</v>
      </c>
      <c r="B9" s="200">
        <v>1</v>
      </c>
      <c r="C9" s="200">
        <v>1</v>
      </c>
      <c r="D9" s="200">
        <v>1</v>
      </c>
      <c r="E9" s="201">
        <v>2</v>
      </c>
      <c r="F9" s="201">
        <v>100</v>
      </c>
      <c r="G9" s="201">
        <v>200</v>
      </c>
      <c r="H9" s="201">
        <v>100</v>
      </c>
      <c r="I9" s="201">
        <v>200</v>
      </c>
      <c r="J9" s="201">
        <v>50</v>
      </c>
      <c r="K9" s="201">
        <v>0</v>
      </c>
      <c r="L9" s="202">
        <f>D9*F9</f>
        <v>100</v>
      </c>
      <c r="M9" s="202">
        <f>D9*G9</f>
        <v>200</v>
      </c>
      <c r="N9" s="202">
        <f>E9*H9</f>
        <v>200</v>
      </c>
      <c r="O9" s="202">
        <f>E9*I9</f>
        <v>400</v>
      </c>
      <c r="P9" s="202">
        <f>J9*3</f>
        <v>150</v>
      </c>
      <c r="Q9" s="202">
        <f>E9*K9</f>
        <v>0</v>
      </c>
      <c r="R9" s="203"/>
    </row>
    <row r="10" spans="1:18" ht="13.5" customHeight="1">
      <c r="A10" s="204" t="s">
        <v>352</v>
      </c>
      <c r="B10" s="200">
        <v>1</v>
      </c>
      <c r="C10" s="200">
        <v>1</v>
      </c>
      <c r="D10" s="200">
        <v>1</v>
      </c>
      <c r="E10" s="201">
        <v>2</v>
      </c>
      <c r="F10" s="201">
        <v>100</v>
      </c>
      <c r="G10" s="201">
        <v>600</v>
      </c>
      <c r="H10" s="201">
        <v>100</v>
      </c>
      <c r="I10" s="201">
        <v>600</v>
      </c>
      <c r="J10" s="201">
        <v>50</v>
      </c>
      <c r="K10" s="201">
        <v>0</v>
      </c>
      <c r="L10" s="202">
        <f>D10*F10</f>
        <v>100</v>
      </c>
      <c r="M10" s="202">
        <f>D10*G10</f>
        <v>600</v>
      </c>
      <c r="N10" s="202">
        <f>E10*H10</f>
        <v>200</v>
      </c>
      <c r="O10" s="202">
        <f>E10*I10</f>
        <v>1200</v>
      </c>
      <c r="P10" s="202">
        <f>J10*3</f>
        <v>150</v>
      </c>
      <c r="Q10" s="202">
        <f>E10*K10</f>
        <v>0</v>
      </c>
      <c r="R10" s="203"/>
    </row>
    <row r="11" spans="1:18" ht="15.75" customHeight="1">
      <c r="A11" s="198" t="s">
        <v>353</v>
      </c>
      <c r="B11" s="198"/>
      <c r="C11" s="198"/>
      <c r="D11" s="198"/>
      <c r="E11" s="199"/>
      <c r="F11" s="199"/>
      <c r="G11" s="199"/>
      <c r="H11" s="199"/>
      <c r="I11" s="199"/>
      <c r="J11" s="199"/>
      <c r="K11" s="199"/>
      <c r="L11" s="199"/>
      <c r="M11" s="199"/>
      <c r="N11" s="199"/>
      <c r="O11" s="199"/>
      <c r="P11" s="199"/>
      <c r="Q11" s="199"/>
      <c r="R11" s="199"/>
    </row>
    <row r="12" spans="1:18" ht="13.5" customHeight="1">
      <c r="A12" s="205" t="s">
        <v>354</v>
      </c>
      <c r="B12" s="205">
        <v>1</v>
      </c>
      <c r="C12" s="205">
        <v>1</v>
      </c>
      <c r="D12" s="205">
        <v>1</v>
      </c>
      <c r="E12" s="206">
        <v>2</v>
      </c>
      <c r="F12" s="207">
        <v>25</v>
      </c>
      <c r="G12" s="207">
        <v>100</v>
      </c>
      <c r="H12" s="207">
        <v>100</v>
      </c>
      <c r="I12" s="207">
        <v>100</v>
      </c>
      <c r="J12" s="207">
        <v>50</v>
      </c>
      <c r="K12" s="207">
        <v>0</v>
      </c>
      <c r="L12" s="202">
        <f>D12*F12</f>
        <v>25</v>
      </c>
      <c r="M12" s="202">
        <f>D12*G12</f>
        <v>100</v>
      </c>
      <c r="N12" s="202">
        <f>E12*H12</f>
        <v>200</v>
      </c>
      <c r="O12" s="202">
        <f>E12*I12</f>
        <v>200</v>
      </c>
      <c r="P12" s="202">
        <f>J12*3</f>
        <v>150</v>
      </c>
      <c r="Q12" s="202">
        <f>E12*K12</f>
        <v>0</v>
      </c>
      <c r="R12" s="202"/>
    </row>
    <row r="13" spans="1:18" ht="15.75" customHeight="1">
      <c r="A13" s="198" t="s">
        <v>355</v>
      </c>
      <c r="B13" s="198"/>
      <c r="C13" s="198"/>
      <c r="D13" s="198"/>
      <c r="E13" s="199"/>
      <c r="F13" s="199"/>
      <c r="G13" s="199"/>
      <c r="H13" s="199"/>
      <c r="I13" s="199"/>
      <c r="J13" s="199"/>
      <c r="K13" s="199"/>
      <c r="L13" s="199"/>
      <c r="M13" s="199"/>
      <c r="N13" s="199"/>
      <c r="O13" s="199"/>
      <c r="P13" s="199"/>
      <c r="Q13" s="199"/>
      <c r="R13" s="199"/>
    </row>
    <row r="14" spans="1:18" ht="13.5" customHeight="1">
      <c r="A14" s="208" t="s">
        <v>356</v>
      </c>
      <c r="B14" s="208">
        <v>1</v>
      </c>
      <c r="C14" s="208">
        <v>1</v>
      </c>
      <c r="D14" s="208">
        <v>1</v>
      </c>
      <c r="E14" s="208">
        <v>2</v>
      </c>
      <c r="F14" s="208">
        <v>500</v>
      </c>
      <c r="G14" s="208">
        <v>1024</v>
      </c>
      <c r="H14" s="208">
        <v>1500</v>
      </c>
      <c r="I14" s="208">
        <v>2048</v>
      </c>
      <c r="J14" s="208">
        <v>2048</v>
      </c>
      <c r="K14" s="208">
        <v>0</v>
      </c>
      <c r="L14" s="202">
        <f>D14*F14</f>
        <v>500</v>
      </c>
      <c r="M14" s="202">
        <f>D14*G14</f>
        <v>1024</v>
      </c>
      <c r="N14" s="202">
        <f>E14*H14</f>
        <v>3000</v>
      </c>
      <c r="O14" s="202">
        <f>E14*I14</f>
        <v>4096</v>
      </c>
      <c r="P14" s="202">
        <f>J14*3</f>
        <v>6144</v>
      </c>
      <c r="Q14" s="202">
        <f>E14*H14</f>
        <v>3000</v>
      </c>
      <c r="R14" s="202"/>
    </row>
    <row r="15" spans="1:18" ht="13.5" customHeight="1">
      <c r="A15" s="208" t="s">
        <v>357</v>
      </c>
      <c r="B15" s="208">
        <v>1</v>
      </c>
      <c r="C15" s="208">
        <v>1</v>
      </c>
      <c r="D15" s="208">
        <v>1</v>
      </c>
      <c r="E15" s="208">
        <v>2</v>
      </c>
      <c r="F15" s="208">
        <v>500</v>
      </c>
      <c r="G15" s="208">
        <v>1024</v>
      </c>
      <c r="H15" s="208">
        <v>1500</v>
      </c>
      <c r="I15" s="208">
        <v>2048</v>
      </c>
      <c r="J15" s="208">
        <v>2048</v>
      </c>
      <c r="K15" s="208">
        <v>0</v>
      </c>
      <c r="L15" s="202">
        <f>D15*F15</f>
        <v>500</v>
      </c>
      <c r="M15" s="202">
        <f>D15*G15</f>
        <v>1024</v>
      </c>
      <c r="N15" s="202">
        <f>E15*H15</f>
        <v>3000</v>
      </c>
      <c r="O15" s="202">
        <f>E15*I15</f>
        <v>4096</v>
      </c>
      <c r="P15" s="202">
        <f>J15*3</f>
        <v>6144</v>
      </c>
      <c r="Q15" s="202">
        <f>E15*H15</f>
        <v>3000</v>
      </c>
      <c r="R15" s="202"/>
    </row>
    <row r="16" spans="1:18" ht="13.5" customHeight="1">
      <c r="A16" s="208" t="s">
        <v>358</v>
      </c>
      <c r="B16" s="208">
        <v>1</v>
      </c>
      <c r="C16" s="208">
        <v>1</v>
      </c>
      <c r="D16" s="208">
        <v>1</v>
      </c>
      <c r="E16" s="208">
        <v>2</v>
      </c>
      <c r="F16" s="208">
        <v>500</v>
      </c>
      <c r="G16" s="208">
        <v>1024</v>
      </c>
      <c r="H16" s="208">
        <v>1500</v>
      </c>
      <c r="I16" s="208">
        <v>2048</v>
      </c>
      <c r="J16" s="208">
        <v>2048</v>
      </c>
      <c r="K16" s="208">
        <v>0</v>
      </c>
      <c r="L16" s="202">
        <f>D16*F16</f>
        <v>500</v>
      </c>
      <c r="M16" s="202">
        <f>D16*G16</f>
        <v>1024</v>
      </c>
      <c r="N16" s="202">
        <f>E16*H16</f>
        <v>3000</v>
      </c>
      <c r="O16" s="202">
        <f>E16*I16</f>
        <v>4096</v>
      </c>
      <c r="P16" s="202">
        <f>J16*3</f>
        <v>6144</v>
      </c>
      <c r="Q16" s="202">
        <f>E16*H16</f>
        <v>3000</v>
      </c>
      <c r="R16" s="202"/>
    </row>
    <row r="17" spans="1:18" ht="13.5" customHeight="1">
      <c r="A17" s="208" t="s">
        <v>359</v>
      </c>
      <c r="B17" s="208">
        <v>1</v>
      </c>
      <c r="C17" s="208">
        <v>1</v>
      </c>
      <c r="D17" s="208">
        <v>1</v>
      </c>
      <c r="E17" s="208">
        <v>2</v>
      </c>
      <c r="F17" s="208">
        <v>400</v>
      </c>
      <c r="G17" s="208">
        <v>768</v>
      </c>
      <c r="H17" s="208">
        <v>1200</v>
      </c>
      <c r="I17" s="208">
        <v>1536</v>
      </c>
      <c r="J17" s="208">
        <v>2048</v>
      </c>
      <c r="K17" s="208">
        <v>0</v>
      </c>
      <c r="L17" s="202">
        <f>D17*F17</f>
        <v>400</v>
      </c>
      <c r="M17" s="202">
        <f>D17*G17</f>
        <v>768</v>
      </c>
      <c r="N17" s="202">
        <f>E17*H17</f>
        <v>2400</v>
      </c>
      <c r="O17" s="202">
        <f>E17*I17</f>
        <v>3072</v>
      </c>
      <c r="P17" s="202">
        <f>J17*3</f>
        <v>6144</v>
      </c>
      <c r="Q17" s="202">
        <f>E17*H17</f>
        <v>2400</v>
      </c>
      <c r="R17" s="202"/>
    </row>
    <row r="18" spans="1:18" ht="13.5" customHeight="1">
      <c r="A18" s="208" t="s">
        <v>360</v>
      </c>
      <c r="B18" s="208">
        <v>1</v>
      </c>
      <c r="C18" s="208">
        <v>1</v>
      </c>
      <c r="D18" s="208">
        <v>1</v>
      </c>
      <c r="E18" s="208">
        <v>2</v>
      </c>
      <c r="F18" s="208">
        <v>200</v>
      </c>
      <c r="G18" s="208">
        <v>256</v>
      </c>
      <c r="H18" s="208">
        <v>500</v>
      </c>
      <c r="I18" s="208">
        <v>512</v>
      </c>
      <c r="J18" s="208">
        <v>1024</v>
      </c>
      <c r="K18" s="208">
        <v>0</v>
      </c>
      <c r="L18" s="202">
        <f>D18*F18</f>
        <v>200</v>
      </c>
      <c r="M18" s="202">
        <f>D18*G18</f>
        <v>256</v>
      </c>
      <c r="N18" s="202">
        <f>E18*H18</f>
        <v>1000</v>
      </c>
      <c r="O18" s="202">
        <f>E18*I18</f>
        <v>1024</v>
      </c>
      <c r="P18" s="202">
        <f>J18*3</f>
        <v>3072</v>
      </c>
      <c r="Q18" s="202">
        <f>E18*H18</f>
        <v>1000</v>
      </c>
      <c r="R18" s="202"/>
    </row>
    <row r="19" spans="1:18" ht="15.75" customHeight="1">
      <c r="A19" s="198" t="s">
        <v>361</v>
      </c>
      <c r="B19" s="198"/>
      <c r="C19" s="198"/>
      <c r="D19" s="198"/>
      <c r="E19" s="199"/>
      <c r="F19" s="199"/>
      <c r="G19" s="199"/>
      <c r="H19" s="199"/>
      <c r="I19" s="199"/>
      <c r="J19" s="199"/>
      <c r="K19" s="199"/>
      <c r="L19" s="199"/>
      <c r="M19" s="199"/>
      <c r="N19" s="199"/>
      <c r="O19" s="199"/>
      <c r="P19" s="199"/>
      <c r="Q19" s="199"/>
      <c r="R19" s="199"/>
    </row>
    <row r="20" spans="1:18" ht="13.5" customHeight="1">
      <c r="A20" s="208" t="s">
        <v>362</v>
      </c>
      <c r="B20" s="208">
        <v>1</v>
      </c>
      <c r="C20" s="208">
        <v>1</v>
      </c>
      <c r="D20" s="208">
        <v>1</v>
      </c>
      <c r="E20" s="208">
        <v>2</v>
      </c>
      <c r="F20" s="208">
        <v>500</v>
      </c>
      <c r="G20" s="208">
        <v>512</v>
      </c>
      <c r="H20" s="208">
        <v>1000</v>
      </c>
      <c r="I20" s="208">
        <v>1024</v>
      </c>
      <c r="J20" s="208">
        <v>1024</v>
      </c>
      <c r="K20" s="208">
        <v>0</v>
      </c>
      <c r="L20" s="202">
        <f>D20*F20</f>
        <v>500</v>
      </c>
      <c r="M20" s="202">
        <f>D20*G20</f>
        <v>512</v>
      </c>
      <c r="N20" s="202">
        <f>E20*H20</f>
        <v>2000</v>
      </c>
      <c r="O20" s="202">
        <f>E20*I20</f>
        <v>2048</v>
      </c>
      <c r="P20" s="202">
        <f>J20*3</f>
        <v>3072</v>
      </c>
      <c r="Q20" s="202">
        <f>E20*H20</f>
        <v>2000</v>
      </c>
      <c r="R20" s="202"/>
    </row>
    <row r="21" spans="1:18" ht="13.5" customHeight="1">
      <c r="A21" s="208" t="s">
        <v>363</v>
      </c>
      <c r="B21" s="208">
        <v>1</v>
      </c>
      <c r="C21" s="208">
        <v>1</v>
      </c>
      <c r="D21" s="208">
        <v>1</v>
      </c>
      <c r="E21" s="208">
        <v>2</v>
      </c>
      <c r="F21" s="208">
        <v>400</v>
      </c>
      <c r="G21" s="208">
        <v>768</v>
      </c>
      <c r="H21" s="208">
        <v>1000</v>
      </c>
      <c r="I21" s="208">
        <v>1536</v>
      </c>
      <c r="J21" s="208">
        <v>1024</v>
      </c>
      <c r="K21" s="208">
        <v>0</v>
      </c>
      <c r="L21" s="202">
        <f>D21*F21</f>
        <v>400</v>
      </c>
      <c r="M21" s="202">
        <f>D21*G21</f>
        <v>768</v>
      </c>
      <c r="N21" s="202">
        <f>E21*H21</f>
        <v>2000</v>
      </c>
      <c r="O21" s="202">
        <f>E21*I21</f>
        <v>3072</v>
      </c>
      <c r="P21" s="202">
        <f>J21*3</f>
        <v>3072</v>
      </c>
      <c r="Q21" s="202">
        <f>E21*H21</f>
        <v>2000</v>
      </c>
      <c r="R21" s="202"/>
    </row>
    <row r="22" spans="1:18" ht="13.5" customHeight="1">
      <c r="A22" s="208" t="s">
        <v>364</v>
      </c>
      <c r="B22" s="208">
        <v>1</v>
      </c>
      <c r="C22" s="208">
        <v>1</v>
      </c>
      <c r="D22" s="208">
        <v>1</v>
      </c>
      <c r="E22" s="208">
        <v>2</v>
      </c>
      <c r="F22" s="208">
        <v>500</v>
      </c>
      <c r="G22" s="208">
        <v>1024</v>
      </c>
      <c r="H22" s="208">
        <v>1500</v>
      </c>
      <c r="I22" s="208">
        <v>2048</v>
      </c>
      <c r="J22" s="208">
        <v>2048</v>
      </c>
      <c r="K22" s="208">
        <v>0</v>
      </c>
      <c r="L22" s="202">
        <f>D22*F22</f>
        <v>500</v>
      </c>
      <c r="M22" s="202">
        <f>D22*G22</f>
        <v>1024</v>
      </c>
      <c r="N22" s="202">
        <f>E22*H22</f>
        <v>3000</v>
      </c>
      <c r="O22" s="202">
        <f>E22*I22</f>
        <v>4096</v>
      </c>
      <c r="P22" s="202">
        <f>J22*3</f>
        <v>6144</v>
      </c>
      <c r="Q22" s="202">
        <f>E22*H22</f>
        <v>3000</v>
      </c>
      <c r="R22" s="202"/>
    </row>
    <row r="23" spans="1:18" ht="13.5" customHeight="1">
      <c r="A23" s="208" t="s">
        <v>365</v>
      </c>
      <c r="B23" s="208">
        <v>1</v>
      </c>
      <c r="C23" s="208">
        <v>1</v>
      </c>
      <c r="D23" s="208">
        <v>1</v>
      </c>
      <c r="E23" s="208">
        <v>2</v>
      </c>
      <c r="F23" s="208">
        <v>400</v>
      </c>
      <c r="G23" s="208">
        <v>768</v>
      </c>
      <c r="H23" s="208">
        <v>1200</v>
      </c>
      <c r="I23" s="208">
        <v>1536</v>
      </c>
      <c r="J23" s="208">
        <v>2048</v>
      </c>
      <c r="K23" s="208">
        <v>20</v>
      </c>
      <c r="L23" s="202">
        <f>D23*F23</f>
        <v>400</v>
      </c>
      <c r="M23" s="202">
        <f>D23*G23</f>
        <v>768</v>
      </c>
      <c r="N23" s="202">
        <f>E23*H23</f>
        <v>2400</v>
      </c>
      <c r="O23" s="202">
        <f>E23*I23</f>
        <v>3072</v>
      </c>
      <c r="P23" s="202">
        <f>J23*3</f>
        <v>6144</v>
      </c>
      <c r="Q23" s="202">
        <f>E23*H23</f>
        <v>2400</v>
      </c>
      <c r="R23" s="202"/>
    </row>
    <row r="24" spans="1:18" ht="13.5" customHeight="1">
      <c r="A24" s="208" t="s">
        <v>366</v>
      </c>
      <c r="B24" s="208">
        <v>1</v>
      </c>
      <c r="C24" s="208">
        <v>1</v>
      </c>
      <c r="D24" s="208">
        <v>1</v>
      </c>
      <c r="E24" s="208">
        <v>2</v>
      </c>
      <c r="F24" s="208">
        <v>400</v>
      </c>
      <c r="G24" s="208">
        <v>768</v>
      </c>
      <c r="H24" s="208">
        <v>1200</v>
      </c>
      <c r="I24" s="208">
        <v>1536</v>
      </c>
      <c r="J24" s="208">
        <v>2048</v>
      </c>
      <c r="K24" s="208">
        <v>0</v>
      </c>
      <c r="L24" s="202">
        <f>D24*F24</f>
        <v>400</v>
      </c>
      <c r="M24" s="202">
        <f>D24*G24</f>
        <v>768</v>
      </c>
      <c r="N24" s="202">
        <f>E24*H24</f>
        <v>2400</v>
      </c>
      <c r="O24" s="202">
        <f>E24*I24</f>
        <v>3072</v>
      </c>
      <c r="P24" s="202">
        <f>J24*3</f>
        <v>6144</v>
      </c>
      <c r="Q24" s="202"/>
      <c r="R24" s="202"/>
    </row>
    <row r="25" spans="1:18" ht="12.75" customHeight="1">
      <c r="A25" s="198" t="s">
        <v>367</v>
      </c>
      <c r="B25" s="198"/>
      <c r="C25" s="198"/>
      <c r="D25" s="198"/>
      <c r="E25" s="209">
        <f>SUM(E5:E24)</f>
        <v>34</v>
      </c>
      <c r="F25" s="198"/>
      <c r="G25" s="198"/>
      <c r="H25" s="198"/>
      <c r="I25" s="198"/>
      <c r="J25" s="198"/>
      <c r="K25" s="198"/>
      <c r="L25" s="198">
        <f>SUM(L5:L24)</f>
        <v>4850</v>
      </c>
      <c r="M25" s="198">
        <f>SUM(M5:M24)</f>
        <v>9154</v>
      </c>
      <c r="N25" s="198">
        <f>SUM(N5:N24)</f>
        <v>25500</v>
      </c>
      <c r="O25" s="198">
        <f>SUM(O5:O24)</f>
        <v>34440</v>
      </c>
      <c r="P25" s="198">
        <f>SUM(P5:P24)</f>
        <v>53364</v>
      </c>
      <c r="Q25" s="198">
        <f>SUM(Q5:Q24)</f>
        <v>21800</v>
      </c>
      <c r="R25" s="198"/>
    </row>
    <row r="26" spans="1:18" ht="14.25" customHeight="1">
      <c r="L26" s="195">
        <f>CEILING(L25/1024,1)</f>
        <v>5</v>
      </c>
      <c r="M26" s="195">
        <f>CEILING(M25/1024,1)</f>
        <v>9</v>
      </c>
      <c r="N26" s="195">
        <f>CEILING(N25/1024,1)</f>
        <v>25</v>
      </c>
      <c r="O26" s="195">
        <f>CEILING(O25/1024,1)</f>
        <v>34</v>
      </c>
      <c r="P26" s="195">
        <f>CEILING(P25/1024,1)</f>
        <v>53</v>
      </c>
      <c r="Q26" s="195">
        <f>Q25</f>
        <v>21800</v>
      </c>
    </row>
    <row r="27" spans="1:18" ht="14.25" customHeight="1">
      <c r="A27" s="142"/>
      <c r="B27" s="142"/>
      <c r="C27" s="147"/>
      <c r="D27" s="147"/>
      <c r="E27" s="147"/>
      <c r="F27" s="147"/>
      <c r="K27" s="194" t="s">
        <v>368</v>
      </c>
      <c r="L27" s="195">
        <f>CEILING(L26/E32,1)</f>
        <v>7</v>
      </c>
      <c r="M27" s="195">
        <f>CEILING(M26/E32,1)</f>
        <v>12</v>
      </c>
      <c r="N27" s="195">
        <f>CEILING(N26/E32,1)</f>
        <v>32</v>
      </c>
      <c r="O27" s="195">
        <f>CEILING(O26/E32,1)</f>
        <v>44</v>
      </c>
      <c r="P27" s="195">
        <f>CEILING(P26/E32,1)</f>
        <v>68</v>
      </c>
      <c r="Q27" s="195">
        <f>CEILING(Q26/E32,1)</f>
        <v>27595</v>
      </c>
    </row>
    <row r="28" spans="1:18" ht="14.25" customHeight="1">
      <c r="K28" s="210" t="s">
        <v>369</v>
      </c>
      <c r="L28" s="142" t="s">
        <v>370</v>
      </c>
      <c r="M28" s="142" t="s">
        <v>371</v>
      </c>
      <c r="N28" s="142" t="s">
        <v>370</v>
      </c>
      <c r="O28" s="142" t="s">
        <v>371</v>
      </c>
      <c r="P28" s="142" t="s">
        <v>372</v>
      </c>
      <c r="Q28" s="142" t="s">
        <v>277</v>
      </c>
    </row>
    <row r="29" spans="1:18" ht="63" customHeight="1">
      <c r="K29" s="210"/>
      <c r="L29" s="142"/>
      <c r="M29" s="142"/>
      <c r="N29" s="142"/>
      <c r="O29" s="142"/>
      <c r="P29" s="28" t="s">
        <v>373</v>
      </c>
      <c r="Q29" s="28" t="s">
        <v>374</v>
      </c>
    </row>
    <row r="30" spans="1:18" ht="14.25" customHeight="1">
      <c r="A30" s="322" t="s">
        <v>375</v>
      </c>
      <c r="B30" s="322"/>
      <c r="C30" s="322"/>
      <c r="D30" s="322"/>
      <c r="E30" s="322"/>
      <c r="F30" s="322"/>
      <c r="G30" s="322"/>
      <c r="H30" s="322"/>
      <c r="I30" s="322"/>
      <c r="J30" s="322"/>
      <c r="K30" s="322"/>
      <c r="L30" s="211"/>
      <c r="M30" s="211"/>
      <c r="N30" s="211"/>
      <c r="O30" s="211"/>
      <c r="P30" s="211"/>
    </row>
    <row r="31" spans="1:18" ht="14.25" customHeight="1">
      <c r="A31" s="210"/>
    </row>
    <row r="32" spans="1:18" ht="14.25" customHeight="1">
      <c r="A32" s="2" t="s">
        <v>376</v>
      </c>
      <c r="B32" s="208">
        <v>2</v>
      </c>
      <c r="D32" s="197" t="s">
        <v>377</v>
      </c>
      <c r="E32" s="212">
        <v>0.79</v>
      </c>
    </row>
    <row r="33" spans="1:16" ht="14.25" customHeight="1">
      <c r="B33" s="213" t="s">
        <v>378</v>
      </c>
      <c r="C33" s="213" t="s">
        <v>379</v>
      </c>
      <c r="D33" s="213" t="s">
        <v>380</v>
      </c>
      <c r="E33" s="213" t="s">
        <v>381</v>
      </c>
      <c r="F33" s="213" t="s">
        <v>382</v>
      </c>
    </row>
    <row r="34" spans="1:16" ht="14.25" customHeight="1">
      <c r="A34" s="210" t="s">
        <v>99</v>
      </c>
      <c r="B34" s="214">
        <v>16</v>
      </c>
      <c r="C34" s="215" t="s">
        <v>383</v>
      </c>
      <c r="D34" s="216">
        <f>Q26</f>
        <v>21800</v>
      </c>
      <c r="E34" s="216">
        <f>E25</f>
        <v>34</v>
      </c>
      <c r="F34" s="214">
        <f>B36*F45</f>
        <v>468</v>
      </c>
    </row>
    <row r="35" spans="1:16" ht="14.25" customHeight="1">
      <c r="A35" s="210" t="s">
        <v>384</v>
      </c>
      <c r="B35" s="214">
        <v>64</v>
      </c>
    </row>
    <row r="36" spans="1:16" ht="14.25" customHeight="1">
      <c r="A36" s="210" t="s">
        <v>385</v>
      </c>
      <c r="B36" s="214">
        <v>234</v>
      </c>
    </row>
    <row r="37" spans="1:16" ht="14.25" customHeight="1">
      <c r="A37" s="210"/>
      <c r="B37" s="217"/>
    </row>
    <row r="38" spans="1:16" ht="14.25" customHeight="1">
      <c r="A38" s="218"/>
      <c r="B38" s="219"/>
      <c r="C38" s="219"/>
      <c r="D38" s="219"/>
      <c r="E38" s="219"/>
      <c r="F38" s="219"/>
      <c r="G38" s="219"/>
      <c r="H38" s="219"/>
      <c r="I38" s="219"/>
      <c r="J38" s="219"/>
      <c r="K38" s="219"/>
      <c r="L38" s="219"/>
      <c r="M38" s="219"/>
      <c r="N38" s="219"/>
      <c r="O38" s="219"/>
      <c r="P38" s="219"/>
    </row>
    <row r="39" spans="1:16" ht="14.25" customHeight="1">
      <c r="A39" s="193" t="s">
        <v>386</v>
      </c>
    </row>
    <row r="40" spans="1:16" ht="14.25" customHeight="1">
      <c r="A40" s="323" t="s">
        <v>387</v>
      </c>
      <c r="B40" s="323"/>
      <c r="C40" s="323"/>
      <c r="D40" s="323"/>
      <c r="E40" s="323"/>
      <c r="F40" s="323"/>
      <c r="G40" s="323"/>
      <c r="H40" s="193"/>
      <c r="I40" s="193"/>
      <c r="J40" s="193"/>
      <c r="K40" s="193"/>
    </row>
    <row r="41" spans="1:16" ht="12.75" customHeight="1">
      <c r="A41" s="220" t="s">
        <v>388</v>
      </c>
      <c r="B41" s="317" t="s">
        <v>389</v>
      </c>
      <c r="C41" s="317"/>
      <c r="E41" s="220" t="s">
        <v>388</v>
      </c>
      <c r="F41" s="317" t="s">
        <v>389</v>
      </c>
      <c r="G41" s="317"/>
    </row>
    <row r="42" spans="1:16" ht="12.75" customHeight="1">
      <c r="A42" s="221"/>
      <c r="B42" s="2" t="s">
        <v>390</v>
      </c>
      <c r="C42" s="2" t="s">
        <v>391</v>
      </c>
      <c r="E42" s="221"/>
      <c r="F42" s="2" t="s">
        <v>390</v>
      </c>
      <c r="G42" s="222" t="s">
        <v>391</v>
      </c>
    </row>
    <row r="43" spans="1:16" ht="12.75" customHeight="1">
      <c r="A43" s="223" t="s">
        <v>99</v>
      </c>
      <c r="B43" s="206">
        <f>ROUNDUP(C43/B34,0)</f>
        <v>1</v>
      </c>
      <c r="C43" s="206">
        <f>L27</f>
        <v>7</v>
      </c>
      <c r="E43" s="223" t="s">
        <v>99</v>
      </c>
      <c r="F43" s="206">
        <f>ROUNDUP(G43/B34,0)</f>
        <v>2</v>
      </c>
      <c r="G43" s="224">
        <f>N27</f>
        <v>32</v>
      </c>
    </row>
    <row r="44" spans="1:16" ht="12.75" customHeight="1">
      <c r="A44" s="223" t="s">
        <v>384</v>
      </c>
      <c r="B44" s="206">
        <f>ROUNDUP(C44/B35,0)</f>
        <v>1</v>
      </c>
      <c r="C44" s="206">
        <f>M27</f>
        <v>12</v>
      </c>
      <c r="E44" s="223" t="s">
        <v>384</v>
      </c>
      <c r="F44" s="206">
        <f>ROUNDUP(G44/B35,0)</f>
        <v>1</v>
      </c>
      <c r="G44" s="224">
        <f>O27</f>
        <v>44</v>
      </c>
    </row>
    <row r="45" spans="1:16" s="227" customFormat="1" ht="36" customHeight="1">
      <c r="A45" s="225" t="s">
        <v>392</v>
      </c>
      <c r="B45" s="318">
        <f>MAX(B43:B44)</f>
        <v>1</v>
      </c>
      <c r="C45" s="318"/>
      <c r="D45" s="50"/>
      <c r="E45" s="226" t="s">
        <v>393</v>
      </c>
      <c r="F45" s="319">
        <f>MAX(F43:F44)</f>
        <v>2</v>
      </c>
      <c r="G45" s="319"/>
    </row>
    <row r="46" spans="1:16" ht="14.25" customHeight="1">
      <c r="A46" s="228"/>
      <c r="B46" s="147"/>
      <c r="C46" s="142"/>
    </row>
    <row r="47" spans="1:16" ht="14.25" customHeight="1"/>
    <row r="48" spans="1:16" ht="14.25" customHeight="1">
      <c r="A48" s="229" t="s">
        <v>394</v>
      </c>
      <c r="B48" s="230"/>
      <c r="C48" s="231"/>
      <c r="D48" s="231"/>
    </row>
    <row r="49" spans="1:4" ht="14.25" customHeight="1">
      <c r="A49" s="232" t="s">
        <v>379</v>
      </c>
      <c r="B49" s="233" t="s">
        <v>395</v>
      </c>
      <c r="C49" s="232" t="s">
        <v>396</v>
      </c>
      <c r="D49" s="232" t="s">
        <v>265</v>
      </c>
    </row>
    <row r="50" spans="1:4" ht="14.25" customHeight="1">
      <c r="A50" s="232" t="s">
        <v>397</v>
      </c>
      <c r="B50" s="233">
        <v>12</v>
      </c>
      <c r="C50" s="232">
        <v>286.16000000000003</v>
      </c>
      <c r="D50" s="232">
        <f>C50*B50</f>
        <v>3433.92</v>
      </c>
    </row>
    <row r="51" spans="1:4" ht="14.25" customHeight="1">
      <c r="A51" s="234" t="s">
        <v>398</v>
      </c>
      <c r="B51" s="235">
        <v>7</v>
      </c>
      <c r="C51" s="234">
        <v>572.32000000000005</v>
      </c>
      <c r="D51" s="234">
        <f>C51*B51</f>
        <v>4006.2400000000002</v>
      </c>
    </row>
    <row r="52" spans="1:4" ht="14.25" customHeight="1">
      <c r="A52" s="232" t="s">
        <v>399</v>
      </c>
      <c r="B52" s="233">
        <v>12</v>
      </c>
      <c r="C52" s="232">
        <v>350.4</v>
      </c>
      <c r="D52" s="232">
        <f>C52*B52</f>
        <v>4204.7999999999993</v>
      </c>
    </row>
    <row r="53" spans="1:4" ht="14.25" customHeight="1">
      <c r="A53" s="232" t="s">
        <v>400</v>
      </c>
      <c r="B53" s="233">
        <v>12</v>
      </c>
      <c r="C53" s="232">
        <v>443.84</v>
      </c>
      <c r="D53" s="232">
        <f>C53*B53</f>
        <v>5326.08</v>
      </c>
    </row>
    <row r="54" spans="1:4" ht="14.25" customHeight="1">
      <c r="A54" s="232" t="s">
        <v>401</v>
      </c>
      <c r="B54" s="233">
        <v>7</v>
      </c>
      <c r="C54" s="232">
        <v>700.8</v>
      </c>
      <c r="D54" s="232">
        <f>C54*B54</f>
        <v>4905.5999999999995</v>
      </c>
    </row>
    <row r="55" spans="1:4" ht="14.25" customHeight="1">
      <c r="A55" s="232" t="s">
        <v>402</v>
      </c>
      <c r="B55" s="233">
        <v>7</v>
      </c>
      <c r="C55" s="232">
        <v>887.68</v>
      </c>
      <c r="D55" s="232">
        <f>C55*B55</f>
        <v>6213.7599999999993</v>
      </c>
    </row>
  </sheetData>
  <mergeCells count="9">
    <mergeCell ref="B41:C41"/>
    <mergeCell ref="F41:G41"/>
    <mergeCell ref="B45:C45"/>
    <mergeCell ref="F45:G45"/>
    <mergeCell ref="A2:R2"/>
    <mergeCell ref="L3:M3"/>
    <mergeCell ref="N3:O3"/>
    <mergeCell ref="A30:K30"/>
    <mergeCell ref="A40:G40"/>
  </mergeCells>
  <conditionalFormatting sqref="E34">
    <cfRule type="expression" dxfId="15" priority="2">
      <formula>$H$24&lt;$G$24</formula>
    </cfRule>
  </conditionalFormatting>
  <conditionalFormatting sqref="B36:B37 F34">
    <cfRule type="expression" dxfId="14" priority="3">
      <formula>#REF!*$F$44&lt;#REF!</formula>
    </cfRule>
  </conditionalFormatting>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A1:R55"/>
  <sheetViews>
    <sheetView zoomScale="70" zoomScaleNormal="70" workbookViewId="0">
      <selection activeCell="D12" sqref="D12"/>
    </sheetView>
  </sheetViews>
  <sheetFormatPr defaultColWidth="21" defaultRowHeight="12"/>
  <cols>
    <col min="1" max="1" width="28.85546875" style="50" customWidth="1"/>
    <col min="2" max="3" width="21.85546875" style="50" customWidth="1"/>
    <col min="4" max="4" width="23.42578125" style="50" customWidth="1"/>
    <col min="5" max="5" width="32.7109375" style="50" customWidth="1"/>
    <col min="6" max="6" width="28.7109375" style="50" customWidth="1"/>
    <col min="7" max="7" width="24.28515625" style="50" customWidth="1"/>
    <col min="8" max="8" width="26.85546875" style="50" customWidth="1"/>
    <col min="9" max="9" width="18.85546875" style="50" customWidth="1"/>
    <col min="10" max="10" width="26.85546875" style="50" customWidth="1"/>
    <col min="11" max="12" width="21" style="50"/>
    <col min="13" max="13" width="27.42578125" style="50" customWidth="1"/>
    <col min="14" max="16384" width="21" style="50"/>
  </cols>
  <sheetData>
    <row r="1" spans="1:18" ht="12.75" customHeight="1">
      <c r="A1" s="193" t="s">
        <v>329</v>
      </c>
      <c r="H1" s="194"/>
      <c r="I1" s="195"/>
      <c r="J1" s="195"/>
      <c r="K1" s="196"/>
    </row>
    <row r="2" spans="1:18" ht="14.25" customHeight="1">
      <c r="A2" s="320" t="s">
        <v>330</v>
      </c>
      <c r="B2" s="320"/>
      <c r="C2" s="320"/>
      <c r="D2" s="320"/>
      <c r="E2" s="320"/>
      <c r="F2" s="320"/>
      <c r="G2" s="320"/>
      <c r="H2" s="320"/>
      <c r="I2" s="320"/>
      <c r="J2" s="320"/>
      <c r="K2" s="320"/>
      <c r="L2" s="320"/>
      <c r="M2" s="320"/>
      <c r="N2" s="320"/>
      <c r="O2" s="320"/>
      <c r="P2" s="320"/>
      <c r="Q2" s="320"/>
      <c r="R2" s="320"/>
    </row>
    <row r="3" spans="1:18" ht="14.25" customHeight="1">
      <c r="A3" s="197"/>
      <c r="B3" s="197"/>
      <c r="C3" s="197"/>
      <c r="D3" s="32"/>
      <c r="E3" s="32"/>
      <c r="F3" s="32"/>
      <c r="G3" s="32"/>
      <c r="H3" s="32"/>
      <c r="I3" s="32"/>
      <c r="J3" s="32"/>
      <c r="K3" s="32"/>
      <c r="L3" s="276" t="s">
        <v>331</v>
      </c>
      <c r="M3" s="276"/>
      <c r="N3" s="321" t="s">
        <v>332</v>
      </c>
      <c r="O3" s="321"/>
      <c r="P3" s="32"/>
      <c r="Q3" s="32"/>
      <c r="R3" s="32"/>
    </row>
    <row r="4" spans="1:18" ht="15.75" customHeight="1">
      <c r="A4" s="198" t="s">
        <v>333</v>
      </c>
      <c r="B4" s="198" t="s">
        <v>334</v>
      </c>
      <c r="C4" s="198" t="s">
        <v>335</v>
      </c>
      <c r="D4" s="198" t="s">
        <v>336</v>
      </c>
      <c r="E4" s="199" t="s">
        <v>337</v>
      </c>
      <c r="F4" s="199" t="s">
        <v>338</v>
      </c>
      <c r="G4" s="199" t="s">
        <v>339</v>
      </c>
      <c r="H4" s="199" t="s">
        <v>340</v>
      </c>
      <c r="I4" s="199" t="s">
        <v>341</v>
      </c>
      <c r="J4" s="198" t="s">
        <v>342</v>
      </c>
      <c r="K4" s="199" t="s">
        <v>343</v>
      </c>
      <c r="L4" s="198" t="s">
        <v>99</v>
      </c>
      <c r="M4" s="198" t="s">
        <v>344</v>
      </c>
      <c r="N4" s="198" t="s">
        <v>99</v>
      </c>
      <c r="O4" s="198" t="s">
        <v>344</v>
      </c>
      <c r="P4" s="198" t="s">
        <v>345</v>
      </c>
      <c r="Q4" s="198" t="s">
        <v>346</v>
      </c>
      <c r="R4" s="198" t="s">
        <v>103</v>
      </c>
    </row>
    <row r="5" spans="1:18" ht="13.5" customHeight="1">
      <c r="A5" s="200" t="s">
        <v>347</v>
      </c>
      <c r="B5" s="200">
        <v>1</v>
      </c>
      <c r="C5" s="200">
        <v>1</v>
      </c>
      <c r="D5" s="200">
        <v>1</v>
      </c>
      <c r="E5" s="201">
        <v>2</v>
      </c>
      <c r="F5" s="201">
        <v>25</v>
      </c>
      <c r="G5" s="201">
        <v>70</v>
      </c>
      <c r="H5" s="201">
        <v>50</v>
      </c>
      <c r="I5" s="201">
        <v>100</v>
      </c>
      <c r="J5" s="201">
        <v>80</v>
      </c>
      <c r="K5" s="201">
        <v>0</v>
      </c>
      <c r="L5" s="202">
        <f>D5*F5</f>
        <v>25</v>
      </c>
      <c r="M5" s="202">
        <f>D5*G5</f>
        <v>70</v>
      </c>
      <c r="N5" s="202">
        <f>E5*H5</f>
        <v>100</v>
      </c>
      <c r="O5" s="202">
        <f>E5*I5</f>
        <v>200</v>
      </c>
      <c r="P5" s="202">
        <f>J5*3</f>
        <v>240</v>
      </c>
      <c r="Q5" s="202">
        <f>E5*K5</f>
        <v>0</v>
      </c>
      <c r="R5" s="203"/>
    </row>
    <row r="6" spans="1:18" ht="13.5" customHeight="1">
      <c r="A6" s="200" t="s">
        <v>348</v>
      </c>
      <c r="B6" s="200">
        <v>1</v>
      </c>
      <c r="C6" s="200">
        <v>1</v>
      </c>
      <c r="D6" s="200">
        <v>1</v>
      </c>
      <c r="E6" s="201">
        <v>2</v>
      </c>
      <c r="F6" s="201">
        <v>100</v>
      </c>
      <c r="G6" s="201">
        <v>50</v>
      </c>
      <c r="H6" s="201">
        <v>100</v>
      </c>
      <c r="I6" s="201">
        <v>50</v>
      </c>
      <c r="J6" s="201">
        <v>60</v>
      </c>
      <c r="K6" s="201">
        <v>0</v>
      </c>
      <c r="L6" s="202">
        <f>D6*F6</f>
        <v>100</v>
      </c>
      <c r="M6" s="202">
        <f>D6*G6</f>
        <v>50</v>
      </c>
      <c r="N6" s="202">
        <f>E6*H6</f>
        <v>200</v>
      </c>
      <c r="O6" s="202">
        <f>E6*I6</f>
        <v>100</v>
      </c>
      <c r="P6" s="202">
        <f>J6*3</f>
        <v>180</v>
      </c>
      <c r="Q6" s="202">
        <f>E6*K6</f>
        <v>0</v>
      </c>
      <c r="R6" s="202"/>
    </row>
    <row r="7" spans="1:18" ht="13.5" customHeight="1">
      <c r="A7" s="200" t="s">
        <v>349</v>
      </c>
      <c r="B7" s="200">
        <v>1</v>
      </c>
      <c r="C7" s="200">
        <v>1</v>
      </c>
      <c r="D7" s="200">
        <v>1</v>
      </c>
      <c r="E7" s="201">
        <v>2</v>
      </c>
      <c r="F7" s="201">
        <v>100</v>
      </c>
      <c r="G7" s="201">
        <v>70</v>
      </c>
      <c r="H7" s="201">
        <v>100</v>
      </c>
      <c r="I7" s="201">
        <v>170</v>
      </c>
      <c r="J7" s="201">
        <v>40</v>
      </c>
      <c r="K7" s="201">
        <v>0</v>
      </c>
      <c r="L7" s="202">
        <f>D7*F7</f>
        <v>100</v>
      </c>
      <c r="M7" s="202">
        <f>D7*G7</f>
        <v>70</v>
      </c>
      <c r="N7" s="202">
        <f>E7*H7</f>
        <v>200</v>
      </c>
      <c r="O7" s="202">
        <f>E7*I7</f>
        <v>340</v>
      </c>
      <c r="P7" s="202">
        <f>J7*3</f>
        <v>120</v>
      </c>
      <c r="Q7" s="202">
        <f>E7*K7</f>
        <v>0</v>
      </c>
      <c r="R7" s="203"/>
    </row>
    <row r="8" spans="1:18" ht="13.5" customHeight="1">
      <c r="A8" s="200" t="s">
        <v>350</v>
      </c>
      <c r="B8" s="200">
        <v>1</v>
      </c>
      <c r="C8" s="200">
        <v>1</v>
      </c>
      <c r="D8" s="200">
        <v>1</v>
      </c>
      <c r="E8" s="201">
        <v>2</v>
      </c>
      <c r="F8" s="201">
        <v>100</v>
      </c>
      <c r="G8" s="201">
        <v>128</v>
      </c>
      <c r="H8" s="201">
        <v>100</v>
      </c>
      <c r="I8" s="201">
        <v>128</v>
      </c>
      <c r="J8" s="201">
        <v>50</v>
      </c>
      <c r="K8" s="201">
        <v>0</v>
      </c>
      <c r="L8" s="202">
        <f>D8*F8</f>
        <v>100</v>
      </c>
      <c r="M8" s="202">
        <f>D8*G8</f>
        <v>128</v>
      </c>
      <c r="N8" s="202">
        <f>E8*H8</f>
        <v>200</v>
      </c>
      <c r="O8" s="202">
        <f>E8*I8</f>
        <v>256</v>
      </c>
      <c r="P8" s="202">
        <f>J8*3</f>
        <v>150</v>
      </c>
      <c r="Q8" s="202">
        <f>E8*K8</f>
        <v>0</v>
      </c>
      <c r="R8" s="203"/>
    </row>
    <row r="9" spans="1:18" ht="13.5" customHeight="1">
      <c r="A9" s="200" t="s">
        <v>351</v>
      </c>
      <c r="B9" s="200">
        <v>1</v>
      </c>
      <c r="C9" s="200">
        <v>1</v>
      </c>
      <c r="D9" s="200">
        <v>1</v>
      </c>
      <c r="E9" s="201">
        <v>2</v>
      </c>
      <c r="F9" s="201">
        <v>100</v>
      </c>
      <c r="G9" s="201">
        <v>200</v>
      </c>
      <c r="H9" s="201">
        <v>100</v>
      </c>
      <c r="I9" s="201">
        <v>200</v>
      </c>
      <c r="J9" s="201">
        <v>50</v>
      </c>
      <c r="K9" s="201">
        <v>0</v>
      </c>
      <c r="L9" s="202">
        <f>D9*F9</f>
        <v>100</v>
      </c>
      <c r="M9" s="202">
        <f>D9*G9</f>
        <v>200</v>
      </c>
      <c r="N9" s="202">
        <f>E9*H9</f>
        <v>200</v>
      </c>
      <c r="O9" s="202">
        <f>E9*I9</f>
        <v>400</v>
      </c>
      <c r="P9" s="202">
        <f>J9*3</f>
        <v>150</v>
      </c>
      <c r="Q9" s="202">
        <f>E9*K9</f>
        <v>0</v>
      </c>
      <c r="R9" s="203"/>
    </row>
    <row r="10" spans="1:18" ht="13.5" customHeight="1">
      <c r="A10" s="204" t="s">
        <v>352</v>
      </c>
      <c r="B10" s="200">
        <v>1</v>
      </c>
      <c r="C10" s="200">
        <v>1</v>
      </c>
      <c r="D10" s="200">
        <v>1</v>
      </c>
      <c r="E10" s="201">
        <v>2</v>
      </c>
      <c r="F10" s="201">
        <v>100</v>
      </c>
      <c r="G10" s="201">
        <v>600</v>
      </c>
      <c r="H10" s="201">
        <v>100</v>
      </c>
      <c r="I10" s="201">
        <v>600</v>
      </c>
      <c r="J10" s="201">
        <v>50</v>
      </c>
      <c r="K10" s="201">
        <v>0</v>
      </c>
      <c r="L10" s="202">
        <f>D10*F10</f>
        <v>100</v>
      </c>
      <c r="M10" s="202">
        <f>D10*G10</f>
        <v>600</v>
      </c>
      <c r="N10" s="202">
        <f>E10*H10</f>
        <v>200</v>
      </c>
      <c r="O10" s="202">
        <f>E10*I10</f>
        <v>1200</v>
      </c>
      <c r="P10" s="202">
        <f>J10*3</f>
        <v>150</v>
      </c>
      <c r="Q10" s="202">
        <f>E10*K10</f>
        <v>0</v>
      </c>
      <c r="R10" s="203"/>
    </row>
    <row r="11" spans="1:18" ht="15.75" customHeight="1">
      <c r="A11" s="198" t="s">
        <v>353</v>
      </c>
      <c r="B11" s="198"/>
      <c r="C11" s="198"/>
      <c r="D11" s="198"/>
      <c r="E11" s="199"/>
      <c r="F11" s="199"/>
      <c r="G11" s="199"/>
      <c r="H11" s="199"/>
      <c r="I11" s="199"/>
      <c r="J11" s="199"/>
      <c r="K11" s="199"/>
      <c r="L11" s="199"/>
      <c r="M11" s="199"/>
      <c r="N11" s="199"/>
      <c r="O11" s="199"/>
      <c r="P11" s="199"/>
      <c r="Q11" s="199"/>
      <c r="R11" s="199"/>
    </row>
    <row r="12" spans="1:18" ht="13.5" customHeight="1">
      <c r="A12" s="205" t="s">
        <v>354</v>
      </c>
      <c r="B12" s="205">
        <v>1</v>
      </c>
      <c r="C12" s="205">
        <v>1</v>
      </c>
      <c r="D12" s="205">
        <v>1</v>
      </c>
      <c r="E12" s="206">
        <v>2</v>
      </c>
      <c r="F12" s="207">
        <v>25</v>
      </c>
      <c r="G12" s="207">
        <v>100</v>
      </c>
      <c r="H12" s="207">
        <v>100</v>
      </c>
      <c r="I12" s="207">
        <v>100</v>
      </c>
      <c r="J12" s="207">
        <v>50</v>
      </c>
      <c r="K12" s="207">
        <v>0</v>
      </c>
      <c r="L12" s="202">
        <f>D12*F12</f>
        <v>25</v>
      </c>
      <c r="M12" s="202">
        <f>D12*G12</f>
        <v>100</v>
      </c>
      <c r="N12" s="202">
        <f>E12*H12</f>
        <v>200</v>
      </c>
      <c r="O12" s="202">
        <f>E12*I12</f>
        <v>200</v>
      </c>
      <c r="P12" s="202">
        <f>J12*3</f>
        <v>150</v>
      </c>
      <c r="Q12" s="202">
        <f>E12*K12</f>
        <v>0</v>
      </c>
      <c r="R12" s="202"/>
    </row>
    <row r="13" spans="1:18" ht="15.75" customHeight="1">
      <c r="A13" s="198" t="s">
        <v>355</v>
      </c>
      <c r="B13" s="198"/>
      <c r="C13" s="198"/>
      <c r="D13" s="198"/>
      <c r="E13" s="199"/>
      <c r="F13" s="199"/>
      <c r="G13" s="199"/>
      <c r="H13" s="199"/>
      <c r="I13" s="199"/>
      <c r="J13" s="199"/>
      <c r="K13" s="199"/>
      <c r="L13" s="199"/>
      <c r="M13" s="199"/>
      <c r="N13" s="199"/>
      <c r="O13" s="199"/>
      <c r="P13" s="199"/>
      <c r="Q13" s="199"/>
      <c r="R13" s="199"/>
    </row>
    <row r="14" spans="1:18" ht="13.5" customHeight="1">
      <c r="A14" s="208" t="s">
        <v>356</v>
      </c>
      <c r="B14" s="208">
        <v>1</v>
      </c>
      <c r="C14" s="208">
        <v>1</v>
      </c>
      <c r="D14" s="208">
        <v>1</v>
      </c>
      <c r="E14" s="208">
        <v>2</v>
      </c>
      <c r="F14" s="208">
        <v>500</v>
      </c>
      <c r="G14" s="208">
        <v>1024</v>
      </c>
      <c r="H14" s="208">
        <v>1500</v>
      </c>
      <c r="I14" s="208">
        <v>2048</v>
      </c>
      <c r="J14" s="208">
        <v>2048</v>
      </c>
      <c r="K14" s="208">
        <v>0</v>
      </c>
      <c r="L14" s="202">
        <f>D14*F14</f>
        <v>500</v>
      </c>
      <c r="M14" s="202">
        <f>D14*G14</f>
        <v>1024</v>
      </c>
      <c r="N14" s="202">
        <f>E14*H14</f>
        <v>3000</v>
      </c>
      <c r="O14" s="202">
        <f>E14*I14</f>
        <v>4096</v>
      </c>
      <c r="P14" s="202">
        <f>J14*3</f>
        <v>6144</v>
      </c>
      <c r="Q14" s="202">
        <f>E14*H14</f>
        <v>3000</v>
      </c>
      <c r="R14" s="202"/>
    </row>
    <row r="15" spans="1:18" ht="13.5" customHeight="1">
      <c r="A15" s="208" t="s">
        <v>357</v>
      </c>
      <c r="B15" s="208">
        <v>1</v>
      </c>
      <c r="C15" s="208">
        <v>1</v>
      </c>
      <c r="D15" s="208">
        <v>1</v>
      </c>
      <c r="E15" s="208">
        <v>2</v>
      </c>
      <c r="F15" s="208">
        <v>500</v>
      </c>
      <c r="G15" s="208">
        <v>1024</v>
      </c>
      <c r="H15" s="208">
        <v>1500</v>
      </c>
      <c r="I15" s="208">
        <v>2048</v>
      </c>
      <c r="J15" s="208">
        <v>2048</v>
      </c>
      <c r="K15" s="208">
        <v>0</v>
      </c>
      <c r="L15" s="202">
        <f>D15*F15</f>
        <v>500</v>
      </c>
      <c r="M15" s="202">
        <f>D15*G15</f>
        <v>1024</v>
      </c>
      <c r="N15" s="202">
        <f>E15*H15</f>
        <v>3000</v>
      </c>
      <c r="O15" s="202">
        <f>E15*I15</f>
        <v>4096</v>
      </c>
      <c r="P15" s="202">
        <f>J15*3</f>
        <v>6144</v>
      </c>
      <c r="Q15" s="202">
        <f>E15*H15</f>
        <v>3000</v>
      </c>
      <c r="R15" s="202"/>
    </row>
    <row r="16" spans="1:18" ht="13.5" customHeight="1">
      <c r="A16" s="208" t="s">
        <v>358</v>
      </c>
      <c r="B16" s="208">
        <v>1</v>
      </c>
      <c r="C16" s="208">
        <v>1</v>
      </c>
      <c r="D16" s="208">
        <v>1</v>
      </c>
      <c r="E16" s="208">
        <v>2</v>
      </c>
      <c r="F16" s="208">
        <v>500</v>
      </c>
      <c r="G16" s="208">
        <v>1024</v>
      </c>
      <c r="H16" s="208">
        <v>1500</v>
      </c>
      <c r="I16" s="208">
        <v>2048</v>
      </c>
      <c r="J16" s="208">
        <v>2048</v>
      </c>
      <c r="K16" s="208">
        <v>0</v>
      </c>
      <c r="L16" s="202">
        <f>D16*F16</f>
        <v>500</v>
      </c>
      <c r="M16" s="202">
        <f>D16*G16</f>
        <v>1024</v>
      </c>
      <c r="N16" s="202">
        <f>E16*H16</f>
        <v>3000</v>
      </c>
      <c r="O16" s="202">
        <f>E16*I16</f>
        <v>4096</v>
      </c>
      <c r="P16" s="202">
        <f>J16*3</f>
        <v>6144</v>
      </c>
      <c r="Q16" s="202">
        <f>E16*H16</f>
        <v>3000</v>
      </c>
      <c r="R16" s="202"/>
    </row>
    <row r="17" spans="1:18" ht="13.5" customHeight="1">
      <c r="A17" s="208" t="s">
        <v>359</v>
      </c>
      <c r="B17" s="208">
        <v>1</v>
      </c>
      <c r="C17" s="208">
        <v>1</v>
      </c>
      <c r="D17" s="208">
        <v>1</v>
      </c>
      <c r="E17" s="208">
        <v>2</v>
      </c>
      <c r="F17" s="208">
        <v>400</v>
      </c>
      <c r="G17" s="208">
        <v>768</v>
      </c>
      <c r="H17" s="208">
        <v>1200</v>
      </c>
      <c r="I17" s="208">
        <v>1536</v>
      </c>
      <c r="J17" s="208">
        <v>2048</v>
      </c>
      <c r="K17" s="208">
        <v>0</v>
      </c>
      <c r="L17" s="202">
        <f>D17*F17</f>
        <v>400</v>
      </c>
      <c r="M17" s="202">
        <f>D17*G17</f>
        <v>768</v>
      </c>
      <c r="N17" s="202">
        <f>E17*H17</f>
        <v>2400</v>
      </c>
      <c r="O17" s="202">
        <f>E17*I17</f>
        <v>3072</v>
      </c>
      <c r="P17" s="202">
        <f>J17*3</f>
        <v>6144</v>
      </c>
      <c r="Q17" s="202">
        <f>E17*H17</f>
        <v>2400</v>
      </c>
      <c r="R17" s="202"/>
    </row>
    <row r="18" spans="1:18" ht="13.5" customHeight="1">
      <c r="A18" s="208" t="s">
        <v>360</v>
      </c>
      <c r="B18" s="208">
        <v>1</v>
      </c>
      <c r="C18" s="208">
        <v>1</v>
      </c>
      <c r="D18" s="208">
        <v>1</v>
      </c>
      <c r="E18" s="208">
        <v>2</v>
      </c>
      <c r="F18" s="208">
        <v>200</v>
      </c>
      <c r="G18" s="208">
        <v>256</v>
      </c>
      <c r="H18" s="208">
        <v>500</v>
      </c>
      <c r="I18" s="208">
        <v>512</v>
      </c>
      <c r="J18" s="208">
        <v>1024</v>
      </c>
      <c r="K18" s="208">
        <v>0</v>
      </c>
      <c r="L18" s="202">
        <f>D18*F18</f>
        <v>200</v>
      </c>
      <c r="M18" s="202">
        <f>D18*G18</f>
        <v>256</v>
      </c>
      <c r="N18" s="202">
        <f>E18*H18</f>
        <v>1000</v>
      </c>
      <c r="O18" s="202">
        <f>E18*I18</f>
        <v>1024</v>
      </c>
      <c r="P18" s="202">
        <f>J18*3</f>
        <v>3072</v>
      </c>
      <c r="Q18" s="202">
        <f>E18*H18</f>
        <v>1000</v>
      </c>
      <c r="R18" s="202"/>
    </row>
    <row r="19" spans="1:18" ht="15.75" customHeight="1">
      <c r="A19" s="198" t="s">
        <v>361</v>
      </c>
      <c r="B19" s="198"/>
      <c r="C19" s="198"/>
      <c r="D19" s="198"/>
      <c r="E19" s="199"/>
      <c r="F19" s="199"/>
      <c r="G19" s="199"/>
      <c r="H19" s="199"/>
      <c r="I19" s="199"/>
      <c r="J19" s="199"/>
      <c r="K19" s="199"/>
      <c r="L19" s="199"/>
      <c r="M19" s="199"/>
      <c r="N19" s="199"/>
      <c r="O19" s="199"/>
      <c r="P19" s="199"/>
      <c r="Q19" s="199"/>
      <c r="R19" s="199"/>
    </row>
    <row r="20" spans="1:18" ht="13.5" customHeight="1">
      <c r="A20" s="208" t="s">
        <v>362</v>
      </c>
      <c r="B20" s="208">
        <v>1</v>
      </c>
      <c r="C20" s="208">
        <v>1</v>
      </c>
      <c r="D20" s="208">
        <v>1</v>
      </c>
      <c r="E20" s="208">
        <v>2</v>
      </c>
      <c r="F20" s="208">
        <v>500</v>
      </c>
      <c r="G20" s="208">
        <v>512</v>
      </c>
      <c r="H20" s="208">
        <v>1000</v>
      </c>
      <c r="I20" s="208">
        <v>1024</v>
      </c>
      <c r="J20" s="208">
        <v>1024</v>
      </c>
      <c r="K20" s="208">
        <v>0</v>
      </c>
      <c r="L20" s="202">
        <f>D20*F20</f>
        <v>500</v>
      </c>
      <c r="M20" s="202">
        <f>D20*G20</f>
        <v>512</v>
      </c>
      <c r="N20" s="202">
        <f>E20*H20</f>
        <v>2000</v>
      </c>
      <c r="O20" s="202">
        <f>E20*I20</f>
        <v>2048</v>
      </c>
      <c r="P20" s="202">
        <f>J20*3</f>
        <v>3072</v>
      </c>
      <c r="Q20" s="202">
        <f>E20*H20</f>
        <v>2000</v>
      </c>
      <c r="R20" s="202"/>
    </row>
    <row r="21" spans="1:18" ht="13.5" customHeight="1">
      <c r="A21" s="208" t="s">
        <v>363</v>
      </c>
      <c r="B21" s="208">
        <v>1</v>
      </c>
      <c r="C21" s="208">
        <v>1</v>
      </c>
      <c r="D21" s="208">
        <v>1</v>
      </c>
      <c r="E21" s="208">
        <v>2</v>
      </c>
      <c r="F21" s="208">
        <v>400</v>
      </c>
      <c r="G21" s="208">
        <v>768</v>
      </c>
      <c r="H21" s="208">
        <v>1000</v>
      </c>
      <c r="I21" s="208">
        <v>1536</v>
      </c>
      <c r="J21" s="208">
        <v>1024</v>
      </c>
      <c r="K21" s="208">
        <v>0</v>
      </c>
      <c r="L21" s="202">
        <f>D21*F21</f>
        <v>400</v>
      </c>
      <c r="M21" s="202">
        <f>D21*G21</f>
        <v>768</v>
      </c>
      <c r="N21" s="202">
        <f>E21*H21</f>
        <v>2000</v>
      </c>
      <c r="O21" s="202">
        <f>E21*I21</f>
        <v>3072</v>
      </c>
      <c r="P21" s="202">
        <f>J21*3</f>
        <v>3072</v>
      </c>
      <c r="Q21" s="202">
        <f>E21*H21</f>
        <v>2000</v>
      </c>
      <c r="R21" s="202"/>
    </row>
    <row r="22" spans="1:18" ht="13.5" customHeight="1">
      <c r="A22" s="208" t="s">
        <v>364</v>
      </c>
      <c r="B22" s="208">
        <v>1</v>
      </c>
      <c r="C22" s="208">
        <v>1</v>
      </c>
      <c r="D22" s="208">
        <v>1</v>
      </c>
      <c r="E22" s="208">
        <v>2</v>
      </c>
      <c r="F22" s="208">
        <v>500</v>
      </c>
      <c r="G22" s="208">
        <v>1024</v>
      </c>
      <c r="H22" s="208">
        <v>1500</v>
      </c>
      <c r="I22" s="208">
        <v>2048</v>
      </c>
      <c r="J22" s="208">
        <v>2048</v>
      </c>
      <c r="K22" s="208">
        <v>0</v>
      </c>
      <c r="L22" s="202">
        <f>D22*F22</f>
        <v>500</v>
      </c>
      <c r="M22" s="202">
        <f>D22*G22</f>
        <v>1024</v>
      </c>
      <c r="N22" s="202">
        <f>E22*H22</f>
        <v>3000</v>
      </c>
      <c r="O22" s="202">
        <f>E22*I22</f>
        <v>4096</v>
      </c>
      <c r="P22" s="202">
        <f>J22*3</f>
        <v>6144</v>
      </c>
      <c r="Q22" s="202">
        <f>E22*H22</f>
        <v>3000</v>
      </c>
      <c r="R22" s="202"/>
    </row>
    <row r="23" spans="1:18" ht="13.5" customHeight="1">
      <c r="A23" s="208" t="s">
        <v>365</v>
      </c>
      <c r="B23" s="208">
        <v>1</v>
      </c>
      <c r="C23" s="208">
        <v>1</v>
      </c>
      <c r="D23" s="208">
        <v>1</v>
      </c>
      <c r="E23" s="208">
        <v>2</v>
      </c>
      <c r="F23" s="208">
        <v>400</v>
      </c>
      <c r="G23" s="208">
        <v>768</v>
      </c>
      <c r="H23" s="208">
        <v>1200</v>
      </c>
      <c r="I23" s="208">
        <v>1536</v>
      </c>
      <c r="J23" s="208">
        <v>2048</v>
      </c>
      <c r="K23" s="208">
        <v>20</v>
      </c>
      <c r="L23" s="202">
        <f>D23*F23</f>
        <v>400</v>
      </c>
      <c r="M23" s="202">
        <f>D23*G23</f>
        <v>768</v>
      </c>
      <c r="N23" s="202">
        <f>E23*H23</f>
        <v>2400</v>
      </c>
      <c r="O23" s="202">
        <f>E23*I23</f>
        <v>3072</v>
      </c>
      <c r="P23" s="202">
        <f>J23*3</f>
        <v>6144</v>
      </c>
      <c r="Q23" s="202">
        <f>E23*H23</f>
        <v>2400</v>
      </c>
      <c r="R23" s="202"/>
    </row>
    <row r="24" spans="1:18" ht="13.5" customHeight="1">
      <c r="A24" s="208" t="s">
        <v>366</v>
      </c>
      <c r="B24" s="208">
        <v>1</v>
      </c>
      <c r="C24" s="208">
        <v>1</v>
      </c>
      <c r="D24" s="208">
        <v>1</v>
      </c>
      <c r="E24" s="208">
        <v>2</v>
      </c>
      <c r="F24" s="208">
        <v>400</v>
      </c>
      <c r="G24" s="208">
        <v>768</v>
      </c>
      <c r="H24" s="208">
        <v>1200</v>
      </c>
      <c r="I24" s="208">
        <v>1536</v>
      </c>
      <c r="J24" s="208">
        <v>2048</v>
      </c>
      <c r="K24" s="208">
        <v>0</v>
      </c>
      <c r="L24" s="202">
        <f>D24*F24</f>
        <v>400</v>
      </c>
      <c r="M24" s="202">
        <f>D24*G24</f>
        <v>768</v>
      </c>
      <c r="N24" s="202">
        <f>E24*H24</f>
        <v>2400</v>
      </c>
      <c r="O24" s="202">
        <f>E24*I24</f>
        <v>3072</v>
      </c>
      <c r="P24" s="202">
        <f>J24*3</f>
        <v>6144</v>
      </c>
      <c r="Q24" s="202"/>
      <c r="R24" s="202"/>
    </row>
    <row r="25" spans="1:18" ht="12.75" customHeight="1">
      <c r="A25" s="198" t="s">
        <v>367</v>
      </c>
      <c r="B25" s="198"/>
      <c r="C25" s="198"/>
      <c r="D25" s="198"/>
      <c r="E25" s="209">
        <f>SUM(E5:E24)</f>
        <v>34</v>
      </c>
      <c r="F25" s="198"/>
      <c r="G25" s="198"/>
      <c r="H25" s="198"/>
      <c r="I25" s="198"/>
      <c r="J25" s="198"/>
      <c r="K25" s="198"/>
      <c r="L25" s="198">
        <f>SUM(L5:L24)</f>
        <v>4850</v>
      </c>
      <c r="M25" s="198">
        <f>SUM(M5:M24)</f>
        <v>9154</v>
      </c>
      <c r="N25" s="198">
        <f>SUM(N5:N24)</f>
        <v>25500</v>
      </c>
      <c r="O25" s="198">
        <f>SUM(O5:O24)</f>
        <v>34440</v>
      </c>
      <c r="P25" s="198">
        <f>SUM(P5:P24)</f>
        <v>53364</v>
      </c>
      <c r="Q25" s="198">
        <f>SUM(Q5:Q24)</f>
        <v>21800</v>
      </c>
      <c r="R25" s="198"/>
    </row>
    <row r="26" spans="1:18" ht="14.25" customHeight="1">
      <c r="L26" s="195">
        <f>CEILING(L25/1024,1)</f>
        <v>5</v>
      </c>
      <c r="M26" s="195">
        <f>CEILING(M25/1024,1)</f>
        <v>9</v>
      </c>
      <c r="N26" s="195">
        <f>CEILING(N25/1024,1)</f>
        <v>25</v>
      </c>
      <c r="O26" s="195">
        <f>CEILING(O25/1024,1)</f>
        <v>34</v>
      </c>
      <c r="P26" s="195">
        <f>CEILING(P25/1024,1)</f>
        <v>53</v>
      </c>
      <c r="Q26" s="195">
        <f>Q25</f>
        <v>21800</v>
      </c>
    </row>
    <row r="27" spans="1:18" ht="14.25" customHeight="1">
      <c r="A27" s="142"/>
      <c r="B27" s="142"/>
      <c r="C27" s="147"/>
      <c r="D27" s="147"/>
      <c r="E27" s="147"/>
      <c r="F27" s="147"/>
      <c r="K27" s="194" t="s">
        <v>368</v>
      </c>
      <c r="L27" s="195">
        <f>CEILING(L26/E32,1)</f>
        <v>7</v>
      </c>
      <c r="M27" s="195">
        <f>CEILING(M26/E32,1)</f>
        <v>12</v>
      </c>
      <c r="N27" s="195">
        <f>CEILING(N26/E32,1)</f>
        <v>32</v>
      </c>
      <c r="O27" s="195">
        <f>CEILING(O26/E32,1)</f>
        <v>44</v>
      </c>
      <c r="P27" s="195">
        <f>CEILING(P26/E32,1)</f>
        <v>68</v>
      </c>
      <c r="Q27" s="195">
        <f>CEILING(Q26/E32,1)</f>
        <v>27595</v>
      </c>
    </row>
    <row r="28" spans="1:18" ht="14.25" customHeight="1">
      <c r="K28" s="210" t="s">
        <v>369</v>
      </c>
      <c r="L28" s="142" t="s">
        <v>370</v>
      </c>
      <c r="M28" s="142" t="s">
        <v>371</v>
      </c>
      <c r="N28" s="142" t="s">
        <v>370</v>
      </c>
      <c r="O28" s="142" t="s">
        <v>371</v>
      </c>
      <c r="P28" s="142" t="s">
        <v>372</v>
      </c>
      <c r="Q28" s="142" t="s">
        <v>277</v>
      </c>
    </row>
    <row r="29" spans="1:18" ht="63" customHeight="1">
      <c r="K29" s="210"/>
      <c r="L29" s="142"/>
      <c r="M29" s="142"/>
      <c r="N29" s="142"/>
      <c r="O29" s="142"/>
      <c r="P29" s="28" t="s">
        <v>373</v>
      </c>
      <c r="Q29" s="28" t="s">
        <v>374</v>
      </c>
    </row>
    <row r="30" spans="1:18" ht="14.25" customHeight="1">
      <c r="A30" s="322" t="s">
        <v>375</v>
      </c>
      <c r="B30" s="322"/>
      <c r="C30" s="322"/>
      <c r="D30" s="322"/>
      <c r="E30" s="322"/>
      <c r="F30" s="322"/>
      <c r="G30" s="322"/>
      <c r="H30" s="322"/>
      <c r="I30" s="322"/>
      <c r="J30" s="322"/>
      <c r="K30" s="322"/>
      <c r="L30" s="211"/>
      <c r="M30" s="211"/>
      <c r="N30" s="211"/>
      <c r="O30" s="211"/>
      <c r="P30" s="211"/>
    </row>
    <row r="31" spans="1:18" ht="14.25" customHeight="1">
      <c r="A31" s="210"/>
    </row>
    <row r="32" spans="1:18" ht="14.25" customHeight="1">
      <c r="A32" s="2" t="s">
        <v>376</v>
      </c>
      <c r="B32" s="208">
        <v>2</v>
      </c>
      <c r="D32" s="197" t="s">
        <v>377</v>
      </c>
      <c r="E32" s="212">
        <v>0.79</v>
      </c>
    </row>
    <row r="33" spans="1:16" ht="14.25" customHeight="1">
      <c r="B33" s="213" t="s">
        <v>378</v>
      </c>
      <c r="C33" s="213" t="s">
        <v>379</v>
      </c>
      <c r="D33" s="213" t="s">
        <v>380</v>
      </c>
      <c r="E33" s="213" t="s">
        <v>381</v>
      </c>
      <c r="F33" s="213" t="s">
        <v>382</v>
      </c>
    </row>
    <row r="34" spans="1:16" ht="14.25" customHeight="1">
      <c r="A34" s="210" t="s">
        <v>99</v>
      </c>
      <c r="B34" s="214">
        <v>16</v>
      </c>
      <c r="C34" s="215" t="s">
        <v>383</v>
      </c>
      <c r="D34" s="216">
        <f>Q26</f>
        <v>21800</v>
      </c>
      <c r="E34" s="216">
        <f>E25</f>
        <v>34</v>
      </c>
      <c r="F34" s="214">
        <f>B36*F45</f>
        <v>468</v>
      </c>
    </row>
    <row r="35" spans="1:16" ht="14.25" customHeight="1">
      <c r="A35" s="210" t="s">
        <v>384</v>
      </c>
      <c r="B35" s="214">
        <v>64</v>
      </c>
    </row>
    <row r="36" spans="1:16" ht="14.25" customHeight="1">
      <c r="A36" s="210" t="s">
        <v>385</v>
      </c>
      <c r="B36" s="214">
        <v>234</v>
      </c>
    </row>
    <row r="37" spans="1:16" ht="14.25" customHeight="1">
      <c r="A37" s="210"/>
      <c r="B37" s="217"/>
    </row>
    <row r="38" spans="1:16" ht="14.25" customHeight="1">
      <c r="A38" s="218"/>
      <c r="B38" s="219"/>
      <c r="C38" s="219"/>
      <c r="D38" s="219"/>
      <c r="E38" s="219"/>
      <c r="F38" s="219"/>
      <c r="G38" s="219"/>
      <c r="H38" s="219"/>
      <c r="I38" s="219"/>
      <c r="J38" s="219"/>
      <c r="K38" s="219"/>
      <c r="L38" s="219"/>
      <c r="M38" s="219"/>
      <c r="N38" s="219"/>
      <c r="O38" s="219"/>
      <c r="P38" s="219"/>
    </row>
    <row r="39" spans="1:16" ht="14.25" customHeight="1">
      <c r="A39" s="193" t="s">
        <v>386</v>
      </c>
    </row>
    <row r="40" spans="1:16" ht="14.25" customHeight="1">
      <c r="A40" s="323" t="s">
        <v>387</v>
      </c>
      <c r="B40" s="323"/>
      <c r="C40" s="323"/>
      <c r="D40" s="323"/>
      <c r="E40" s="323"/>
      <c r="F40" s="323"/>
      <c r="G40" s="323"/>
      <c r="H40" s="193"/>
      <c r="I40" s="193"/>
      <c r="J40" s="193"/>
      <c r="K40" s="193"/>
    </row>
    <row r="41" spans="1:16" ht="12.75" customHeight="1">
      <c r="A41" s="220" t="s">
        <v>388</v>
      </c>
      <c r="B41" s="317" t="s">
        <v>389</v>
      </c>
      <c r="C41" s="317"/>
      <c r="E41" s="220" t="s">
        <v>388</v>
      </c>
      <c r="F41" s="317" t="s">
        <v>389</v>
      </c>
      <c r="G41" s="317"/>
    </row>
    <row r="42" spans="1:16" ht="12.75" customHeight="1">
      <c r="A42" s="221"/>
      <c r="B42" s="2" t="s">
        <v>390</v>
      </c>
      <c r="C42" s="2" t="s">
        <v>391</v>
      </c>
      <c r="E42" s="221"/>
      <c r="F42" s="2" t="s">
        <v>390</v>
      </c>
      <c r="G42" s="222" t="s">
        <v>391</v>
      </c>
    </row>
    <row r="43" spans="1:16" ht="12.75" customHeight="1">
      <c r="A43" s="223" t="s">
        <v>99</v>
      </c>
      <c r="B43" s="206">
        <f>ROUNDUP(C43/B34,0)</f>
        <v>1</v>
      </c>
      <c r="C43" s="206">
        <f>L27</f>
        <v>7</v>
      </c>
      <c r="E43" s="223" t="s">
        <v>99</v>
      </c>
      <c r="F43" s="206">
        <f>ROUNDUP(G43/B34,0)</f>
        <v>2</v>
      </c>
      <c r="G43" s="224">
        <f>N27</f>
        <v>32</v>
      </c>
    </row>
    <row r="44" spans="1:16" ht="12.75" customHeight="1">
      <c r="A44" s="223" t="s">
        <v>384</v>
      </c>
      <c r="B44" s="206">
        <f>ROUNDUP(C44/B35,0)</f>
        <v>1</v>
      </c>
      <c r="C44" s="206">
        <f>M27</f>
        <v>12</v>
      </c>
      <c r="E44" s="223" t="s">
        <v>384</v>
      </c>
      <c r="F44" s="206">
        <f>ROUNDUP(G44/B35,0)</f>
        <v>1</v>
      </c>
      <c r="G44" s="224">
        <f>O27</f>
        <v>44</v>
      </c>
    </row>
    <row r="45" spans="1:16" s="227" customFormat="1" ht="36" customHeight="1">
      <c r="A45" s="225" t="s">
        <v>392</v>
      </c>
      <c r="B45" s="318">
        <f>MAX(B43:B44)</f>
        <v>1</v>
      </c>
      <c r="C45" s="318"/>
      <c r="D45" s="50"/>
      <c r="E45" s="226" t="s">
        <v>393</v>
      </c>
      <c r="F45" s="319">
        <f>MAX(F43:F44)</f>
        <v>2</v>
      </c>
      <c r="G45" s="319"/>
    </row>
    <row r="46" spans="1:16" ht="14.25" customHeight="1">
      <c r="A46" s="228"/>
      <c r="B46" s="147"/>
      <c r="C46" s="142"/>
    </row>
    <row r="47" spans="1:16" ht="14.25" customHeight="1"/>
    <row r="48" spans="1:16" ht="14.25" customHeight="1">
      <c r="A48" s="229" t="s">
        <v>394</v>
      </c>
      <c r="B48" s="230"/>
      <c r="C48" s="231"/>
      <c r="D48" s="231"/>
    </row>
    <row r="49" spans="1:4" ht="14.25" customHeight="1">
      <c r="A49" s="232" t="s">
        <v>379</v>
      </c>
      <c r="B49" s="233" t="s">
        <v>395</v>
      </c>
      <c r="C49" s="232" t="s">
        <v>396</v>
      </c>
      <c r="D49" s="232" t="s">
        <v>265</v>
      </c>
    </row>
    <row r="50" spans="1:4" ht="14.25" customHeight="1">
      <c r="A50" s="232" t="s">
        <v>397</v>
      </c>
      <c r="B50" s="233">
        <v>12</v>
      </c>
      <c r="C50" s="232">
        <v>286.16000000000003</v>
      </c>
      <c r="D50" s="232">
        <f>C50*B50</f>
        <v>3433.92</v>
      </c>
    </row>
    <row r="51" spans="1:4" ht="14.25" customHeight="1">
      <c r="A51" s="234" t="s">
        <v>398</v>
      </c>
      <c r="B51" s="235">
        <v>7</v>
      </c>
      <c r="C51" s="234">
        <v>572.32000000000005</v>
      </c>
      <c r="D51" s="234">
        <f>C51*B51</f>
        <v>4006.2400000000002</v>
      </c>
    </row>
    <row r="52" spans="1:4" ht="14.25" customHeight="1">
      <c r="A52" s="232" t="s">
        <v>399</v>
      </c>
      <c r="B52" s="233">
        <v>12</v>
      </c>
      <c r="C52" s="232">
        <v>350.4</v>
      </c>
      <c r="D52" s="232">
        <f>C52*B52</f>
        <v>4204.7999999999993</v>
      </c>
    </row>
    <row r="53" spans="1:4" ht="14.25" customHeight="1">
      <c r="A53" s="232" t="s">
        <v>400</v>
      </c>
      <c r="B53" s="233">
        <v>12</v>
      </c>
      <c r="C53" s="232">
        <v>443.84</v>
      </c>
      <c r="D53" s="232">
        <f>C53*B53</f>
        <v>5326.08</v>
      </c>
    </row>
    <row r="54" spans="1:4" ht="14.25" customHeight="1">
      <c r="A54" s="232" t="s">
        <v>401</v>
      </c>
      <c r="B54" s="233">
        <v>7</v>
      </c>
      <c r="C54" s="232">
        <v>700.8</v>
      </c>
      <c r="D54" s="232">
        <f>C54*B54</f>
        <v>4905.5999999999995</v>
      </c>
    </row>
    <row r="55" spans="1:4" ht="14.25" customHeight="1">
      <c r="A55" s="232" t="s">
        <v>402</v>
      </c>
      <c r="B55" s="233">
        <v>7</v>
      </c>
      <c r="C55" s="232">
        <v>887.68</v>
      </c>
      <c r="D55" s="232">
        <f>C55*B55</f>
        <v>6213.7599999999993</v>
      </c>
    </row>
  </sheetData>
  <mergeCells count="9">
    <mergeCell ref="B41:C41"/>
    <mergeCell ref="F41:G41"/>
    <mergeCell ref="B45:C45"/>
    <mergeCell ref="F45:G45"/>
    <mergeCell ref="A2:R2"/>
    <mergeCell ref="L3:M3"/>
    <mergeCell ref="N3:O3"/>
    <mergeCell ref="A30:K30"/>
    <mergeCell ref="A40:G40"/>
  </mergeCells>
  <conditionalFormatting sqref="E34">
    <cfRule type="expression" dxfId="13" priority="2">
      <formula>$H$24&lt;$G$24</formula>
    </cfRule>
  </conditionalFormatting>
  <conditionalFormatting sqref="B36:B37 F34">
    <cfRule type="expression" dxfId="12" priority="3">
      <formula>#REF!*$F$44&lt;#REF!</formula>
    </cfRule>
  </conditionalFormatting>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A1:R62"/>
  <sheetViews>
    <sheetView zoomScale="60" zoomScaleNormal="60" workbookViewId="0">
      <selection activeCell="B5" sqref="B5"/>
    </sheetView>
  </sheetViews>
  <sheetFormatPr defaultColWidth="21" defaultRowHeight="12"/>
  <cols>
    <col min="1" max="1" width="28.85546875" style="50" customWidth="1"/>
    <col min="2" max="3" width="21.85546875" style="50" customWidth="1"/>
    <col min="4" max="4" width="23.42578125" style="50" customWidth="1"/>
    <col min="5" max="5" width="32.7109375" style="50" customWidth="1"/>
    <col min="6" max="6" width="28.7109375" style="50" customWidth="1"/>
    <col min="7" max="7" width="24.28515625" style="50" customWidth="1"/>
    <col min="8" max="8" width="26.85546875" style="50" customWidth="1"/>
    <col min="9" max="9" width="18.85546875" style="50" customWidth="1"/>
    <col min="10" max="10" width="26.85546875" style="50" customWidth="1"/>
    <col min="11" max="12" width="21" style="50"/>
    <col min="13" max="13" width="27.42578125" style="50" customWidth="1"/>
    <col min="14" max="16384" width="21" style="50"/>
  </cols>
  <sheetData>
    <row r="1" spans="1:18" ht="12.75" customHeight="1">
      <c r="A1" s="193" t="s">
        <v>329</v>
      </c>
      <c r="H1" s="194"/>
      <c r="I1" s="195"/>
      <c r="J1" s="195"/>
      <c r="K1" s="196"/>
    </row>
    <row r="2" spans="1:18" ht="14.25" customHeight="1">
      <c r="A2" s="320" t="s">
        <v>330</v>
      </c>
      <c r="B2" s="320"/>
      <c r="C2" s="320"/>
      <c r="D2" s="320"/>
      <c r="E2" s="320"/>
      <c r="F2" s="320"/>
      <c r="G2" s="320"/>
      <c r="H2" s="320"/>
      <c r="I2" s="320"/>
      <c r="J2" s="320"/>
      <c r="K2" s="320"/>
      <c r="L2" s="320"/>
      <c r="M2" s="320"/>
      <c r="N2" s="320"/>
      <c r="O2" s="320"/>
      <c r="P2" s="320"/>
      <c r="Q2" s="320"/>
      <c r="R2" s="320"/>
    </row>
    <row r="3" spans="1:18" ht="14.25" customHeight="1">
      <c r="A3" s="197"/>
      <c r="B3" s="197"/>
      <c r="C3" s="197"/>
      <c r="D3" s="32"/>
      <c r="E3" s="32"/>
      <c r="F3" s="32"/>
      <c r="G3" s="32"/>
      <c r="H3" s="32"/>
      <c r="I3" s="32"/>
      <c r="J3" s="32"/>
      <c r="K3" s="32"/>
      <c r="L3" s="276" t="s">
        <v>331</v>
      </c>
      <c r="M3" s="276"/>
      <c r="N3" s="321" t="s">
        <v>332</v>
      </c>
      <c r="O3" s="321"/>
      <c r="P3" s="32"/>
      <c r="Q3" s="32"/>
      <c r="R3" s="32"/>
    </row>
    <row r="4" spans="1:18" ht="15.75" customHeight="1">
      <c r="A4" s="198" t="s">
        <v>403</v>
      </c>
      <c r="B4" s="198" t="s">
        <v>334</v>
      </c>
      <c r="C4" s="198" t="s">
        <v>335</v>
      </c>
      <c r="D4" s="198" t="s">
        <v>336</v>
      </c>
      <c r="E4" s="199" t="s">
        <v>337</v>
      </c>
      <c r="F4" s="199" t="s">
        <v>338</v>
      </c>
      <c r="G4" s="199" t="s">
        <v>339</v>
      </c>
      <c r="H4" s="199" t="s">
        <v>340</v>
      </c>
      <c r="I4" s="199" t="s">
        <v>341</v>
      </c>
      <c r="J4" s="198" t="s">
        <v>342</v>
      </c>
      <c r="K4" s="199" t="s">
        <v>343</v>
      </c>
      <c r="L4" s="198" t="s">
        <v>99</v>
      </c>
      <c r="M4" s="198" t="s">
        <v>344</v>
      </c>
      <c r="N4" s="198" t="s">
        <v>99</v>
      </c>
      <c r="O4" s="198" t="s">
        <v>344</v>
      </c>
      <c r="P4" s="198" t="s">
        <v>345</v>
      </c>
      <c r="Q4" s="198" t="s">
        <v>346</v>
      </c>
      <c r="R4" s="198" t="s">
        <v>103</v>
      </c>
    </row>
    <row r="5" spans="1:18" ht="13.5" customHeight="1">
      <c r="A5" s="200" t="s">
        <v>404</v>
      </c>
      <c r="B5" s="200">
        <v>1</v>
      </c>
      <c r="C5" s="200">
        <v>1</v>
      </c>
      <c r="D5" s="200">
        <v>1</v>
      </c>
      <c r="E5" s="236">
        <v>2</v>
      </c>
      <c r="F5" s="202">
        <v>500</v>
      </c>
      <c r="G5" s="202">
        <v>512</v>
      </c>
      <c r="H5" s="202">
        <v>1000</v>
      </c>
      <c r="I5" s="202">
        <v>1536</v>
      </c>
      <c r="J5" s="202">
        <f>6*1024</f>
        <v>6144</v>
      </c>
      <c r="K5" s="202">
        <v>0</v>
      </c>
      <c r="L5" s="202">
        <f>D5*F5</f>
        <v>500</v>
      </c>
      <c r="M5" s="202">
        <f>D5*G5</f>
        <v>512</v>
      </c>
      <c r="N5" s="202">
        <f>E5*H5</f>
        <v>2000</v>
      </c>
      <c r="O5" s="202">
        <f>E5*I5</f>
        <v>3072</v>
      </c>
      <c r="P5" s="202">
        <f>J5*3</f>
        <v>18432</v>
      </c>
      <c r="Q5" s="202">
        <f>E5*K5</f>
        <v>0</v>
      </c>
      <c r="R5" s="202"/>
    </row>
    <row r="6" spans="1:18" ht="13.5" customHeight="1">
      <c r="A6" s="200" t="s">
        <v>405</v>
      </c>
      <c r="B6" s="200">
        <v>1</v>
      </c>
      <c r="C6" s="237">
        <v>1</v>
      </c>
      <c r="D6" s="237">
        <v>1</v>
      </c>
      <c r="E6" s="238">
        <v>2</v>
      </c>
      <c r="F6" s="202">
        <v>100</v>
      </c>
      <c r="G6" s="202">
        <v>512</v>
      </c>
      <c r="H6" s="202">
        <v>300</v>
      </c>
      <c r="I6" s="202">
        <v>1536</v>
      </c>
      <c r="J6" s="202">
        <f>1024*8</f>
        <v>8192</v>
      </c>
      <c r="K6" s="202">
        <v>30</v>
      </c>
      <c r="L6" s="202">
        <f>D6*F6</f>
        <v>100</v>
      </c>
      <c r="M6" s="202">
        <f>D6*G6</f>
        <v>512</v>
      </c>
      <c r="N6" s="202">
        <f>E6*H6</f>
        <v>600</v>
      </c>
      <c r="O6" s="202">
        <f>E6*I6</f>
        <v>3072</v>
      </c>
      <c r="P6" s="202">
        <f>J6*3</f>
        <v>24576</v>
      </c>
      <c r="Q6" s="202">
        <f>E6*K6</f>
        <v>60</v>
      </c>
      <c r="R6" s="202"/>
    </row>
    <row r="7" spans="1:18" ht="13.5" customHeight="1">
      <c r="A7" s="200" t="s">
        <v>406</v>
      </c>
      <c r="B7" s="200">
        <v>1</v>
      </c>
      <c r="C7" s="200">
        <v>1</v>
      </c>
      <c r="D7" s="200">
        <v>1</v>
      </c>
      <c r="E7" s="236">
        <v>2</v>
      </c>
      <c r="F7" s="202">
        <v>300</v>
      </c>
      <c r="G7" s="202">
        <v>128</v>
      </c>
      <c r="H7" s="202">
        <v>300</v>
      </c>
      <c r="I7" s="202">
        <v>128</v>
      </c>
      <c r="J7" s="202">
        <f>1024</f>
        <v>1024</v>
      </c>
      <c r="K7" s="202">
        <v>0</v>
      </c>
      <c r="L7" s="202">
        <f>D7*F7</f>
        <v>300</v>
      </c>
      <c r="M7" s="202">
        <f>D7*G7</f>
        <v>128</v>
      </c>
      <c r="N7" s="202">
        <f>E7*H7</f>
        <v>600</v>
      </c>
      <c r="O7" s="202">
        <f>E7*I7</f>
        <v>256</v>
      </c>
      <c r="P7" s="202">
        <f>J7*3</f>
        <v>3072</v>
      </c>
      <c r="Q7" s="202">
        <f>E7*K7</f>
        <v>0</v>
      </c>
      <c r="R7" s="202"/>
    </row>
    <row r="8" spans="1:18" ht="13.5" customHeight="1">
      <c r="A8" s="200" t="s">
        <v>407</v>
      </c>
      <c r="B8" s="200">
        <v>1</v>
      </c>
      <c r="C8" s="200">
        <v>1</v>
      </c>
      <c r="D8" s="200">
        <v>1</v>
      </c>
      <c r="E8" s="236">
        <v>2</v>
      </c>
      <c r="F8" s="202">
        <v>100</v>
      </c>
      <c r="G8" s="202">
        <v>128</v>
      </c>
      <c r="H8" s="202">
        <v>100</v>
      </c>
      <c r="I8" s="202">
        <v>128</v>
      </c>
      <c r="J8" s="202">
        <v>1024</v>
      </c>
      <c r="K8" s="202">
        <v>0</v>
      </c>
      <c r="L8" s="202">
        <f>D8*F8</f>
        <v>100</v>
      </c>
      <c r="M8" s="202">
        <f>D8*G8</f>
        <v>128</v>
      </c>
      <c r="N8" s="202">
        <f>E8*H8</f>
        <v>200</v>
      </c>
      <c r="O8" s="202">
        <f>E8*I8</f>
        <v>256</v>
      </c>
      <c r="P8" s="202">
        <f>J8*3</f>
        <v>3072</v>
      </c>
      <c r="Q8" s="202">
        <f>E8*K8</f>
        <v>0</v>
      </c>
      <c r="R8" s="202"/>
    </row>
    <row r="9" spans="1:18" ht="13.5" customHeight="1">
      <c r="A9" s="198" t="s">
        <v>333</v>
      </c>
      <c r="B9" s="198"/>
      <c r="C9" s="198"/>
      <c r="D9" s="198"/>
      <c r="E9" s="198"/>
      <c r="F9" s="198"/>
      <c r="G9" s="198"/>
      <c r="H9" s="198"/>
      <c r="I9" s="198"/>
      <c r="J9" s="198"/>
      <c r="K9" s="198"/>
      <c r="L9" s="198"/>
      <c r="M9" s="198"/>
      <c r="N9" s="198"/>
      <c r="O9" s="198"/>
      <c r="P9" s="198"/>
      <c r="Q9" s="198"/>
      <c r="R9" s="198"/>
    </row>
    <row r="10" spans="1:18" ht="13.5" customHeight="1">
      <c r="A10" s="200" t="s">
        <v>347</v>
      </c>
      <c r="B10" s="200">
        <v>1</v>
      </c>
      <c r="C10" s="200">
        <v>1</v>
      </c>
      <c r="D10" s="200">
        <v>1</v>
      </c>
      <c r="E10" s="201">
        <v>2</v>
      </c>
      <c r="F10" s="201">
        <v>25</v>
      </c>
      <c r="G10" s="201">
        <v>70</v>
      </c>
      <c r="H10" s="201">
        <v>50</v>
      </c>
      <c r="I10" s="201">
        <v>100</v>
      </c>
      <c r="J10" s="201">
        <v>80</v>
      </c>
      <c r="K10" s="201">
        <v>0</v>
      </c>
      <c r="L10" s="202">
        <f>D10*F10</f>
        <v>25</v>
      </c>
      <c r="M10" s="202">
        <f>D10*G10</f>
        <v>70</v>
      </c>
      <c r="N10" s="202">
        <f>E10*H10</f>
        <v>100</v>
      </c>
      <c r="O10" s="202">
        <f>E10*I10</f>
        <v>200</v>
      </c>
      <c r="P10" s="202">
        <f>J10*3</f>
        <v>240</v>
      </c>
      <c r="Q10" s="202">
        <f>E10*K10</f>
        <v>0</v>
      </c>
      <c r="R10" s="203"/>
    </row>
    <row r="11" spans="1:18" ht="13.5" customHeight="1">
      <c r="A11" s="200" t="s">
        <v>348</v>
      </c>
      <c r="B11" s="200">
        <v>1</v>
      </c>
      <c r="C11" s="200">
        <v>1</v>
      </c>
      <c r="D11" s="200">
        <v>1</v>
      </c>
      <c r="E11" s="201">
        <v>2</v>
      </c>
      <c r="F11" s="201">
        <v>100</v>
      </c>
      <c r="G11" s="201">
        <v>50</v>
      </c>
      <c r="H11" s="201">
        <v>100</v>
      </c>
      <c r="I11" s="201">
        <v>50</v>
      </c>
      <c r="J11" s="201">
        <v>60</v>
      </c>
      <c r="K11" s="201">
        <v>0</v>
      </c>
      <c r="L11" s="202">
        <f>D11*F11</f>
        <v>100</v>
      </c>
      <c r="M11" s="202">
        <f>D11*G11</f>
        <v>50</v>
      </c>
      <c r="N11" s="202">
        <f>E11*H11</f>
        <v>200</v>
      </c>
      <c r="O11" s="202">
        <f>E11*I11</f>
        <v>100</v>
      </c>
      <c r="P11" s="202">
        <f>J11*3</f>
        <v>180</v>
      </c>
      <c r="Q11" s="202">
        <f>E11*K11</f>
        <v>0</v>
      </c>
      <c r="R11" s="202"/>
    </row>
    <row r="12" spans="1:18" ht="13.5" customHeight="1">
      <c r="A12" s="200" t="s">
        <v>349</v>
      </c>
      <c r="B12" s="200">
        <v>1</v>
      </c>
      <c r="C12" s="200">
        <v>1</v>
      </c>
      <c r="D12" s="200">
        <v>1</v>
      </c>
      <c r="E12" s="201">
        <v>2</v>
      </c>
      <c r="F12" s="201">
        <v>100</v>
      </c>
      <c r="G12" s="201">
        <v>70</v>
      </c>
      <c r="H12" s="201">
        <v>100</v>
      </c>
      <c r="I12" s="201">
        <v>170</v>
      </c>
      <c r="J12" s="201">
        <v>40</v>
      </c>
      <c r="K12" s="201">
        <v>0</v>
      </c>
      <c r="L12" s="202">
        <f>D12*F12</f>
        <v>100</v>
      </c>
      <c r="M12" s="202">
        <f>D12*G12</f>
        <v>70</v>
      </c>
      <c r="N12" s="202">
        <f>E12*H12</f>
        <v>200</v>
      </c>
      <c r="O12" s="202">
        <f>E12*I12</f>
        <v>340</v>
      </c>
      <c r="P12" s="202">
        <f>J12*3</f>
        <v>120</v>
      </c>
      <c r="Q12" s="202">
        <f>E12*K12</f>
        <v>0</v>
      </c>
      <c r="R12" s="203"/>
    </row>
    <row r="13" spans="1:18" ht="13.5" customHeight="1">
      <c r="A13" s="200" t="s">
        <v>350</v>
      </c>
      <c r="B13" s="200">
        <v>1</v>
      </c>
      <c r="C13" s="200">
        <v>1</v>
      </c>
      <c r="D13" s="200">
        <v>1</v>
      </c>
      <c r="E13" s="201">
        <v>2</v>
      </c>
      <c r="F13" s="201">
        <v>100</v>
      </c>
      <c r="G13" s="201">
        <v>128</v>
      </c>
      <c r="H13" s="201">
        <v>100</v>
      </c>
      <c r="I13" s="201">
        <v>128</v>
      </c>
      <c r="J13" s="201">
        <v>50</v>
      </c>
      <c r="K13" s="201">
        <v>0</v>
      </c>
      <c r="L13" s="202">
        <f>D13*F13</f>
        <v>100</v>
      </c>
      <c r="M13" s="202">
        <f>D13*G13</f>
        <v>128</v>
      </c>
      <c r="N13" s="202">
        <f>E13*H13</f>
        <v>200</v>
      </c>
      <c r="O13" s="202">
        <f>E13*I13</f>
        <v>256</v>
      </c>
      <c r="P13" s="202">
        <f>J13*3</f>
        <v>150</v>
      </c>
      <c r="Q13" s="202">
        <f>E13*K13</f>
        <v>0</v>
      </c>
      <c r="R13" s="203"/>
    </row>
    <row r="14" spans="1:18" ht="13.5" customHeight="1">
      <c r="A14" s="200" t="s">
        <v>351</v>
      </c>
      <c r="B14" s="200">
        <v>1</v>
      </c>
      <c r="C14" s="200">
        <v>1</v>
      </c>
      <c r="D14" s="200">
        <v>1</v>
      </c>
      <c r="E14" s="201">
        <v>2</v>
      </c>
      <c r="F14" s="201">
        <v>100</v>
      </c>
      <c r="G14" s="201">
        <v>200</v>
      </c>
      <c r="H14" s="201">
        <v>100</v>
      </c>
      <c r="I14" s="201">
        <v>200</v>
      </c>
      <c r="J14" s="201">
        <v>50</v>
      </c>
      <c r="K14" s="201">
        <v>0</v>
      </c>
      <c r="L14" s="202">
        <f>D14*F14</f>
        <v>100</v>
      </c>
      <c r="M14" s="202">
        <f>D14*G14</f>
        <v>200</v>
      </c>
      <c r="N14" s="202">
        <f>E14*H14</f>
        <v>200</v>
      </c>
      <c r="O14" s="202">
        <f>E14*I14</f>
        <v>400</v>
      </c>
      <c r="P14" s="202">
        <f>J14*3</f>
        <v>150</v>
      </c>
      <c r="Q14" s="202">
        <f>E14*K14</f>
        <v>0</v>
      </c>
      <c r="R14" s="203"/>
    </row>
    <row r="15" spans="1:18" ht="13.5" customHeight="1">
      <c r="A15" s="204" t="s">
        <v>352</v>
      </c>
      <c r="B15" s="200">
        <v>1</v>
      </c>
      <c r="C15" s="200">
        <v>1</v>
      </c>
      <c r="D15" s="200">
        <v>1</v>
      </c>
      <c r="E15" s="201">
        <v>2</v>
      </c>
      <c r="F15" s="201">
        <v>100</v>
      </c>
      <c r="G15" s="201">
        <v>600</v>
      </c>
      <c r="H15" s="201">
        <v>100</v>
      </c>
      <c r="I15" s="201">
        <v>600</v>
      </c>
      <c r="J15" s="201">
        <v>50</v>
      </c>
      <c r="K15" s="201">
        <v>0</v>
      </c>
      <c r="L15" s="202">
        <f>D15*F15</f>
        <v>100</v>
      </c>
      <c r="M15" s="202">
        <f>D15*G15</f>
        <v>600</v>
      </c>
      <c r="N15" s="202">
        <f>E15*H15</f>
        <v>200</v>
      </c>
      <c r="O15" s="202">
        <f>E15*I15</f>
        <v>1200</v>
      </c>
      <c r="P15" s="202">
        <f>J15*3</f>
        <v>150</v>
      </c>
      <c r="Q15" s="202">
        <f>E15*K15</f>
        <v>0</v>
      </c>
      <c r="R15" s="203"/>
    </row>
    <row r="16" spans="1:18" ht="15.75" customHeight="1">
      <c r="A16" s="198" t="s">
        <v>408</v>
      </c>
      <c r="B16" s="198"/>
      <c r="C16" s="198"/>
      <c r="D16" s="198"/>
      <c r="E16" s="198"/>
      <c r="F16" s="198"/>
      <c r="G16" s="198"/>
      <c r="H16" s="198"/>
      <c r="I16" s="198"/>
      <c r="J16" s="198"/>
      <c r="K16" s="198"/>
      <c r="L16" s="198"/>
      <c r="M16" s="198"/>
      <c r="N16" s="198"/>
      <c r="O16" s="198"/>
      <c r="P16" s="198"/>
      <c r="Q16" s="198"/>
      <c r="R16" s="198"/>
    </row>
    <row r="17" spans="1:18" ht="13.5" customHeight="1">
      <c r="A17" s="200" t="s">
        <v>408</v>
      </c>
      <c r="B17" s="200">
        <v>1</v>
      </c>
      <c r="C17" s="237">
        <v>0</v>
      </c>
      <c r="D17" s="237">
        <v>0</v>
      </c>
      <c r="E17" s="238">
        <v>0</v>
      </c>
      <c r="F17" s="201">
        <v>250</v>
      </c>
      <c r="G17" s="201">
        <v>512</v>
      </c>
      <c r="H17" s="201">
        <v>1000</v>
      </c>
      <c r="I17" s="201">
        <v>2048</v>
      </c>
      <c r="J17" s="201">
        <v>1024</v>
      </c>
      <c r="K17" s="201">
        <v>0</v>
      </c>
      <c r="L17" s="202">
        <f>D17*F17</f>
        <v>0</v>
      </c>
      <c r="M17" s="202">
        <f>D17*G17</f>
        <v>0</v>
      </c>
      <c r="N17" s="202">
        <f>E17*H17</f>
        <v>0</v>
      </c>
      <c r="O17" s="202">
        <f>E17*I17</f>
        <v>0</v>
      </c>
      <c r="P17" s="202">
        <f>J17*3</f>
        <v>3072</v>
      </c>
      <c r="Q17" s="202">
        <f>E17*K17</f>
        <v>0</v>
      </c>
      <c r="R17" s="203"/>
    </row>
    <row r="18" spans="1:18" ht="15.75" customHeight="1">
      <c r="A18" s="198" t="s">
        <v>353</v>
      </c>
      <c r="B18" s="198"/>
      <c r="C18" s="198"/>
      <c r="D18" s="198"/>
      <c r="E18" s="199"/>
      <c r="F18" s="199"/>
      <c r="G18" s="199"/>
      <c r="H18" s="199"/>
      <c r="I18" s="199"/>
      <c r="J18" s="199"/>
      <c r="K18" s="199"/>
      <c r="L18" s="199"/>
      <c r="M18" s="199"/>
      <c r="N18" s="199"/>
      <c r="O18" s="199"/>
      <c r="P18" s="199"/>
      <c r="Q18" s="199"/>
      <c r="R18" s="199"/>
    </row>
    <row r="19" spans="1:18" ht="13.5" customHeight="1">
      <c r="A19" s="205" t="s">
        <v>354</v>
      </c>
      <c r="B19" s="205">
        <v>1</v>
      </c>
      <c r="C19" s="205">
        <v>1</v>
      </c>
      <c r="D19" s="205">
        <v>1</v>
      </c>
      <c r="E19" s="206">
        <v>2</v>
      </c>
      <c r="F19" s="207">
        <v>25</v>
      </c>
      <c r="G19" s="207">
        <v>100</v>
      </c>
      <c r="H19" s="207">
        <v>100</v>
      </c>
      <c r="I19" s="207">
        <v>100</v>
      </c>
      <c r="J19" s="207">
        <v>50</v>
      </c>
      <c r="K19" s="207">
        <v>0</v>
      </c>
      <c r="L19" s="202">
        <f>D19*F19</f>
        <v>25</v>
      </c>
      <c r="M19" s="202">
        <f>D19*G19</f>
        <v>100</v>
      </c>
      <c r="N19" s="202">
        <f>E19*H19</f>
        <v>200</v>
      </c>
      <c r="O19" s="202">
        <f>E19*I19</f>
        <v>200</v>
      </c>
      <c r="P19" s="202">
        <f>J19*3</f>
        <v>150</v>
      </c>
      <c r="Q19" s="202">
        <f>E19*K19</f>
        <v>0</v>
      </c>
      <c r="R19" s="202"/>
    </row>
    <row r="20" spans="1:18" ht="15.75" customHeight="1">
      <c r="A20" s="198" t="s">
        <v>355</v>
      </c>
      <c r="B20" s="198"/>
      <c r="C20" s="198"/>
      <c r="D20" s="198"/>
      <c r="E20" s="199"/>
      <c r="F20" s="199"/>
      <c r="G20" s="199"/>
      <c r="H20" s="199"/>
      <c r="I20" s="199"/>
      <c r="J20" s="199"/>
      <c r="K20" s="199"/>
      <c r="L20" s="199"/>
      <c r="M20" s="199"/>
      <c r="N20" s="199"/>
      <c r="O20" s="199"/>
      <c r="P20" s="199"/>
      <c r="Q20" s="199"/>
      <c r="R20" s="199"/>
    </row>
    <row r="21" spans="1:18" ht="13.5" customHeight="1">
      <c r="A21" s="208" t="s">
        <v>356</v>
      </c>
      <c r="B21" s="208">
        <v>1</v>
      </c>
      <c r="C21" s="208">
        <v>2</v>
      </c>
      <c r="D21" s="208">
        <v>2</v>
      </c>
      <c r="E21" s="208">
        <v>3</v>
      </c>
      <c r="F21" s="208">
        <v>500</v>
      </c>
      <c r="G21" s="208">
        <v>1024</v>
      </c>
      <c r="H21" s="208">
        <v>1500</v>
      </c>
      <c r="I21" s="208">
        <v>2048</v>
      </c>
      <c r="J21" s="208">
        <v>2048</v>
      </c>
      <c r="K21" s="208">
        <v>0</v>
      </c>
      <c r="L21" s="202">
        <f>D21*F21</f>
        <v>1000</v>
      </c>
      <c r="M21" s="202">
        <f>D21*G21</f>
        <v>2048</v>
      </c>
      <c r="N21" s="202">
        <f>E21*H21</f>
        <v>4500</v>
      </c>
      <c r="O21" s="202">
        <f>E21*I21</f>
        <v>6144</v>
      </c>
      <c r="P21" s="202">
        <f>J21*3</f>
        <v>6144</v>
      </c>
      <c r="Q21" s="202">
        <f>E21*H21</f>
        <v>4500</v>
      </c>
      <c r="R21" s="202"/>
    </row>
    <row r="22" spans="1:18" ht="13.5" customHeight="1">
      <c r="A22" s="208" t="s">
        <v>357</v>
      </c>
      <c r="B22" s="208">
        <v>1</v>
      </c>
      <c r="C22" s="208">
        <v>2</v>
      </c>
      <c r="D22" s="208">
        <v>2</v>
      </c>
      <c r="E22" s="208">
        <v>3</v>
      </c>
      <c r="F22" s="208">
        <v>500</v>
      </c>
      <c r="G22" s="208">
        <v>1024</v>
      </c>
      <c r="H22" s="208">
        <v>1500</v>
      </c>
      <c r="I22" s="208">
        <v>2048</v>
      </c>
      <c r="J22" s="208">
        <v>2048</v>
      </c>
      <c r="K22" s="208">
        <v>0</v>
      </c>
      <c r="L22" s="202">
        <f>D22*F22</f>
        <v>1000</v>
      </c>
      <c r="M22" s="202">
        <f>D22*G22</f>
        <v>2048</v>
      </c>
      <c r="N22" s="202">
        <f>E22*H22</f>
        <v>4500</v>
      </c>
      <c r="O22" s="202">
        <f>E22*I22</f>
        <v>6144</v>
      </c>
      <c r="P22" s="202">
        <f>J22*3</f>
        <v>6144</v>
      </c>
      <c r="Q22" s="202">
        <f>E22*H22</f>
        <v>4500</v>
      </c>
      <c r="R22" s="202"/>
    </row>
    <row r="23" spans="1:18" ht="13.5" customHeight="1">
      <c r="A23" s="208" t="s">
        <v>358</v>
      </c>
      <c r="B23" s="208">
        <v>1</v>
      </c>
      <c r="C23" s="208">
        <v>2</v>
      </c>
      <c r="D23" s="208">
        <v>2</v>
      </c>
      <c r="E23" s="208">
        <v>3</v>
      </c>
      <c r="F23" s="208">
        <v>500</v>
      </c>
      <c r="G23" s="208">
        <v>1024</v>
      </c>
      <c r="H23" s="208">
        <v>1500</v>
      </c>
      <c r="I23" s="208">
        <v>2048</v>
      </c>
      <c r="J23" s="208">
        <v>2048</v>
      </c>
      <c r="K23" s="208">
        <v>0</v>
      </c>
      <c r="L23" s="202">
        <f>D23*F23</f>
        <v>1000</v>
      </c>
      <c r="M23" s="202">
        <f>D23*G23</f>
        <v>2048</v>
      </c>
      <c r="N23" s="202">
        <f>E23*H23</f>
        <v>4500</v>
      </c>
      <c r="O23" s="202">
        <f>E23*I23</f>
        <v>6144</v>
      </c>
      <c r="P23" s="202">
        <f>J23*3</f>
        <v>6144</v>
      </c>
      <c r="Q23" s="202">
        <f>E23*H23</f>
        <v>4500</v>
      </c>
      <c r="R23" s="202"/>
    </row>
    <row r="24" spans="1:18" ht="13.5" customHeight="1">
      <c r="A24" s="208" t="s">
        <v>359</v>
      </c>
      <c r="B24" s="208">
        <v>1</v>
      </c>
      <c r="C24" s="208">
        <v>2</v>
      </c>
      <c r="D24" s="208">
        <v>2</v>
      </c>
      <c r="E24" s="208">
        <v>3</v>
      </c>
      <c r="F24" s="208">
        <v>400</v>
      </c>
      <c r="G24" s="208">
        <v>768</v>
      </c>
      <c r="H24" s="208">
        <v>1200</v>
      </c>
      <c r="I24" s="208">
        <v>1536</v>
      </c>
      <c r="J24" s="208">
        <v>2048</v>
      </c>
      <c r="K24" s="208">
        <v>0</v>
      </c>
      <c r="L24" s="202">
        <f>D24*F24</f>
        <v>800</v>
      </c>
      <c r="M24" s="202">
        <f>D24*G24</f>
        <v>1536</v>
      </c>
      <c r="N24" s="202">
        <f>E24*H24</f>
        <v>3600</v>
      </c>
      <c r="O24" s="202">
        <f>E24*I24</f>
        <v>4608</v>
      </c>
      <c r="P24" s="202">
        <f>J24*3</f>
        <v>6144</v>
      </c>
      <c r="Q24" s="202">
        <f>E24*H24</f>
        <v>3600</v>
      </c>
      <c r="R24" s="202"/>
    </row>
    <row r="25" spans="1:18" ht="13.5" customHeight="1">
      <c r="A25" s="208" t="s">
        <v>360</v>
      </c>
      <c r="B25" s="208">
        <v>1</v>
      </c>
      <c r="C25" s="208">
        <v>2</v>
      </c>
      <c r="D25" s="208">
        <v>2</v>
      </c>
      <c r="E25" s="208">
        <v>3</v>
      </c>
      <c r="F25" s="208">
        <v>200</v>
      </c>
      <c r="G25" s="208">
        <v>256</v>
      </c>
      <c r="H25" s="208">
        <v>500</v>
      </c>
      <c r="I25" s="208">
        <v>512</v>
      </c>
      <c r="J25" s="208">
        <v>1024</v>
      </c>
      <c r="K25" s="208">
        <v>0</v>
      </c>
      <c r="L25" s="202">
        <f>D25*F25</f>
        <v>400</v>
      </c>
      <c r="M25" s="202">
        <f>D25*G25</f>
        <v>512</v>
      </c>
      <c r="N25" s="202">
        <f>E25*H25</f>
        <v>1500</v>
      </c>
      <c r="O25" s="202">
        <f>E25*I25</f>
        <v>1536</v>
      </c>
      <c r="P25" s="202">
        <f>J25*3</f>
        <v>3072</v>
      </c>
      <c r="Q25" s="202">
        <f>E25*H25</f>
        <v>1500</v>
      </c>
      <c r="R25" s="202"/>
    </row>
    <row r="26" spans="1:18" ht="15.75" customHeight="1">
      <c r="A26" s="198" t="s">
        <v>361</v>
      </c>
      <c r="B26" s="198"/>
      <c r="C26" s="198"/>
      <c r="D26" s="198"/>
      <c r="E26" s="199"/>
      <c r="F26" s="199"/>
      <c r="G26" s="199"/>
      <c r="H26" s="199"/>
      <c r="I26" s="199"/>
      <c r="J26" s="199"/>
      <c r="K26" s="199"/>
      <c r="L26" s="199"/>
      <c r="M26" s="199"/>
      <c r="N26" s="199"/>
      <c r="O26" s="199"/>
      <c r="P26" s="199"/>
      <c r="Q26" s="199"/>
      <c r="R26" s="199"/>
    </row>
    <row r="27" spans="1:18" ht="13.5" customHeight="1">
      <c r="A27" s="208" t="s">
        <v>362</v>
      </c>
      <c r="B27" s="208">
        <v>1</v>
      </c>
      <c r="C27" s="208">
        <v>2</v>
      </c>
      <c r="D27" s="208">
        <v>2</v>
      </c>
      <c r="E27" s="208">
        <v>3</v>
      </c>
      <c r="F27" s="208">
        <v>500</v>
      </c>
      <c r="G27" s="208">
        <v>512</v>
      </c>
      <c r="H27" s="208">
        <v>1000</v>
      </c>
      <c r="I27" s="208">
        <v>1024</v>
      </c>
      <c r="J27" s="208">
        <v>1024</v>
      </c>
      <c r="K27" s="208">
        <v>0</v>
      </c>
      <c r="L27" s="202">
        <f>D27*F27</f>
        <v>1000</v>
      </c>
      <c r="M27" s="202">
        <f>D27*G27</f>
        <v>1024</v>
      </c>
      <c r="N27" s="202">
        <f>E27*H27</f>
        <v>3000</v>
      </c>
      <c r="O27" s="202">
        <f>E27*I27</f>
        <v>3072</v>
      </c>
      <c r="P27" s="202">
        <f>J27*3</f>
        <v>3072</v>
      </c>
      <c r="Q27" s="202">
        <f>E27*H27</f>
        <v>3000</v>
      </c>
      <c r="R27" s="202"/>
    </row>
    <row r="28" spans="1:18" ht="13.5" customHeight="1">
      <c r="A28" s="208" t="s">
        <v>363</v>
      </c>
      <c r="B28" s="208">
        <v>1</v>
      </c>
      <c r="C28" s="208">
        <v>2</v>
      </c>
      <c r="D28" s="208">
        <v>2</v>
      </c>
      <c r="E28" s="208">
        <v>3</v>
      </c>
      <c r="F28" s="208">
        <v>400</v>
      </c>
      <c r="G28" s="208">
        <v>768</v>
      </c>
      <c r="H28" s="208">
        <v>1000</v>
      </c>
      <c r="I28" s="208">
        <v>1536</v>
      </c>
      <c r="J28" s="208">
        <v>1024</v>
      </c>
      <c r="K28" s="208">
        <v>0</v>
      </c>
      <c r="L28" s="202">
        <f>D28*F28</f>
        <v>800</v>
      </c>
      <c r="M28" s="202">
        <f>D28*G28</f>
        <v>1536</v>
      </c>
      <c r="N28" s="202">
        <f>E28*H28</f>
        <v>3000</v>
      </c>
      <c r="O28" s="202">
        <f>E28*I28</f>
        <v>4608</v>
      </c>
      <c r="P28" s="202">
        <f>J28*3</f>
        <v>3072</v>
      </c>
      <c r="Q28" s="202">
        <f>E28*H28</f>
        <v>3000</v>
      </c>
      <c r="R28" s="202"/>
    </row>
    <row r="29" spans="1:18" ht="13.5" customHeight="1">
      <c r="A29" s="208" t="s">
        <v>364</v>
      </c>
      <c r="B29" s="208">
        <v>1</v>
      </c>
      <c r="C29" s="208">
        <v>2</v>
      </c>
      <c r="D29" s="208">
        <v>2</v>
      </c>
      <c r="E29" s="208">
        <v>3</v>
      </c>
      <c r="F29" s="208">
        <v>500</v>
      </c>
      <c r="G29" s="208">
        <v>1024</v>
      </c>
      <c r="H29" s="208">
        <v>1500</v>
      </c>
      <c r="I29" s="208">
        <v>2048</v>
      </c>
      <c r="J29" s="208">
        <v>2048</v>
      </c>
      <c r="K29" s="208">
        <v>0</v>
      </c>
      <c r="L29" s="202">
        <f>D29*F29</f>
        <v>1000</v>
      </c>
      <c r="M29" s="202">
        <f>D29*G29</f>
        <v>2048</v>
      </c>
      <c r="N29" s="202">
        <f>E29*H29</f>
        <v>4500</v>
      </c>
      <c r="O29" s="202">
        <f>E29*I29</f>
        <v>6144</v>
      </c>
      <c r="P29" s="202">
        <f>J29*3</f>
        <v>6144</v>
      </c>
      <c r="Q29" s="202">
        <f>E29*H29</f>
        <v>4500</v>
      </c>
      <c r="R29" s="202"/>
    </row>
    <row r="30" spans="1:18" ht="13.5" customHeight="1">
      <c r="A30" s="208" t="s">
        <v>365</v>
      </c>
      <c r="B30" s="208">
        <v>1</v>
      </c>
      <c r="C30" s="208">
        <v>2</v>
      </c>
      <c r="D30" s="208">
        <v>2</v>
      </c>
      <c r="E30" s="208">
        <v>3</v>
      </c>
      <c r="F30" s="208">
        <v>400</v>
      </c>
      <c r="G30" s="208">
        <v>768</v>
      </c>
      <c r="H30" s="208">
        <v>1200</v>
      </c>
      <c r="I30" s="208">
        <v>1536</v>
      </c>
      <c r="J30" s="208">
        <v>2048</v>
      </c>
      <c r="K30" s="208">
        <v>20</v>
      </c>
      <c r="L30" s="202">
        <f>D30*F30</f>
        <v>800</v>
      </c>
      <c r="M30" s="202">
        <f>D30*G30</f>
        <v>1536</v>
      </c>
      <c r="N30" s="202">
        <f>E30*H30</f>
        <v>3600</v>
      </c>
      <c r="O30" s="202">
        <f>E30*I30</f>
        <v>4608</v>
      </c>
      <c r="P30" s="202">
        <f>J30*3</f>
        <v>6144</v>
      </c>
      <c r="Q30" s="202">
        <f>E30*H30</f>
        <v>3600</v>
      </c>
      <c r="R30" s="202"/>
    </row>
    <row r="31" spans="1:18" ht="13.5" customHeight="1">
      <c r="A31" s="208" t="s">
        <v>366</v>
      </c>
      <c r="B31" s="208">
        <v>1</v>
      </c>
      <c r="C31" s="208">
        <v>1</v>
      </c>
      <c r="D31" s="208">
        <v>1</v>
      </c>
      <c r="E31" s="208">
        <v>2</v>
      </c>
      <c r="F31" s="208">
        <v>400</v>
      </c>
      <c r="G31" s="208">
        <v>768</v>
      </c>
      <c r="H31" s="208">
        <v>1200</v>
      </c>
      <c r="I31" s="208">
        <v>1536</v>
      </c>
      <c r="J31" s="208">
        <v>2048</v>
      </c>
      <c r="K31" s="208">
        <v>0</v>
      </c>
      <c r="L31" s="202">
        <f>D31*F31</f>
        <v>400</v>
      </c>
      <c r="M31" s="202">
        <f>D31*G31</f>
        <v>768</v>
      </c>
      <c r="N31" s="202">
        <f>E31*H31</f>
        <v>2400</v>
      </c>
      <c r="O31" s="202">
        <f>E31*I31</f>
        <v>3072</v>
      </c>
      <c r="P31" s="202">
        <f>J31*3</f>
        <v>6144</v>
      </c>
      <c r="Q31" s="202"/>
      <c r="R31" s="202"/>
    </row>
    <row r="32" spans="1:18" ht="12.75" customHeight="1">
      <c r="A32" s="198" t="s">
        <v>367</v>
      </c>
      <c r="B32" s="198"/>
      <c r="C32" s="198"/>
      <c r="D32" s="198"/>
      <c r="E32" s="209">
        <f>SUM(E5:E31)</f>
        <v>51</v>
      </c>
      <c r="F32" s="198"/>
      <c r="G32" s="198"/>
      <c r="H32" s="198"/>
      <c r="I32" s="198"/>
      <c r="J32" s="198"/>
      <c r="K32" s="198"/>
      <c r="L32" s="198">
        <f>SUM(L5:L31)</f>
        <v>9750</v>
      </c>
      <c r="M32" s="198">
        <f>SUM(M5:M31)</f>
        <v>17602</v>
      </c>
      <c r="N32" s="198">
        <f>SUM(N5:N31)</f>
        <v>39800</v>
      </c>
      <c r="O32" s="198">
        <f>SUM(O5:O31)</f>
        <v>55432</v>
      </c>
      <c r="P32" s="198">
        <f>SUM(P5:P31)</f>
        <v>105588</v>
      </c>
      <c r="Q32" s="198">
        <f>SUM(Q5:Q31)</f>
        <v>32760</v>
      </c>
      <c r="R32" s="198"/>
    </row>
    <row r="33" spans="1:17" ht="14.25" customHeight="1">
      <c r="L33" s="195">
        <f>CEILING(L32/1024,1)</f>
        <v>10</v>
      </c>
      <c r="M33" s="195">
        <f>CEILING(M32/1024,1)</f>
        <v>18</v>
      </c>
      <c r="N33" s="195">
        <f>CEILING(N32/1024,1)</f>
        <v>39</v>
      </c>
      <c r="O33" s="195">
        <f>CEILING(O32/1024,1)</f>
        <v>55</v>
      </c>
      <c r="P33" s="195">
        <f>CEILING(P32/1024,1)</f>
        <v>104</v>
      </c>
      <c r="Q33" s="195">
        <f>Q32</f>
        <v>32760</v>
      </c>
    </row>
    <row r="34" spans="1:17" ht="14.25" customHeight="1">
      <c r="A34" s="142"/>
      <c r="B34" s="142"/>
      <c r="C34" s="147"/>
      <c r="D34" s="147"/>
      <c r="E34" s="147"/>
      <c r="F34" s="147"/>
      <c r="K34" s="194" t="s">
        <v>368</v>
      </c>
      <c r="L34" s="195">
        <f>CEILING(L33/E39,1)</f>
        <v>13</v>
      </c>
      <c r="M34" s="195">
        <f>CEILING(M33/E39,1)</f>
        <v>23</v>
      </c>
      <c r="N34" s="195">
        <f>CEILING(N33/E39,1)</f>
        <v>50</v>
      </c>
      <c r="O34" s="195">
        <f>CEILING(O33/E39,1)</f>
        <v>70</v>
      </c>
      <c r="P34" s="195">
        <f>CEILING(P33/E39,1)</f>
        <v>132</v>
      </c>
      <c r="Q34" s="195">
        <f>CEILING(Q33/E39,1)</f>
        <v>41469</v>
      </c>
    </row>
    <row r="35" spans="1:17" ht="14.25" customHeight="1">
      <c r="K35" s="210" t="s">
        <v>369</v>
      </c>
      <c r="L35" s="142" t="s">
        <v>370</v>
      </c>
      <c r="M35" s="142" t="s">
        <v>371</v>
      </c>
      <c r="N35" s="142" t="s">
        <v>370</v>
      </c>
      <c r="O35" s="142" t="s">
        <v>371</v>
      </c>
      <c r="P35" s="142" t="s">
        <v>372</v>
      </c>
      <c r="Q35" s="142" t="s">
        <v>277</v>
      </c>
    </row>
    <row r="36" spans="1:17" ht="63" customHeight="1">
      <c r="K36" s="210"/>
      <c r="L36" s="142"/>
      <c r="M36" s="142"/>
      <c r="N36" s="142"/>
      <c r="O36" s="142"/>
      <c r="P36" s="28" t="s">
        <v>373</v>
      </c>
      <c r="Q36" s="28" t="s">
        <v>374</v>
      </c>
    </row>
    <row r="37" spans="1:17" ht="14.25" customHeight="1">
      <c r="A37" s="322" t="s">
        <v>375</v>
      </c>
      <c r="B37" s="322"/>
      <c r="C37" s="322"/>
      <c r="D37" s="322"/>
      <c r="E37" s="322"/>
      <c r="F37" s="322"/>
      <c r="G37" s="322"/>
      <c r="H37" s="322"/>
      <c r="I37" s="322"/>
      <c r="J37" s="322"/>
      <c r="K37" s="322"/>
      <c r="L37" s="211"/>
      <c r="M37" s="211"/>
      <c r="N37" s="211"/>
      <c r="O37" s="211"/>
      <c r="P37" s="211"/>
    </row>
    <row r="38" spans="1:17" ht="14.25" customHeight="1">
      <c r="A38" s="210"/>
    </row>
    <row r="39" spans="1:17" ht="14.25" customHeight="1">
      <c r="A39" s="2" t="s">
        <v>376</v>
      </c>
      <c r="B39" s="208">
        <v>2</v>
      </c>
      <c r="D39" s="197" t="s">
        <v>377</v>
      </c>
      <c r="E39" s="212">
        <v>0.79</v>
      </c>
    </row>
    <row r="40" spans="1:17" ht="14.25" customHeight="1">
      <c r="B40" s="213" t="s">
        <v>378</v>
      </c>
      <c r="C40" s="213" t="s">
        <v>379</v>
      </c>
      <c r="D40" s="213" t="s">
        <v>380</v>
      </c>
      <c r="E40" s="213" t="s">
        <v>381</v>
      </c>
      <c r="F40" s="213" t="s">
        <v>382</v>
      </c>
    </row>
    <row r="41" spans="1:17" ht="14.25" customHeight="1">
      <c r="A41" s="210" t="s">
        <v>99</v>
      </c>
      <c r="B41" s="214">
        <v>16</v>
      </c>
      <c r="C41" s="215" t="s">
        <v>383</v>
      </c>
      <c r="D41" s="216">
        <f>Q33</f>
        <v>32760</v>
      </c>
      <c r="E41" s="216">
        <f>E32</f>
        <v>51</v>
      </c>
      <c r="F41" s="214">
        <f>B43*F52</f>
        <v>936</v>
      </c>
    </row>
    <row r="42" spans="1:17" ht="14.25" customHeight="1">
      <c r="A42" s="210" t="s">
        <v>384</v>
      </c>
      <c r="B42" s="214">
        <v>64</v>
      </c>
    </row>
    <row r="43" spans="1:17" ht="14.25" customHeight="1">
      <c r="A43" s="210" t="s">
        <v>385</v>
      </c>
      <c r="B43" s="214">
        <v>234</v>
      </c>
    </row>
    <row r="44" spans="1:17" ht="14.25" customHeight="1">
      <c r="A44" s="210"/>
      <c r="B44" s="217"/>
    </row>
    <row r="45" spans="1:17" ht="14.25" customHeight="1">
      <c r="A45" s="218"/>
      <c r="B45" s="219"/>
      <c r="C45" s="219"/>
      <c r="D45" s="219"/>
      <c r="E45" s="219"/>
      <c r="F45" s="219"/>
      <c r="G45" s="219"/>
      <c r="H45" s="219"/>
      <c r="I45" s="219"/>
      <c r="J45" s="219"/>
      <c r="K45" s="219"/>
      <c r="L45" s="219"/>
      <c r="M45" s="219"/>
      <c r="N45" s="219"/>
      <c r="O45" s="219"/>
      <c r="P45" s="219"/>
    </row>
    <row r="46" spans="1:17" ht="14.25" customHeight="1">
      <c r="A46" s="193" t="s">
        <v>386</v>
      </c>
    </row>
    <row r="47" spans="1:17" ht="14.25" customHeight="1">
      <c r="A47" s="323" t="s">
        <v>387</v>
      </c>
      <c r="B47" s="323"/>
      <c r="C47" s="323"/>
      <c r="D47" s="323"/>
      <c r="E47" s="323"/>
      <c r="F47" s="323"/>
      <c r="G47" s="323"/>
      <c r="H47" s="193"/>
      <c r="I47" s="193"/>
      <c r="J47" s="193"/>
      <c r="K47" s="193"/>
    </row>
    <row r="48" spans="1:17" ht="12.75" customHeight="1">
      <c r="A48" s="220" t="s">
        <v>388</v>
      </c>
      <c r="B48" s="317" t="s">
        <v>389</v>
      </c>
      <c r="C48" s="317"/>
      <c r="E48" s="220" t="s">
        <v>388</v>
      </c>
      <c r="F48" s="317" t="s">
        <v>389</v>
      </c>
      <c r="G48" s="317"/>
    </row>
    <row r="49" spans="1:7" ht="12.75" customHeight="1">
      <c r="A49" s="221"/>
      <c r="B49" s="2" t="s">
        <v>390</v>
      </c>
      <c r="C49" s="2" t="s">
        <v>391</v>
      </c>
      <c r="E49" s="221"/>
      <c r="F49" s="2" t="s">
        <v>390</v>
      </c>
      <c r="G49" s="222" t="s">
        <v>391</v>
      </c>
    </row>
    <row r="50" spans="1:7" ht="12.75" customHeight="1">
      <c r="A50" s="223" t="s">
        <v>99</v>
      </c>
      <c r="B50" s="206">
        <f>ROUNDUP(C50/B41,0)</f>
        <v>1</v>
      </c>
      <c r="C50" s="206">
        <f>L34</f>
        <v>13</v>
      </c>
      <c r="E50" s="223" t="s">
        <v>99</v>
      </c>
      <c r="F50" s="206">
        <f>ROUNDUP(G50/B41,0)</f>
        <v>4</v>
      </c>
      <c r="G50" s="224">
        <f>N34</f>
        <v>50</v>
      </c>
    </row>
    <row r="51" spans="1:7" ht="12.75" customHeight="1">
      <c r="A51" s="223" t="s">
        <v>384</v>
      </c>
      <c r="B51" s="206">
        <f>ROUNDUP(C51/B42,0)</f>
        <v>1</v>
      </c>
      <c r="C51" s="206">
        <f>M34</f>
        <v>23</v>
      </c>
      <c r="E51" s="223" t="s">
        <v>384</v>
      </c>
      <c r="F51" s="206">
        <f>ROUNDUP(G51/B42,0)</f>
        <v>2</v>
      </c>
      <c r="G51" s="224">
        <f>O34</f>
        <v>70</v>
      </c>
    </row>
    <row r="52" spans="1:7" s="227" customFormat="1" ht="36" customHeight="1">
      <c r="A52" s="225" t="s">
        <v>392</v>
      </c>
      <c r="B52" s="318">
        <f>MAX(B50:B51)</f>
        <v>1</v>
      </c>
      <c r="C52" s="318"/>
      <c r="D52" s="50"/>
      <c r="E52" s="226" t="s">
        <v>393</v>
      </c>
      <c r="F52" s="319">
        <f>MAX(F50:F51)</f>
        <v>4</v>
      </c>
      <c r="G52" s="319"/>
    </row>
    <row r="53" spans="1:7" ht="14.25" customHeight="1">
      <c r="A53" s="228"/>
      <c r="B53" s="147"/>
      <c r="C53" s="142"/>
    </row>
    <row r="54" spans="1:7" ht="14.25" customHeight="1"/>
    <row r="55" spans="1:7" ht="14.25" customHeight="1">
      <c r="A55" s="229" t="s">
        <v>394</v>
      </c>
      <c r="B55" s="230"/>
      <c r="C55" s="231"/>
      <c r="D55" s="231"/>
    </row>
    <row r="56" spans="1:7" ht="14.25" customHeight="1">
      <c r="A56" s="232" t="s">
        <v>379</v>
      </c>
      <c r="B56" s="233" t="s">
        <v>395</v>
      </c>
      <c r="C56" s="232" t="s">
        <v>396</v>
      </c>
      <c r="D56" s="232" t="s">
        <v>265</v>
      </c>
    </row>
    <row r="57" spans="1:7" ht="14.25" customHeight="1">
      <c r="A57" s="232" t="s">
        <v>397</v>
      </c>
      <c r="B57" s="233">
        <v>12</v>
      </c>
      <c r="C57" s="232">
        <v>286.16000000000003</v>
      </c>
      <c r="D57" s="232">
        <f>C57*B57</f>
        <v>3433.92</v>
      </c>
    </row>
    <row r="58" spans="1:7" ht="14.25" customHeight="1">
      <c r="A58" s="234" t="s">
        <v>398</v>
      </c>
      <c r="B58" s="235">
        <v>7</v>
      </c>
      <c r="C58" s="234">
        <v>572.32000000000005</v>
      </c>
      <c r="D58" s="234">
        <f>C58*B58</f>
        <v>4006.2400000000002</v>
      </c>
    </row>
    <row r="59" spans="1:7" ht="14.25" customHeight="1">
      <c r="A59" s="232" t="s">
        <v>399</v>
      </c>
      <c r="B59" s="233">
        <v>12</v>
      </c>
      <c r="C59" s="232">
        <v>350.4</v>
      </c>
      <c r="D59" s="232">
        <f>C59*B59</f>
        <v>4204.7999999999993</v>
      </c>
    </row>
    <row r="60" spans="1:7" ht="14.25" customHeight="1">
      <c r="A60" s="232" t="s">
        <v>400</v>
      </c>
      <c r="B60" s="233">
        <v>12</v>
      </c>
      <c r="C60" s="232">
        <v>443.84</v>
      </c>
      <c r="D60" s="232">
        <f>C60*B60</f>
        <v>5326.08</v>
      </c>
    </row>
    <row r="61" spans="1:7" ht="14.25" customHeight="1">
      <c r="A61" s="232" t="s">
        <v>401</v>
      </c>
      <c r="B61" s="233">
        <v>7</v>
      </c>
      <c r="C61" s="232">
        <v>700.8</v>
      </c>
      <c r="D61" s="232">
        <f>C61*B61</f>
        <v>4905.5999999999995</v>
      </c>
    </row>
    <row r="62" spans="1:7" ht="14.25" customHeight="1">
      <c r="A62" s="232" t="s">
        <v>402</v>
      </c>
      <c r="B62" s="233">
        <v>7</v>
      </c>
      <c r="C62" s="232">
        <v>887.68</v>
      </c>
      <c r="D62" s="232">
        <f>C62*B62</f>
        <v>6213.7599999999993</v>
      </c>
    </row>
  </sheetData>
  <mergeCells count="9">
    <mergeCell ref="B48:C48"/>
    <mergeCell ref="F48:G48"/>
    <mergeCell ref="B52:C52"/>
    <mergeCell ref="F52:G52"/>
    <mergeCell ref="A2:R2"/>
    <mergeCell ref="L3:M3"/>
    <mergeCell ref="N3:O3"/>
    <mergeCell ref="A37:K37"/>
    <mergeCell ref="A47:G47"/>
  </mergeCells>
  <conditionalFormatting sqref="E41">
    <cfRule type="expression" dxfId="11" priority="2">
      <formula>$H$31&lt;$G$31</formula>
    </cfRule>
  </conditionalFormatting>
  <conditionalFormatting sqref="B43:B44 F41">
    <cfRule type="expression" dxfId="10" priority="3">
      <formula>#REF!*$F$51&lt;#REF!</formula>
    </cfRule>
  </conditionalFormatting>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A1:R66"/>
  <sheetViews>
    <sheetView topLeftCell="A15" zoomScale="70" zoomScaleNormal="70" workbookViewId="0">
      <selection activeCell="B15" sqref="B15"/>
    </sheetView>
  </sheetViews>
  <sheetFormatPr defaultColWidth="21" defaultRowHeight="12"/>
  <cols>
    <col min="1" max="1" width="28.85546875" style="50" customWidth="1"/>
    <col min="2" max="3" width="21.85546875" style="50" customWidth="1"/>
    <col min="4" max="4" width="23.42578125" style="50" customWidth="1"/>
    <col min="5" max="5" width="32.7109375" style="50" customWidth="1"/>
    <col min="6" max="6" width="28.7109375" style="50" customWidth="1"/>
    <col min="7" max="7" width="24.28515625" style="50" customWidth="1"/>
    <col min="8" max="8" width="26.85546875" style="50" customWidth="1"/>
    <col min="9" max="9" width="18.85546875" style="50" customWidth="1"/>
    <col min="10" max="10" width="26.85546875" style="50" customWidth="1"/>
    <col min="11" max="12" width="21" style="50"/>
    <col min="13" max="13" width="27.42578125" style="50" customWidth="1"/>
    <col min="14" max="16384" width="21" style="50"/>
  </cols>
  <sheetData>
    <row r="1" spans="1:18" ht="15" customHeight="1">
      <c r="A1" s="324" t="s">
        <v>409</v>
      </c>
      <c r="B1" s="324"/>
      <c r="C1" s="324"/>
      <c r="D1" s="324"/>
      <c r="E1" s="324"/>
      <c r="F1" s="324"/>
      <c r="G1" s="324"/>
    </row>
    <row r="2" spans="1:18">
      <c r="A2" s="325" t="s">
        <v>410</v>
      </c>
      <c r="B2" s="325"/>
      <c r="C2" s="325"/>
      <c r="D2" s="325"/>
      <c r="E2" s="325"/>
      <c r="G2" s="239"/>
    </row>
    <row r="3" spans="1:18">
      <c r="A3" s="325" t="s">
        <v>411</v>
      </c>
      <c r="B3" s="325"/>
      <c r="C3" s="325"/>
      <c r="D3" s="325"/>
      <c r="E3" s="325"/>
      <c r="G3" s="239"/>
    </row>
    <row r="4" spans="1:18">
      <c r="A4" s="325" t="s">
        <v>412</v>
      </c>
      <c r="B4" s="325"/>
      <c r="C4" s="325"/>
      <c r="D4" s="325"/>
      <c r="E4" s="325"/>
      <c r="G4" s="239"/>
    </row>
    <row r="5" spans="1:18">
      <c r="A5" s="325" t="s">
        <v>413</v>
      </c>
      <c r="B5" s="325"/>
      <c r="C5" s="325"/>
      <c r="D5" s="325"/>
      <c r="E5" s="325"/>
      <c r="G5" s="239"/>
    </row>
    <row r="6" spans="1:18">
      <c r="A6" s="325" t="s">
        <v>414</v>
      </c>
      <c r="B6" s="325"/>
      <c r="C6" s="325"/>
      <c r="D6" s="325"/>
      <c r="E6" s="325"/>
      <c r="G6" s="239"/>
    </row>
    <row r="7" spans="1:18">
      <c r="A7" s="325" t="s">
        <v>415</v>
      </c>
      <c r="B7" s="325"/>
      <c r="C7" s="325"/>
      <c r="D7" s="325"/>
      <c r="E7" s="325"/>
      <c r="G7" s="239"/>
    </row>
    <row r="8" spans="1:18">
      <c r="A8" s="325" t="s">
        <v>416</v>
      </c>
      <c r="B8" s="325"/>
      <c r="C8" s="325"/>
      <c r="D8" s="325"/>
      <c r="E8" s="325"/>
      <c r="G8" s="239"/>
    </row>
    <row r="9" spans="1:18">
      <c r="A9" s="4" t="s">
        <v>417</v>
      </c>
      <c r="B9" s="240"/>
      <c r="C9" s="240"/>
      <c r="D9" s="240"/>
      <c r="G9" s="239"/>
    </row>
    <row r="10" spans="1:18" ht="15" customHeight="1">
      <c r="A10" s="168" t="s">
        <v>418</v>
      </c>
      <c r="B10" s="241"/>
      <c r="C10" s="241"/>
      <c r="D10" s="241"/>
      <c r="E10" s="241"/>
      <c r="F10" s="241"/>
      <c r="G10" s="242"/>
    </row>
    <row r="12" spans="1:18" ht="12.75" customHeight="1">
      <c r="A12" s="193" t="s">
        <v>329</v>
      </c>
      <c r="H12" s="194"/>
      <c r="I12" s="195"/>
      <c r="J12" s="195"/>
      <c r="K12" s="196"/>
    </row>
    <row r="13" spans="1:18" ht="14.25" customHeight="1">
      <c r="A13" s="320" t="s">
        <v>330</v>
      </c>
      <c r="B13" s="320"/>
      <c r="C13" s="320"/>
      <c r="D13" s="320"/>
      <c r="E13" s="320"/>
      <c r="F13" s="320"/>
      <c r="G13" s="320"/>
      <c r="H13" s="320"/>
      <c r="I13" s="320"/>
      <c r="J13" s="320"/>
      <c r="K13" s="320"/>
      <c r="L13" s="320"/>
      <c r="M13" s="320"/>
      <c r="N13" s="320"/>
      <c r="O13" s="320"/>
      <c r="P13" s="320"/>
      <c r="Q13" s="320"/>
      <c r="R13" s="320"/>
    </row>
    <row r="14" spans="1:18" ht="14.25" customHeight="1">
      <c r="A14" s="197"/>
      <c r="B14" s="197"/>
      <c r="C14" s="197"/>
      <c r="D14" s="32"/>
      <c r="E14" s="32"/>
      <c r="F14" s="32"/>
      <c r="G14" s="32"/>
      <c r="H14" s="32"/>
      <c r="I14" s="32"/>
      <c r="J14" s="32"/>
      <c r="K14" s="32"/>
      <c r="L14" s="276" t="s">
        <v>331</v>
      </c>
      <c r="M14" s="276"/>
      <c r="N14" s="321" t="s">
        <v>332</v>
      </c>
      <c r="O14" s="321"/>
      <c r="P14" s="32"/>
      <c r="Q14" s="32"/>
      <c r="R14" s="32"/>
    </row>
    <row r="15" spans="1:18" ht="15.75" customHeight="1">
      <c r="A15" s="198" t="s">
        <v>403</v>
      </c>
      <c r="B15" s="198" t="s">
        <v>334</v>
      </c>
      <c r="C15" s="198" t="s">
        <v>335</v>
      </c>
      <c r="D15" s="198" t="s">
        <v>336</v>
      </c>
      <c r="E15" s="199" t="s">
        <v>337</v>
      </c>
      <c r="F15" s="199" t="s">
        <v>338</v>
      </c>
      <c r="G15" s="199" t="s">
        <v>339</v>
      </c>
      <c r="H15" s="199" t="s">
        <v>340</v>
      </c>
      <c r="I15" s="199" t="s">
        <v>341</v>
      </c>
      <c r="J15" s="198" t="s">
        <v>342</v>
      </c>
      <c r="K15" s="199" t="s">
        <v>343</v>
      </c>
      <c r="L15" s="198" t="s">
        <v>99</v>
      </c>
      <c r="M15" s="198" t="s">
        <v>344</v>
      </c>
      <c r="N15" s="198" t="s">
        <v>99</v>
      </c>
      <c r="O15" s="198" t="s">
        <v>344</v>
      </c>
      <c r="P15" s="198" t="s">
        <v>345</v>
      </c>
      <c r="Q15" s="198" t="s">
        <v>346</v>
      </c>
      <c r="R15" s="198" t="s">
        <v>103</v>
      </c>
    </row>
    <row r="16" spans="1:18" ht="13.5" customHeight="1">
      <c r="A16" s="200" t="s">
        <v>404</v>
      </c>
      <c r="B16" s="200">
        <v>1</v>
      </c>
      <c r="C16" s="200">
        <v>1</v>
      </c>
      <c r="D16" s="200">
        <v>1</v>
      </c>
      <c r="E16" s="236">
        <v>2</v>
      </c>
      <c r="F16" s="202">
        <v>500</v>
      </c>
      <c r="G16" s="202">
        <v>512</v>
      </c>
      <c r="H16" s="202">
        <v>1000</v>
      </c>
      <c r="I16" s="202">
        <v>1536</v>
      </c>
      <c r="J16" s="202">
        <f>6*1024</f>
        <v>6144</v>
      </c>
      <c r="K16" s="202">
        <v>0</v>
      </c>
      <c r="L16" s="202">
        <f>D16*F16</f>
        <v>500</v>
      </c>
      <c r="M16" s="202">
        <f>D16*G16</f>
        <v>512</v>
      </c>
      <c r="N16" s="202">
        <f>E16*H16</f>
        <v>2000</v>
      </c>
      <c r="O16" s="202">
        <f>E16*I16</f>
        <v>3072</v>
      </c>
      <c r="P16" s="202">
        <f>J16*3</f>
        <v>18432</v>
      </c>
      <c r="Q16" s="202">
        <f>E16*K16</f>
        <v>0</v>
      </c>
      <c r="R16" s="202"/>
    </row>
    <row r="17" spans="1:18" ht="13.5" customHeight="1">
      <c r="A17" s="200" t="s">
        <v>405</v>
      </c>
      <c r="B17" s="200">
        <v>1</v>
      </c>
      <c r="C17" s="237">
        <v>0</v>
      </c>
      <c r="D17" s="237">
        <v>0</v>
      </c>
      <c r="E17" s="238">
        <v>0</v>
      </c>
      <c r="F17" s="202">
        <v>100</v>
      </c>
      <c r="G17" s="202">
        <v>512</v>
      </c>
      <c r="H17" s="202">
        <v>300</v>
      </c>
      <c r="I17" s="202">
        <v>1536</v>
      </c>
      <c r="J17" s="202">
        <f>1024*8</f>
        <v>8192</v>
      </c>
      <c r="K17" s="202">
        <v>30</v>
      </c>
      <c r="L17" s="202">
        <f>D17*F17</f>
        <v>0</v>
      </c>
      <c r="M17" s="202">
        <f>D17*G17</f>
        <v>0</v>
      </c>
      <c r="N17" s="202">
        <f>E17*H17</f>
        <v>0</v>
      </c>
      <c r="O17" s="202">
        <f>E17*I17</f>
        <v>0</v>
      </c>
      <c r="P17" s="202">
        <f>J17*3</f>
        <v>24576</v>
      </c>
      <c r="Q17" s="202">
        <f>E17*K17</f>
        <v>0</v>
      </c>
      <c r="R17" s="202"/>
    </row>
    <row r="18" spans="1:18" ht="13.5" customHeight="1">
      <c r="A18" s="200" t="s">
        <v>406</v>
      </c>
      <c r="B18" s="200">
        <v>1</v>
      </c>
      <c r="C18" s="200">
        <v>1</v>
      </c>
      <c r="D18" s="200">
        <v>1</v>
      </c>
      <c r="E18" s="236">
        <v>2</v>
      </c>
      <c r="F18" s="202">
        <v>300</v>
      </c>
      <c r="G18" s="202">
        <v>128</v>
      </c>
      <c r="H18" s="202">
        <v>300</v>
      </c>
      <c r="I18" s="202">
        <v>128</v>
      </c>
      <c r="J18" s="202">
        <f>1024</f>
        <v>1024</v>
      </c>
      <c r="K18" s="202">
        <v>0</v>
      </c>
      <c r="L18" s="202">
        <f>D18*F18</f>
        <v>300</v>
      </c>
      <c r="M18" s="202">
        <f>D18*G18</f>
        <v>128</v>
      </c>
      <c r="N18" s="202">
        <f>E18*H18</f>
        <v>600</v>
      </c>
      <c r="O18" s="202">
        <f>E18*I18</f>
        <v>256</v>
      </c>
      <c r="P18" s="202">
        <f>J18*3</f>
        <v>3072</v>
      </c>
      <c r="Q18" s="202">
        <f>E18*K18</f>
        <v>0</v>
      </c>
      <c r="R18" s="202"/>
    </row>
    <row r="19" spans="1:18" ht="13.5" customHeight="1">
      <c r="A19" s="200" t="s">
        <v>407</v>
      </c>
      <c r="B19" s="200">
        <v>1</v>
      </c>
      <c r="C19" s="200">
        <v>1</v>
      </c>
      <c r="D19" s="200">
        <v>1</v>
      </c>
      <c r="E19" s="236">
        <v>2</v>
      </c>
      <c r="F19" s="202">
        <v>100</v>
      </c>
      <c r="G19" s="202">
        <v>128</v>
      </c>
      <c r="H19" s="202">
        <v>100</v>
      </c>
      <c r="I19" s="202">
        <v>128</v>
      </c>
      <c r="J19" s="202">
        <v>1024</v>
      </c>
      <c r="K19" s="202">
        <v>0</v>
      </c>
      <c r="L19" s="202">
        <f>D19*F19</f>
        <v>100</v>
      </c>
      <c r="M19" s="202">
        <f>D19*G19</f>
        <v>128</v>
      </c>
      <c r="N19" s="202">
        <f>E19*H19</f>
        <v>200</v>
      </c>
      <c r="O19" s="202">
        <f>E19*I19</f>
        <v>256</v>
      </c>
      <c r="P19" s="202">
        <f>J19*3</f>
        <v>3072</v>
      </c>
      <c r="Q19" s="202">
        <f>E19*K19</f>
        <v>0</v>
      </c>
      <c r="R19" s="202"/>
    </row>
    <row r="20" spans="1:18" ht="13.5" customHeight="1">
      <c r="A20" s="198" t="s">
        <v>333</v>
      </c>
      <c r="B20" s="198"/>
      <c r="C20" s="198"/>
      <c r="D20" s="198"/>
      <c r="E20" s="198"/>
      <c r="F20" s="198"/>
      <c r="G20" s="198"/>
      <c r="H20" s="198"/>
      <c r="I20" s="198"/>
      <c r="J20" s="198"/>
      <c r="K20" s="198"/>
      <c r="L20" s="198"/>
      <c r="M20" s="198"/>
      <c r="N20" s="198"/>
      <c r="O20" s="198"/>
      <c r="P20" s="198"/>
      <c r="Q20" s="198"/>
      <c r="R20" s="198"/>
    </row>
    <row r="21" spans="1:18" ht="13.5" customHeight="1">
      <c r="A21" s="200" t="s">
        <v>347</v>
      </c>
      <c r="B21" s="200">
        <v>1</v>
      </c>
      <c r="C21" s="200">
        <v>1</v>
      </c>
      <c r="D21" s="200">
        <v>1</v>
      </c>
      <c r="E21" s="243">
        <v>2</v>
      </c>
      <c r="F21" s="243">
        <v>25</v>
      </c>
      <c r="G21" s="243">
        <v>70</v>
      </c>
      <c r="H21" s="243">
        <v>50</v>
      </c>
      <c r="I21" s="243">
        <v>100</v>
      </c>
      <c r="J21" s="243">
        <v>80</v>
      </c>
      <c r="K21" s="243">
        <v>0</v>
      </c>
      <c r="L21" s="202">
        <f>D21*F21</f>
        <v>25</v>
      </c>
      <c r="M21" s="202">
        <f>D21*G21</f>
        <v>70</v>
      </c>
      <c r="N21" s="202">
        <f>E21*H21</f>
        <v>100</v>
      </c>
      <c r="O21" s="202">
        <f>E21*I21</f>
        <v>200</v>
      </c>
      <c r="P21" s="202">
        <f>J21*3</f>
        <v>240</v>
      </c>
      <c r="Q21" s="202">
        <f>E21*K21</f>
        <v>0</v>
      </c>
      <c r="R21" s="203"/>
    </row>
    <row r="22" spans="1:18" ht="13.5" customHeight="1">
      <c r="A22" s="200" t="s">
        <v>348</v>
      </c>
      <c r="B22" s="200">
        <v>1</v>
      </c>
      <c r="C22" s="200">
        <v>1</v>
      </c>
      <c r="D22" s="200">
        <v>1</v>
      </c>
      <c r="E22" s="243">
        <v>2</v>
      </c>
      <c r="F22" s="243">
        <v>100</v>
      </c>
      <c r="G22" s="243">
        <v>50</v>
      </c>
      <c r="H22" s="243">
        <v>100</v>
      </c>
      <c r="I22" s="243">
        <v>50</v>
      </c>
      <c r="J22" s="243">
        <v>60</v>
      </c>
      <c r="K22" s="243">
        <v>0</v>
      </c>
      <c r="L22" s="202">
        <f>D22*F22</f>
        <v>100</v>
      </c>
      <c r="M22" s="202">
        <f>D22*G22</f>
        <v>50</v>
      </c>
      <c r="N22" s="202">
        <f>E22*H22</f>
        <v>200</v>
      </c>
      <c r="O22" s="202">
        <f>E22*I22</f>
        <v>100</v>
      </c>
      <c r="P22" s="202">
        <f>J22*3</f>
        <v>180</v>
      </c>
      <c r="Q22" s="202">
        <f>E22*K22</f>
        <v>0</v>
      </c>
      <c r="R22" s="202"/>
    </row>
    <row r="23" spans="1:18" ht="13.5" customHeight="1">
      <c r="A23" s="200" t="s">
        <v>349</v>
      </c>
      <c r="B23" s="200">
        <v>1</v>
      </c>
      <c r="C23" s="200">
        <v>1</v>
      </c>
      <c r="D23" s="200">
        <v>1</v>
      </c>
      <c r="E23" s="243">
        <v>2</v>
      </c>
      <c r="F23" s="243">
        <v>100</v>
      </c>
      <c r="G23" s="243">
        <v>70</v>
      </c>
      <c r="H23" s="243">
        <v>100</v>
      </c>
      <c r="I23" s="243">
        <v>170</v>
      </c>
      <c r="J23" s="243">
        <v>40</v>
      </c>
      <c r="K23" s="243">
        <v>0</v>
      </c>
      <c r="L23" s="202">
        <f>D23*F23</f>
        <v>100</v>
      </c>
      <c r="M23" s="202">
        <f>D23*G23</f>
        <v>70</v>
      </c>
      <c r="N23" s="202">
        <f>E23*H23</f>
        <v>200</v>
      </c>
      <c r="O23" s="202">
        <f>E23*I23</f>
        <v>340</v>
      </c>
      <c r="P23" s="202">
        <f>J23*3</f>
        <v>120</v>
      </c>
      <c r="Q23" s="202">
        <f>E23*K23</f>
        <v>0</v>
      </c>
      <c r="R23" s="203"/>
    </row>
    <row r="24" spans="1:18" ht="13.5" customHeight="1">
      <c r="A24" s="200" t="s">
        <v>350</v>
      </c>
      <c r="B24" s="200">
        <v>1</v>
      </c>
      <c r="C24" s="200">
        <v>1</v>
      </c>
      <c r="D24" s="200">
        <v>1</v>
      </c>
      <c r="E24" s="243">
        <v>2</v>
      </c>
      <c r="F24" s="243">
        <v>100</v>
      </c>
      <c r="G24" s="243">
        <v>128</v>
      </c>
      <c r="H24" s="243">
        <v>100</v>
      </c>
      <c r="I24" s="243">
        <v>128</v>
      </c>
      <c r="J24" s="243">
        <v>50</v>
      </c>
      <c r="K24" s="243">
        <v>0</v>
      </c>
      <c r="L24" s="202">
        <f>D24*F24</f>
        <v>100</v>
      </c>
      <c r="M24" s="202">
        <f>D24*G24</f>
        <v>128</v>
      </c>
      <c r="N24" s="202">
        <f>E24*H24</f>
        <v>200</v>
      </c>
      <c r="O24" s="202">
        <f>E24*I24</f>
        <v>256</v>
      </c>
      <c r="P24" s="202">
        <f>J24*3</f>
        <v>150</v>
      </c>
      <c r="Q24" s="202">
        <f>E24*K24</f>
        <v>0</v>
      </c>
      <c r="R24" s="203"/>
    </row>
    <row r="25" spans="1:18" ht="13.5" customHeight="1">
      <c r="A25" s="205" t="s">
        <v>351</v>
      </c>
      <c r="B25" s="205">
        <v>1</v>
      </c>
      <c r="C25" s="205">
        <v>1</v>
      </c>
      <c r="D25" s="205">
        <v>1</v>
      </c>
      <c r="E25" s="244">
        <v>2</v>
      </c>
      <c r="F25" s="244">
        <v>100</v>
      </c>
      <c r="G25" s="244">
        <v>200</v>
      </c>
      <c r="H25" s="244">
        <v>100</v>
      </c>
      <c r="I25" s="244">
        <v>200</v>
      </c>
      <c r="J25" s="244">
        <v>50</v>
      </c>
      <c r="K25" s="244">
        <v>0</v>
      </c>
      <c r="L25" s="202">
        <f>D25*F25</f>
        <v>100</v>
      </c>
      <c r="M25" s="202">
        <f>D25*G25</f>
        <v>200</v>
      </c>
      <c r="N25" s="202">
        <f>E25*H25</f>
        <v>200</v>
      </c>
      <c r="O25" s="202">
        <f>E25*I25</f>
        <v>400</v>
      </c>
      <c r="P25" s="202">
        <f>J25*3</f>
        <v>150</v>
      </c>
      <c r="Q25" s="202">
        <f>E25*K25</f>
        <v>0</v>
      </c>
      <c r="R25" s="203"/>
    </row>
    <row r="26" spans="1:18" ht="13.5" customHeight="1">
      <c r="A26" s="245" t="s">
        <v>352</v>
      </c>
      <c r="B26" s="205">
        <v>1</v>
      </c>
      <c r="C26" s="205">
        <v>1</v>
      </c>
      <c r="D26" s="205">
        <v>1</v>
      </c>
      <c r="E26" s="244">
        <v>2</v>
      </c>
      <c r="F26" s="244">
        <v>100</v>
      </c>
      <c r="G26" s="244">
        <v>600</v>
      </c>
      <c r="H26" s="244">
        <v>100</v>
      </c>
      <c r="I26" s="244">
        <v>600</v>
      </c>
      <c r="J26" s="244">
        <v>50</v>
      </c>
      <c r="K26" s="244">
        <v>0</v>
      </c>
      <c r="L26" s="202">
        <f>D26*F26</f>
        <v>100</v>
      </c>
      <c r="M26" s="202">
        <f>D26*G26</f>
        <v>600</v>
      </c>
      <c r="N26" s="202">
        <f>E26*H26</f>
        <v>200</v>
      </c>
      <c r="O26" s="202">
        <f>E26*I26</f>
        <v>1200</v>
      </c>
      <c r="P26" s="202">
        <f>J26*3</f>
        <v>150</v>
      </c>
      <c r="Q26" s="202">
        <f>E26*K26</f>
        <v>0</v>
      </c>
      <c r="R26" s="203"/>
    </row>
    <row r="27" spans="1:18" ht="15.75" customHeight="1">
      <c r="A27" s="198" t="s">
        <v>408</v>
      </c>
      <c r="B27" s="198"/>
      <c r="C27" s="198"/>
      <c r="D27" s="198"/>
      <c r="E27" s="198"/>
      <c r="F27" s="198"/>
      <c r="G27" s="198"/>
      <c r="H27" s="198"/>
      <c r="I27" s="198"/>
      <c r="J27" s="198"/>
      <c r="K27" s="198"/>
      <c r="L27" s="198"/>
      <c r="M27" s="198"/>
      <c r="N27" s="198"/>
      <c r="O27" s="198"/>
      <c r="P27" s="198"/>
      <c r="Q27" s="198"/>
      <c r="R27" s="198"/>
    </row>
    <row r="28" spans="1:18" ht="13.5" customHeight="1">
      <c r="A28" s="200" t="s">
        <v>408</v>
      </c>
      <c r="B28" s="200">
        <v>1</v>
      </c>
      <c r="C28" s="237">
        <v>0</v>
      </c>
      <c r="D28" s="237">
        <v>0</v>
      </c>
      <c r="E28" s="238">
        <v>0</v>
      </c>
      <c r="F28" s="201">
        <v>250</v>
      </c>
      <c r="G28" s="201">
        <v>512</v>
      </c>
      <c r="H28" s="201">
        <v>1000</v>
      </c>
      <c r="I28" s="201">
        <v>2048</v>
      </c>
      <c r="J28" s="201">
        <v>1024</v>
      </c>
      <c r="K28" s="201">
        <v>0</v>
      </c>
      <c r="L28" s="202">
        <f>D28*F28</f>
        <v>0</v>
      </c>
      <c r="M28" s="202">
        <f>D28*G28</f>
        <v>0</v>
      </c>
      <c r="N28" s="202">
        <f>E28*H28</f>
        <v>0</v>
      </c>
      <c r="O28" s="202">
        <f>E28*I28</f>
        <v>0</v>
      </c>
      <c r="P28" s="202">
        <f>J28*3</f>
        <v>3072</v>
      </c>
      <c r="Q28" s="202">
        <f>E28*K28</f>
        <v>0</v>
      </c>
      <c r="R28" s="203"/>
    </row>
    <row r="29" spans="1:18" ht="15.75" customHeight="1">
      <c r="A29" s="198" t="s">
        <v>353</v>
      </c>
      <c r="B29" s="198"/>
      <c r="C29" s="198"/>
      <c r="D29" s="198"/>
      <c r="E29" s="199"/>
      <c r="F29" s="199"/>
      <c r="G29" s="199"/>
      <c r="H29" s="199"/>
      <c r="I29" s="199"/>
      <c r="J29" s="199"/>
      <c r="K29" s="199"/>
      <c r="L29" s="199"/>
      <c r="M29" s="199"/>
      <c r="N29" s="199"/>
      <c r="O29" s="199"/>
      <c r="P29" s="199"/>
      <c r="Q29" s="199"/>
      <c r="R29" s="199"/>
    </row>
    <row r="30" spans="1:18" ht="13.5" customHeight="1">
      <c r="A30" s="205" t="s">
        <v>354</v>
      </c>
      <c r="B30" s="205">
        <v>1</v>
      </c>
      <c r="C30" s="205">
        <v>1</v>
      </c>
      <c r="D30" s="205">
        <v>1</v>
      </c>
      <c r="E30" s="206">
        <v>2</v>
      </c>
      <c r="F30" s="207">
        <v>25</v>
      </c>
      <c r="G30" s="207">
        <v>100</v>
      </c>
      <c r="H30" s="207">
        <v>100</v>
      </c>
      <c r="I30" s="207">
        <v>100</v>
      </c>
      <c r="J30" s="207">
        <v>50</v>
      </c>
      <c r="K30" s="207">
        <v>0</v>
      </c>
      <c r="L30" s="202">
        <f>D30*F30</f>
        <v>25</v>
      </c>
      <c r="M30" s="202">
        <f>D30*G30</f>
        <v>100</v>
      </c>
      <c r="N30" s="202">
        <f>E30*H30</f>
        <v>200</v>
      </c>
      <c r="O30" s="202">
        <f>E30*I30</f>
        <v>200</v>
      </c>
      <c r="P30" s="202">
        <f>J30*3</f>
        <v>150</v>
      </c>
      <c r="Q30" s="202">
        <f>E30*K30</f>
        <v>0</v>
      </c>
      <c r="R30" s="202"/>
    </row>
    <row r="31" spans="1:18" ht="15.75" customHeight="1">
      <c r="A31" s="198" t="s">
        <v>355</v>
      </c>
      <c r="B31" s="198"/>
      <c r="C31" s="198"/>
      <c r="D31" s="198"/>
      <c r="E31" s="199"/>
      <c r="F31" s="199"/>
      <c r="G31" s="199"/>
      <c r="H31" s="199"/>
      <c r="I31" s="199"/>
      <c r="J31" s="199"/>
      <c r="K31" s="199"/>
      <c r="L31" s="199"/>
      <c r="M31" s="199"/>
      <c r="N31" s="199"/>
      <c r="O31" s="199"/>
      <c r="P31" s="199"/>
      <c r="Q31" s="199"/>
      <c r="R31" s="199"/>
    </row>
    <row r="32" spans="1:18" ht="13.5" customHeight="1">
      <c r="A32" s="208" t="s">
        <v>356</v>
      </c>
      <c r="B32" s="208">
        <v>1</v>
      </c>
      <c r="C32" s="208">
        <v>2</v>
      </c>
      <c r="D32" s="208">
        <v>2</v>
      </c>
      <c r="E32" s="208">
        <v>4</v>
      </c>
      <c r="F32" s="208">
        <v>500</v>
      </c>
      <c r="G32" s="208">
        <v>1024</v>
      </c>
      <c r="H32" s="208">
        <v>1500</v>
      </c>
      <c r="I32" s="208">
        <v>2048</v>
      </c>
      <c r="J32" s="208">
        <v>2048</v>
      </c>
      <c r="K32" s="208">
        <v>0</v>
      </c>
      <c r="L32" s="202">
        <f>D32*F32</f>
        <v>1000</v>
      </c>
      <c r="M32" s="202">
        <f>D32*G32</f>
        <v>2048</v>
      </c>
      <c r="N32" s="202">
        <f>E32*H32</f>
        <v>6000</v>
      </c>
      <c r="O32" s="202">
        <f>E32*I32</f>
        <v>8192</v>
      </c>
      <c r="P32" s="202">
        <f>J32*3</f>
        <v>6144</v>
      </c>
      <c r="Q32" s="202">
        <f>E32*H32</f>
        <v>6000</v>
      </c>
      <c r="R32" s="202"/>
    </row>
    <row r="33" spans="1:18" ht="13.5" customHeight="1">
      <c r="A33" s="208" t="s">
        <v>357</v>
      </c>
      <c r="B33" s="208">
        <v>1</v>
      </c>
      <c r="C33" s="208">
        <v>2</v>
      </c>
      <c r="D33" s="208">
        <v>2</v>
      </c>
      <c r="E33" s="208">
        <v>4</v>
      </c>
      <c r="F33" s="208">
        <v>500</v>
      </c>
      <c r="G33" s="208">
        <v>1024</v>
      </c>
      <c r="H33" s="208">
        <v>1500</v>
      </c>
      <c r="I33" s="208">
        <v>2048</v>
      </c>
      <c r="J33" s="208">
        <v>2048</v>
      </c>
      <c r="K33" s="208">
        <v>0</v>
      </c>
      <c r="L33" s="202">
        <f>D33*F33</f>
        <v>1000</v>
      </c>
      <c r="M33" s="202">
        <f>D33*G33</f>
        <v>2048</v>
      </c>
      <c r="N33" s="202">
        <f>E33*H33</f>
        <v>6000</v>
      </c>
      <c r="O33" s="202">
        <f>E33*I33</f>
        <v>8192</v>
      </c>
      <c r="P33" s="202">
        <f>J33*3</f>
        <v>6144</v>
      </c>
      <c r="Q33" s="202">
        <f>E33*H33</f>
        <v>6000</v>
      </c>
      <c r="R33" s="202"/>
    </row>
    <row r="34" spans="1:18" ht="13.5" customHeight="1">
      <c r="A34" s="208" t="s">
        <v>358</v>
      </c>
      <c r="B34" s="208">
        <v>1</v>
      </c>
      <c r="C34" s="208">
        <v>2</v>
      </c>
      <c r="D34" s="208">
        <v>2</v>
      </c>
      <c r="E34" s="208">
        <v>4</v>
      </c>
      <c r="F34" s="208">
        <v>500</v>
      </c>
      <c r="G34" s="208">
        <v>1024</v>
      </c>
      <c r="H34" s="208">
        <v>1500</v>
      </c>
      <c r="I34" s="208">
        <v>2048</v>
      </c>
      <c r="J34" s="208">
        <v>2048</v>
      </c>
      <c r="K34" s="208">
        <v>0</v>
      </c>
      <c r="L34" s="202">
        <f>D34*F34</f>
        <v>1000</v>
      </c>
      <c r="M34" s="202">
        <f>D34*G34</f>
        <v>2048</v>
      </c>
      <c r="N34" s="202">
        <f>E34*H34</f>
        <v>6000</v>
      </c>
      <c r="O34" s="202">
        <f>E34*I34</f>
        <v>8192</v>
      </c>
      <c r="P34" s="202">
        <f>J34*3</f>
        <v>6144</v>
      </c>
      <c r="Q34" s="202">
        <f>E34*H34</f>
        <v>6000</v>
      </c>
      <c r="R34" s="202"/>
    </row>
    <row r="35" spans="1:18" ht="13.5" customHeight="1">
      <c r="A35" s="208" t="s">
        <v>359</v>
      </c>
      <c r="B35" s="208">
        <v>1</v>
      </c>
      <c r="C35" s="208">
        <v>2</v>
      </c>
      <c r="D35" s="208">
        <v>2</v>
      </c>
      <c r="E35" s="208">
        <v>4</v>
      </c>
      <c r="F35" s="208">
        <v>400</v>
      </c>
      <c r="G35" s="208">
        <v>768</v>
      </c>
      <c r="H35" s="208">
        <v>1200</v>
      </c>
      <c r="I35" s="208">
        <v>1536</v>
      </c>
      <c r="J35" s="208">
        <v>2048</v>
      </c>
      <c r="K35" s="208">
        <v>0</v>
      </c>
      <c r="L35" s="202">
        <f>D35*F35</f>
        <v>800</v>
      </c>
      <c r="M35" s="202">
        <f>D35*G35</f>
        <v>1536</v>
      </c>
      <c r="N35" s="202">
        <f>E35*H35</f>
        <v>4800</v>
      </c>
      <c r="O35" s="202">
        <f>E35*I35</f>
        <v>6144</v>
      </c>
      <c r="P35" s="202">
        <f>J35*3</f>
        <v>6144</v>
      </c>
      <c r="Q35" s="202">
        <f>E35*H35</f>
        <v>4800</v>
      </c>
      <c r="R35" s="202"/>
    </row>
    <row r="36" spans="1:18" ht="13.5" customHeight="1">
      <c r="A36" s="208" t="s">
        <v>360</v>
      </c>
      <c r="B36" s="208">
        <v>1</v>
      </c>
      <c r="C36" s="208">
        <v>2</v>
      </c>
      <c r="D36" s="208">
        <v>2</v>
      </c>
      <c r="E36" s="208">
        <v>4</v>
      </c>
      <c r="F36" s="208">
        <v>200</v>
      </c>
      <c r="G36" s="208">
        <v>256</v>
      </c>
      <c r="H36" s="208">
        <v>500</v>
      </c>
      <c r="I36" s="208">
        <v>512</v>
      </c>
      <c r="J36" s="208">
        <v>1024</v>
      </c>
      <c r="K36" s="208">
        <v>0</v>
      </c>
      <c r="L36" s="202">
        <f>D36*F36</f>
        <v>400</v>
      </c>
      <c r="M36" s="202">
        <f>D36*G36</f>
        <v>512</v>
      </c>
      <c r="N36" s="202">
        <f>E36*H36</f>
        <v>2000</v>
      </c>
      <c r="O36" s="202">
        <f>E36*I36</f>
        <v>2048</v>
      </c>
      <c r="P36" s="202">
        <f>J36*3</f>
        <v>3072</v>
      </c>
      <c r="Q36" s="202">
        <f>E36*H36</f>
        <v>2000</v>
      </c>
      <c r="R36" s="202"/>
    </row>
    <row r="37" spans="1:18" ht="15.75" customHeight="1">
      <c r="A37" s="198" t="s">
        <v>361</v>
      </c>
      <c r="B37" s="198"/>
      <c r="C37" s="198"/>
      <c r="D37" s="198"/>
      <c r="E37" s="199"/>
      <c r="F37" s="199"/>
      <c r="G37" s="199"/>
      <c r="H37" s="199"/>
      <c r="I37" s="199"/>
      <c r="J37" s="199"/>
      <c r="K37" s="199"/>
      <c r="L37" s="199"/>
      <c r="M37" s="199"/>
      <c r="N37" s="199"/>
      <c r="O37" s="199"/>
      <c r="P37" s="199"/>
      <c r="Q37" s="199"/>
      <c r="R37" s="199"/>
    </row>
    <row r="38" spans="1:18" ht="13.5" customHeight="1">
      <c r="A38" s="208" t="s">
        <v>362</v>
      </c>
      <c r="B38" s="208">
        <v>1</v>
      </c>
      <c r="C38" s="208">
        <v>2</v>
      </c>
      <c r="D38" s="208">
        <v>2</v>
      </c>
      <c r="E38" s="208">
        <v>4</v>
      </c>
      <c r="F38" s="208">
        <v>500</v>
      </c>
      <c r="G38" s="208">
        <v>512</v>
      </c>
      <c r="H38" s="208">
        <v>1000</v>
      </c>
      <c r="I38" s="208">
        <v>1024</v>
      </c>
      <c r="J38" s="208">
        <v>1024</v>
      </c>
      <c r="K38" s="208">
        <v>0</v>
      </c>
      <c r="L38" s="202">
        <f>D38*F38</f>
        <v>1000</v>
      </c>
      <c r="M38" s="202">
        <f>D38*G38</f>
        <v>1024</v>
      </c>
      <c r="N38" s="202">
        <f>E38*H38</f>
        <v>4000</v>
      </c>
      <c r="O38" s="202">
        <f>E38*I38</f>
        <v>4096</v>
      </c>
      <c r="P38" s="202">
        <f>J38*3</f>
        <v>3072</v>
      </c>
      <c r="Q38" s="202">
        <f>E38*H38</f>
        <v>4000</v>
      </c>
      <c r="R38" s="202"/>
    </row>
    <row r="39" spans="1:18" ht="13.5" customHeight="1">
      <c r="A39" s="208" t="s">
        <v>363</v>
      </c>
      <c r="B39" s="208">
        <v>1</v>
      </c>
      <c r="C39" s="208">
        <v>2</v>
      </c>
      <c r="D39" s="208">
        <v>2</v>
      </c>
      <c r="E39" s="208">
        <v>4</v>
      </c>
      <c r="F39" s="208">
        <v>400</v>
      </c>
      <c r="G39" s="208">
        <v>768</v>
      </c>
      <c r="H39" s="208">
        <v>1000</v>
      </c>
      <c r="I39" s="208">
        <v>1536</v>
      </c>
      <c r="J39" s="208">
        <v>1024</v>
      </c>
      <c r="K39" s="208">
        <v>0</v>
      </c>
      <c r="L39" s="202">
        <f>D39*F39</f>
        <v>800</v>
      </c>
      <c r="M39" s="202">
        <f>D39*G39</f>
        <v>1536</v>
      </c>
      <c r="N39" s="202">
        <f>E39*H39</f>
        <v>4000</v>
      </c>
      <c r="O39" s="202">
        <f>E39*I39</f>
        <v>6144</v>
      </c>
      <c r="P39" s="202">
        <f>J39*3</f>
        <v>3072</v>
      </c>
      <c r="Q39" s="202">
        <f>E39*H39</f>
        <v>4000</v>
      </c>
      <c r="R39" s="202"/>
    </row>
    <row r="40" spans="1:18" ht="13.5" customHeight="1">
      <c r="A40" s="208" t="s">
        <v>364</v>
      </c>
      <c r="B40" s="208">
        <v>1</v>
      </c>
      <c r="C40" s="208">
        <v>2</v>
      </c>
      <c r="D40" s="208">
        <v>2</v>
      </c>
      <c r="E40" s="208">
        <v>4</v>
      </c>
      <c r="F40" s="208">
        <v>500</v>
      </c>
      <c r="G40" s="208">
        <v>1024</v>
      </c>
      <c r="H40" s="208">
        <v>1500</v>
      </c>
      <c r="I40" s="208">
        <v>2048</v>
      </c>
      <c r="J40" s="208">
        <v>2048</v>
      </c>
      <c r="K40" s="208">
        <v>0</v>
      </c>
      <c r="L40" s="202">
        <f>D40*F40</f>
        <v>1000</v>
      </c>
      <c r="M40" s="202">
        <f>D40*G40</f>
        <v>2048</v>
      </c>
      <c r="N40" s="202">
        <f>E40*H40</f>
        <v>6000</v>
      </c>
      <c r="O40" s="202">
        <f>E40*I40</f>
        <v>8192</v>
      </c>
      <c r="P40" s="202">
        <f>J40*3</f>
        <v>6144</v>
      </c>
      <c r="Q40" s="202">
        <f>E40*H40</f>
        <v>6000</v>
      </c>
      <c r="R40" s="202"/>
    </row>
    <row r="41" spans="1:18" ht="13.5" customHeight="1">
      <c r="A41" s="208" t="s">
        <v>365</v>
      </c>
      <c r="B41" s="208">
        <v>1</v>
      </c>
      <c r="C41" s="208">
        <v>2</v>
      </c>
      <c r="D41" s="208">
        <v>2</v>
      </c>
      <c r="E41" s="208">
        <v>4</v>
      </c>
      <c r="F41" s="208">
        <v>400</v>
      </c>
      <c r="G41" s="208">
        <v>768</v>
      </c>
      <c r="H41" s="208">
        <v>1200</v>
      </c>
      <c r="I41" s="208">
        <v>1536</v>
      </c>
      <c r="J41" s="208">
        <v>2048</v>
      </c>
      <c r="K41" s="208">
        <v>20</v>
      </c>
      <c r="L41" s="202">
        <f>D41*F41</f>
        <v>800</v>
      </c>
      <c r="M41" s="202">
        <f>D41*G41</f>
        <v>1536</v>
      </c>
      <c r="N41" s="202">
        <f>E41*H41</f>
        <v>4800</v>
      </c>
      <c r="O41" s="202">
        <f>E41*I41</f>
        <v>6144</v>
      </c>
      <c r="P41" s="202">
        <f>J41*3</f>
        <v>6144</v>
      </c>
      <c r="Q41" s="202">
        <f>E41*H41</f>
        <v>4800</v>
      </c>
      <c r="R41" s="202"/>
    </row>
    <row r="42" spans="1:18" ht="13.5" customHeight="1">
      <c r="A42" s="208" t="s">
        <v>366</v>
      </c>
      <c r="B42" s="208">
        <v>1</v>
      </c>
      <c r="C42" s="208">
        <v>1</v>
      </c>
      <c r="D42" s="208">
        <v>1</v>
      </c>
      <c r="E42" s="208">
        <v>2</v>
      </c>
      <c r="F42" s="208">
        <v>400</v>
      </c>
      <c r="G42" s="208">
        <v>768</v>
      </c>
      <c r="H42" s="208">
        <v>1200</v>
      </c>
      <c r="I42" s="208">
        <v>1536</v>
      </c>
      <c r="J42" s="208">
        <v>2048</v>
      </c>
      <c r="K42" s="208">
        <v>0</v>
      </c>
      <c r="L42" s="202">
        <f>D42*F42</f>
        <v>400</v>
      </c>
      <c r="M42" s="202">
        <f>D42*G42</f>
        <v>768</v>
      </c>
      <c r="N42" s="202">
        <f>E42*H42</f>
        <v>2400</v>
      </c>
      <c r="O42" s="202">
        <f>E42*I42</f>
        <v>3072</v>
      </c>
      <c r="P42" s="202">
        <f>J42*3</f>
        <v>6144</v>
      </c>
      <c r="Q42" s="202"/>
      <c r="R42" s="202"/>
    </row>
    <row r="43" spans="1:18" ht="12.75" customHeight="1">
      <c r="A43" s="198" t="s">
        <v>367</v>
      </c>
      <c r="B43" s="198"/>
      <c r="C43" s="198"/>
      <c r="D43" s="198"/>
      <c r="E43" s="209">
        <f>SUM(E16:E42)</f>
        <v>58</v>
      </c>
      <c r="F43" s="198"/>
      <c r="G43" s="198"/>
      <c r="H43" s="198"/>
      <c r="I43" s="198"/>
      <c r="J43" s="198"/>
      <c r="K43" s="198"/>
      <c r="L43" s="198">
        <f>SUM(L16:L42)</f>
        <v>9650</v>
      </c>
      <c r="M43" s="198">
        <f>SUM(M16:M42)</f>
        <v>17090</v>
      </c>
      <c r="N43" s="198">
        <f>SUM(N16:N42)</f>
        <v>50100</v>
      </c>
      <c r="O43" s="198">
        <f>SUM(O16:O42)</f>
        <v>66696</v>
      </c>
      <c r="P43" s="198">
        <f>SUM(P16:P42)</f>
        <v>105588</v>
      </c>
      <c r="Q43" s="198">
        <f>SUM(Q16:Q42)</f>
        <v>43600</v>
      </c>
      <c r="R43" s="198"/>
    </row>
    <row r="44" spans="1:18" ht="14.25" customHeight="1">
      <c r="L44" s="195">
        <f>CEILING(L43/1024,1)</f>
        <v>10</v>
      </c>
      <c r="M44" s="195">
        <f>CEILING(M43/1024,1)</f>
        <v>17</v>
      </c>
      <c r="N44" s="195">
        <f>CEILING(N43/1024,1)</f>
        <v>49</v>
      </c>
      <c r="O44" s="195">
        <f>CEILING(O43/1024,1)</f>
        <v>66</v>
      </c>
      <c r="P44" s="195">
        <f>CEILING(P43/1024,1)</f>
        <v>104</v>
      </c>
      <c r="Q44" s="195">
        <f>Q43</f>
        <v>43600</v>
      </c>
    </row>
    <row r="45" spans="1:18" ht="14.25" customHeight="1">
      <c r="A45" s="142"/>
      <c r="B45" s="142"/>
      <c r="C45" s="147"/>
      <c r="D45" s="147"/>
      <c r="E45" s="147"/>
      <c r="F45" s="147"/>
      <c r="K45" s="194" t="s">
        <v>368</v>
      </c>
      <c r="L45" s="195">
        <f>CEILING(L44/E50,1)</f>
        <v>13</v>
      </c>
      <c r="M45" s="195">
        <f>CEILING(M44/E50,1)</f>
        <v>22</v>
      </c>
      <c r="N45" s="195">
        <f>CEILING(N44/E50,1)</f>
        <v>63</v>
      </c>
      <c r="O45" s="195">
        <f>CEILING(O44/E50,1)</f>
        <v>84</v>
      </c>
      <c r="P45" s="195">
        <f>CEILING(P44/E50,1)</f>
        <v>132</v>
      </c>
      <c r="Q45" s="195">
        <f>CEILING(Q44/E50,1)</f>
        <v>55190</v>
      </c>
    </row>
    <row r="46" spans="1:18" ht="14.25" customHeight="1">
      <c r="K46" s="210" t="s">
        <v>369</v>
      </c>
      <c r="L46" s="142" t="s">
        <v>370</v>
      </c>
      <c r="M46" s="142" t="s">
        <v>371</v>
      </c>
      <c r="N46" s="142" t="s">
        <v>370</v>
      </c>
      <c r="O46" s="142" t="s">
        <v>371</v>
      </c>
      <c r="P46" s="142" t="s">
        <v>372</v>
      </c>
      <c r="Q46" s="142" t="s">
        <v>277</v>
      </c>
    </row>
    <row r="47" spans="1:18" ht="63" customHeight="1">
      <c r="K47" s="210"/>
      <c r="L47" s="142"/>
      <c r="M47" s="142"/>
      <c r="N47" s="142"/>
      <c r="O47" s="142"/>
      <c r="P47" s="28" t="s">
        <v>373</v>
      </c>
      <c r="Q47" s="28" t="s">
        <v>374</v>
      </c>
    </row>
    <row r="48" spans="1:18" ht="14.25" customHeight="1">
      <c r="A48" s="322" t="s">
        <v>375</v>
      </c>
      <c r="B48" s="322"/>
      <c r="C48" s="322"/>
      <c r="D48" s="322"/>
      <c r="E48" s="322"/>
      <c r="F48" s="322"/>
      <c r="G48" s="322"/>
      <c r="H48" s="322"/>
      <c r="I48" s="322"/>
      <c r="J48" s="322"/>
      <c r="K48" s="322"/>
      <c r="L48" s="211"/>
      <c r="M48" s="211"/>
      <c r="N48" s="211"/>
      <c r="O48" s="211"/>
      <c r="P48" s="211"/>
    </row>
    <row r="49" spans="1:16" ht="14.25" customHeight="1">
      <c r="A49" s="210"/>
    </row>
    <row r="50" spans="1:16" ht="14.25" customHeight="1">
      <c r="A50" s="2" t="s">
        <v>376</v>
      </c>
      <c r="B50" s="208">
        <v>3</v>
      </c>
      <c r="D50" s="197" t="s">
        <v>377</v>
      </c>
      <c r="E50" s="212">
        <v>0.79</v>
      </c>
    </row>
    <row r="51" spans="1:16" ht="14.25" customHeight="1">
      <c r="B51" s="213" t="s">
        <v>378</v>
      </c>
      <c r="C51" s="213" t="s">
        <v>379</v>
      </c>
      <c r="D51" s="213" t="s">
        <v>380</v>
      </c>
      <c r="E51" s="213" t="s">
        <v>381</v>
      </c>
      <c r="F51" s="213" t="s">
        <v>382</v>
      </c>
    </row>
    <row r="52" spans="1:16" ht="14.25" customHeight="1">
      <c r="A52" s="210" t="s">
        <v>99</v>
      </c>
      <c r="B52" s="214">
        <f>VLOOKUP(C52,'Ref - ENI Max Pods'!A1:D24,2,FALSE())</f>
        <v>16</v>
      </c>
      <c r="C52" s="215" t="s">
        <v>383</v>
      </c>
      <c r="D52" s="216">
        <f>Q44</f>
        <v>43600</v>
      </c>
      <c r="E52" s="216">
        <f>E43</f>
        <v>58</v>
      </c>
      <c r="F52" s="214">
        <f>B54*F63</f>
        <v>936</v>
      </c>
    </row>
    <row r="53" spans="1:16" ht="14.25" customHeight="1">
      <c r="A53" s="210" t="s">
        <v>384</v>
      </c>
      <c r="B53" s="214">
        <f>VLOOKUP(C52,'Ref - ENI Max Pods'!A2:D25,3,FALSE())</f>
        <v>64</v>
      </c>
    </row>
    <row r="54" spans="1:16" ht="14.25" customHeight="1">
      <c r="A54" s="210" t="s">
        <v>385</v>
      </c>
      <c r="B54" s="214">
        <f>VLOOKUP(C52,'Ref - ENI Max Pods'!A3:D26,4,FALSE())</f>
        <v>234</v>
      </c>
    </row>
    <row r="55" spans="1:16" ht="14.25" customHeight="1">
      <c r="A55" s="210"/>
      <c r="B55" s="217"/>
    </row>
    <row r="56" spans="1:16" ht="14.25" customHeight="1">
      <c r="A56" s="218"/>
      <c r="B56" s="219"/>
      <c r="C56" s="219"/>
      <c r="D56" s="219"/>
      <c r="E56" s="219"/>
      <c r="F56" s="219"/>
      <c r="G56" s="219"/>
      <c r="H56" s="219"/>
      <c r="I56" s="219"/>
      <c r="J56" s="219"/>
      <c r="K56" s="219"/>
      <c r="L56" s="219"/>
      <c r="M56" s="219"/>
      <c r="N56" s="219"/>
      <c r="O56" s="219"/>
      <c r="P56" s="219"/>
    </row>
    <row r="57" spans="1:16" ht="14.25" customHeight="1">
      <c r="A57" s="193" t="s">
        <v>386</v>
      </c>
    </row>
    <row r="58" spans="1:16" ht="14.25" customHeight="1">
      <c r="A58" s="323" t="s">
        <v>387</v>
      </c>
      <c r="B58" s="323"/>
      <c r="C58" s="323"/>
      <c r="D58" s="323"/>
      <c r="E58" s="323"/>
      <c r="F58" s="323"/>
      <c r="G58" s="323"/>
      <c r="H58" s="193"/>
      <c r="I58" s="246" t="s">
        <v>394</v>
      </c>
      <c r="J58" s="247"/>
      <c r="K58" s="248"/>
      <c r="L58" s="248"/>
    </row>
    <row r="59" spans="1:16" ht="12.75" customHeight="1">
      <c r="A59" s="220" t="s">
        <v>388</v>
      </c>
      <c r="B59" s="317" t="s">
        <v>389</v>
      </c>
      <c r="C59" s="317"/>
      <c r="E59" s="220" t="s">
        <v>388</v>
      </c>
      <c r="F59" s="317" t="s">
        <v>389</v>
      </c>
      <c r="G59" s="317"/>
      <c r="I59" s="232" t="s">
        <v>379</v>
      </c>
      <c r="J59" s="233" t="s">
        <v>395</v>
      </c>
      <c r="K59" s="232" t="s">
        <v>396</v>
      </c>
      <c r="L59" s="232" t="s">
        <v>265</v>
      </c>
    </row>
    <row r="60" spans="1:16" ht="12.75" customHeight="1">
      <c r="A60" s="221"/>
      <c r="B60" s="2" t="s">
        <v>390</v>
      </c>
      <c r="C60" s="2" t="s">
        <v>391</v>
      </c>
      <c r="E60" s="221"/>
      <c r="F60" s="2" t="s">
        <v>390</v>
      </c>
      <c r="G60" s="222" t="s">
        <v>391</v>
      </c>
      <c r="I60" s="232" t="s">
        <v>397</v>
      </c>
      <c r="J60" s="233">
        <v>12</v>
      </c>
      <c r="K60" s="232">
        <v>286.16000000000003</v>
      </c>
      <c r="L60" s="232">
        <f>K60*J60</f>
        <v>3433.92</v>
      </c>
    </row>
    <row r="61" spans="1:16" ht="12.75" customHeight="1">
      <c r="A61" s="223" t="s">
        <v>99</v>
      </c>
      <c r="B61" s="206">
        <f>ROUNDUP(C61/B52,0)</f>
        <v>1</v>
      </c>
      <c r="C61" s="206">
        <f>L45</f>
        <v>13</v>
      </c>
      <c r="E61" s="223" t="s">
        <v>99</v>
      </c>
      <c r="F61" s="206">
        <f>ROUNDUP(G61/B52,0)</f>
        <v>4</v>
      </c>
      <c r="G61" s="224">
        <f>N45</f>
        <v>63</v>
      </c>
      <c r="I61" s="234" t="s">
        <v>398</v>
      </c>
      <c r="J61" s="235">
        <v>7</v>
      </c>
      <c r="K61" s="234">
        <v>572.32000000000005</v>
      </c>
      <c r="L61" s="234">
        <f>K61*J61</f>
        <v>4006.2400000000002</v>
      </c>
    </row>
    <row r="62" spans="1:16" ht="12.75" customHeight="1">
      <c r="A62" s="249" t="s">
        <v>384</v>
      </c>
      <c r="B62" s="206">
        <f>ROUNDUP(C62/B53,0)</f>
        <v>1</v>
      </c>
      <c r="C62" s="206">
        <f>M45</f>
        <v>22</v>
      </c>
      <c r="E62" s="223" t="s">
        <v>384</v>
      </c>
      <c r="F62" s="206">
        <f>ROUNDUP(G62/B53,0)</f>
        <v>2</v>
      </c>
      <c r="G62" s="224">
        <f>O45</f>
        <v>84</v>
      </c>
      <c r="I62" s="232" t="s">
        <v>399</v>
      </c>
      <c r="J62" s="233">
        <v>12</v>
      </c>
      <c r="K62" s="232">
        <v>350.4</v>
      </c>
      <c r="L62" s="232">
        <f>K62*J62</f>
        <v>4204.7999999999993</v>
      </c>
    </row>
    <row r="63" spans="1:16" s="227" customFormat="1" ht="36" customHeight="1">
      <c r="A63" s="226" t="s">
        <v>392</v>
      </c>
      <c r="B63" s="326">
        <f>MAX(B61:B62)</f>
        <v>1</v>
      </c>
      <c r="C63" s="326"/>
      <c r="D63" s="50"/>
      <c r="E63" s="226" t="s">
        <v>393</v>
      </c>
      <c r="F63" s="319">
        <f>MAX(F61:F62)</f>
        <v>4</v>
      </c>
      <c r="G63" s="319"/>
      <c r="I63" s="232" t="s">
        <v>400</v>
      </c>
      <c r="J63" s="233">
        <v>12</v>
      </c>
      <c r="K63" s="232">
        <v>443.84</v>
      </c>
      <c r="L63" s="232">
        <f>K63*J63</f>
        <v>5326.08</v>
      </c>
    </row>
    <row r="64" spans="1:16" ht="14.25" customHeight="1">
      <c r="A64" s="228"/>
      <c r="B64" s="147"/>
      <c r="C64" s="142"/>
      <c r="I64" s="232" t="s">
        <v>401</v>
      </c>
      <c r="J64" s="233">
        <v>7</v>
      </c>
      <c r="K64" s="232">
        <v>700.8</v>
      </c>
      <c r="L64" s="232">
        <f>K64*J64</f>
        <v>4905.5999999999995</v>
      </c>
    </row>
    <row r="65" spans="9:12" ht="14.25" customHeight="1">
      <c r="I65" s="232" t="s">
        <v>402</v>
      </c>
      <c r="J65" s="233">
        <v>7</v>
      </c>
      <c r="K65" s="232">
        <v>887.68</v>
      </c>
      <c r="L65" s="232">
        <f>K65*J65</f>
        <v>6213.7599999999993</v>
      </c>
    </row>
    <row r="66" spans="9:12" ht="14.25" customHeight="1"/>
  </sheetData>
  <mergeCells count="17">
    <mergeCell ref="A48:K48"/>
    <mergeCell ref="A58:G58"/>
    <mergeCell ref="B59:C59"/>
    <mergeCell ref="F59:G59"/>
    <mergeCell ref="B63:C63"/>
    <mergeCell ref="F63:G63"/>
    <mergeCell ref="A6:E6"/>
    <mergeCell ref="A7:E7"/>
    <mergeCell ref="A8:E8"/>
    <mergeCell ref="A13:R13"/>
    <mergeCell ref="L14:M14"/>
    <mergeCell ref="N14:O14"/>
    <mergeCell ref="A1:G1"/>
    <mergeCell ref="A2:E2"/>
    <mergeCell ref="A3:E3"/>
    <mergeCell ref="A4:E4"/>
    <mergeCell ref="A5:E5"/>
  </mergeCells>
  <conditionalFormatting sqref="E52">
    <cfRule type="expression" dxfId="9" priority="2">
      <formula>$H$42&lt;$G$42</formula>
    </cfRule>
  </conditionalFormatting>
  <conditionalFormatting sqref="B55 F52">
    <cfRule type="expression" dxfId="8" priority="3">
      <formula>#REF!*$F$62&lt;#REF!</formula>
    </cfRule>
  </conditionalFormatting>
  <pageMargins left="0.7" right="0.7" top="0.75" bottom="0.75"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A1:R66"/>
  <sheetViews>
    <sheetView topLeftCell="A28" zoomScale="85" zoomScaleNormal="85" workbookViewId="0">
      <selection activeCell="C52" sqref="C52"/>
    </sheetView>
  </sheetViews>
  <sheetFormatPr defaultColWidth="21" defaultRowHeight="12"/>
  <cols>
    <col min="1" max="1" width="28.85546875" style="50" customWidth="1"/>
    <col min="2" max="3" width="21.85546875" style="50" customWidth="1"/>
    <col min="4" max="4" width="23.42578125" style="50" customWidth="1"/>
    <col min="5" max="5" width="32.7109375" style="50" customWidth="1"/>
    <col min="6" max="6" width="28.7109375" style="50" customWidth="1"/>
    <col min="7" max="7" width="24.28515625" style="50" customWidth="1"/>
    <col min="8" max="8" width="26.85546875" style="50" customWidth="1"/>
    <col min="9" max="9" width="18.85546875" style="50" customWidth="1"/>
    <col min="10" max="10" width="26.85546875" style="50" customWidth="1"/>
    <col min="11" max="12" width="21" style="50"/>
    <col min="13" max="13" width="27.42578125" style="50" customWidth="1"/>
    <col min="14" max="16384" width="21" style="50"/>
  </cols>
  <sheetData>
    <row r="1" spans="1:18" ht="15" customHeight="1">
      <c r="A1" s="324" t="s">
        <v>409</v>
      </c>
      <c r="B1" s="324"/>
      <c r="C1" s="324"/>
      <c r="D1" s="324"/>
      <c r="E1" s="324"/>
      <c r="F1" s="324"/>
      <c r="G1" s="324"/>
    </row>
    <row r="2" spans="1:18">
      <c r="A2" s="325" t="s">
        <v>410</v>
      </c>
      <c r="B2" s="325"/>
      <c r="C2" s="325"/>
      <c r="D2" s="325"/>
      <c r="E2" s="325"/>
      <c r="G2" s="239"/>
    </row>
    <row r="3" spans="1:18">
      <c r="A3" s="325" t="s">
        <v>411</v>
      </c>
      <c r="B3" s="325"/>
      <c r="C3" s="325"/>
      <c r="D3" s="325"/>
      <c r="E3" s="325"/>
      <c r="G3" s="239"/>
    </row>
    <row r="4" spans="1:18">
      <c r="A4" s="325" t="s">
        <v>412</v>
      </c>
      <c r="B4" s="325"/>
      <c r="C4" s="325"/>
      <c r="D4" s="325"/>
      <c r="E4" s="325"/>
      <c r="G4" s="239"/>
    </row>
    <row r="5" spans="1:18">
      <c r="A5" s="325" t="s">
        <v>413</v>
      </c>
      <c r="B5" s="325"/>
      <c r="C5" s="325"/>
      <c r="D5" s="325"/>
      <c r="E5" s="325"/>
      <c r="G5" s="239"/>
    </row>
    <row r="6" spans="1:18">
      <c r="A6" s="325" t="s">
        <v>414</v>
      </c>
      <c r="B6" s="325"/>
      <c r="C6" s="325"/>
      <c r="D6" s="325"/>
      <c r="E6" s="325"/>
      <c r="G6" s="239"/>
    </row>
    <row r="7" spans="1:18">
      <c r="A7" s="325" t="s">
        <v>415</v>
      </c>
      <c r="B7" s="325"/>
      <c r="C7" s="325"/>
      <c r="D7" s="325"/>
      <c r="E7" s="325"/>
      <c r="G7" s="239"/>
    </row>
    <row r="8" spans="1:18">
      <c r="A8" s="325" t="s">
        <v>416</v>
      </c>
      <c r="B8" s="325"/>
      <c r="C8" s="325"/>
      <c r="D8" s="325"/>
      <c r="E8" s="325"/>
      <c r="G8" s="239"/>
    </row>
    <row r="9" spans="1:18">
      <c r="A9" s="4" t="s">
        <v>417</v>
      </c>
      <c r="B9" s="240"/>
      <c r="C9" s="240"/>
      <c r="D9" s="240"/>
      <c r="G9" s="239"/>
    </row>
    <row r="10" spans="1:18" ht="15" customHeight="1">
      <c r="A10" s="168" t="s">
        <v>418</v>
      </c>
      <c r="B10" s="241"/>
      <c r="C10" s="241"/>
      <c r="D10" s="241"/>
      <c r="E10" s="241"/>
      <c r="F10" s="241"/>
      <c r="G10" s="242"/>
    </row>
    <row r="12" spans="1:18" ht="12.75" customHeight="1">
      <c r="A12" s="193" t="s">
        <v>329</v>
      </c>
      <c r="H12" s="194"/>
      <c r="I12" s="195"/>
      <c r="J12" s="195"/>
      <c r="K12" s="196"/>
    </row>
    <row r="13" spans="1:18" ht="14.25" customHeight="1">
      <c r="A13" s="320" t="s">
        <v>330</v>
      </c>
      <c r="B13" s="320"/>
      <c r="C13" s="320"/>
      <c r="D13" s="320"/>
      <c r="E13" s="320"/>
      <c r="F13" s="320"/>
      <c r="G13" s="320"/>
      <c r="H13" s="320"/>
      <c r="I13" s="320"/>
      <c r="J13" s="320"/>
      <c r="K13" s="320"/>
      <c r="L13" s="320"/>
      <c r="M13" s="320"/>
      <c r="N13" s="320"/>
      <c r="O13" s="320"/>
      <c r="P13" s="320"/>
      <c r="Q13" s="320"/>
      <c r="R13" s="320"/>
    </row>
    <row r="14" spans="1:18" ht="14.25" customHeight="1">
      <c r="A14" s="197"/>
      <c r="B14" s="197"/>
      <c r="C14" s="197"/>
      <c r="D14" s="32"/>
      <c r="E14" s="32"/>
      <c r="F14" s="32"/>
      <c r="G14" s="32"/>
      <c r="H14" s="32"/>
      <c r="I14" s="32"/>
      <c r="J14" s="32"/>
      <c r="K14" s="32"/>
      <c r="L14" s="276" t="s">
        <v>331</v>
      </c>
      <c r="M14" s="276"/>
      <c r="N14" s="321" t="s">
        <v>332</v>
      </c>
      <c r="O14" s="321"/>
      <c r="P14" s="32"/>
      <c r="Q14" s="32"/>
      <c r="R14" s="32"/>
    </row>
    <row r="15" spans="1:18" ht="15.75" customHeight="1">
      <c r="A15" s="198" t="s">
        <v>403</v>
      </c>
      <c r="B15" s="198" t="s">
        <v>334</v>
      </c>
      <c r="C15" s="198" t="s">
        <v>335</v>
      </c>
      <c r="D15" s="198" t="s">
        <v>336</v>
      </c>
      <c r="E15" s="199" t="s">
        <v>337</v>
      </c>
      <c r="F15" s="199" t="s">
        <v>338</v>
      </c>
      <c r="G15" s="199" t="s">
        <v>339</v>
      </c>
      <c r="H15" s="199" t="s">
        <v>340</v>
      </c>
      <c r="I15" s="199" t="s">
        <v>341</v>
      </c>
      <c r="J15" s="198" t="s">
        <v>342</v>
      </c>
      <c r="K15" s="199" t="s">
        <v>343</v>
      </c>
      <c r="L15" s="198" t="s">
        <v>99</v>
      </c>
      <c r="M15" s="198" t="s">
        <v>344</v>
      </c>
      <c r="N15" s="198" t="s">
        <v>99</v>
      </c>
      <c r="O15" s="198" t="s">
        <v>344</v>
      </c>
      <c r="P15" s="198" t="s">
        <v>345</v>
      </c>
      <c r="Q15" s="198" t="s">
        <v>346</v>
      </c>
      <c r="R15" s="198" t="s">
        <v>103</v>
      </c>
    </row>
    <row r="16" spans="1:18" ht="13.5" customHeight="1">
      <c r="A16" s="200" t="s">
        <v>404</v>
      </c>
      <c r="B16" s="200">
        <v>1</v>
      </c>
      <c r="C16" s="200">
        <v>1</v>
      </c>
      <c r="D16" s="200">
        <v>1</v>
      </c>
      <c r="E16" s="236">
        <v>2</v>
      </c>
      <c r="F16" s="202">
        <v>500</v>
      </c>
      <c r="G16" s="202">
        <v>512</v>
      </c>
      <c r="H16" s="202">
        <v>1000</v>
      </c>
      <c r="I16" s="202">
        <v>1536</v>
      </c>
      <c r="J16" s="202">
        <f>6*1024</f>
        <v>6144</v>
      </c>
      <c r="K16" s="202">
        <v>0</v>
      </c>
      <c r="L16" s="202">
        <f>D16*F16</f>
        <v>500</v>
      </c>
      <c r="M16" s="202">
        <f>D16*G16</f>
        <v>512</v>
      </c>
      <c r="N16" s="202">
        <f>E16*H16</f>
        <v>2000</v>
      </c>
      <c r="O16" s="202">
        <f>E16*I16</f>
        <v>3072</v>
      </c>
      <c r="P16" s="202">
        <f>J16*3</f>
        <v>18432</v>
      </c>
      <c r="Q16" s="202">
        <f>E16*K16</f>
        <v>0</v>
      </c>
      <c r="R16" s="202"/>
    </row>
    <row r="17" spans="1:18" ht="13.5" customHeight="1">
      <c r="A17" s="200" t="s">
        <v>405</v>
      </c>
      <c r="B17" s="200">
        <v>1</v>
      </c>
      <c r="C17" s="237">
        <v>0</v>
      </c>
      <c r="D17" s="237">
        <v>0</v>
      </c>
      <c r="E17" s="238">
        <v>0</v>
      </c>
      <c r="F17" s="202">
        <v>100</v>
      </c>
      <c r="G17" s="202">
        <v>512</v>
      </c>
      <c r="H17" s="202">
        <v>300</v>
      </c>
      <c r="I17" s="202">
        <v>1536</v>
      </c>
      <c r="J17" s="202">
        <f>1024*8</f>
        <v>8192</v>
      </c>
      <c r="K17" s="202">
        <v>30</v>
      </c>
      <c r="L17" s="202">
        <f>D17*F17</f>
        <v>0</v>
      </c>
      <c r="M17" s="202">
        <f>D17*G17</f>
        <v>0</v>
      </c>
      <c r="N17" s="202">
        <f>E17*H17</f>
        <v>0</v>
      </c>
      <c r="O17" s="202">
        <f>E17*I17</f>
        <v>0</v>
      </c>
      <c r="P17" s="202">
        <f>J17*3</f>
        <v>24576</v>
      </c>
      <c r="Q17" s="202">
        <f>E17*K17</f>
        <v>0</v>
      </c>
      <c r="R17" s="202"/>
    </row>
    <row r="18" spans="1:18" ht="13.5" customHeight="1">
      <c r="A18" s="200" t="s">
        <v>406</v>
      </c>
      <c r="B18" s="200">
        <v>1</v>
      </c>
      <c r="C18" s="200">
        <v>1</v>
      </c>
      <c r="D18" s="200">
        <v>1</v>
      </c>
      <c r="E18" s="236">
        <v>2</v>
      </c>
      <c r="F18" s="202">
        <v>300</v>
      </c>
      <c r="G18" s="202">
        <v>128</v>
      </c>
      <c r="H18" s="202">
        <v>300</v>
      </c>
      <c r="I18" s="202">
        <v>128</v>
      </c>
      <c r="J18" s="202">
        <f>1024</f>
        <v>1024</v>
      </c>
      <c r="K18" s="202">
        <v>0</v>
      </c>
      <c r="L18" s="202">
        <f>D18*F18</f>
        <v>300</v>
      </c>
      <c r="M18" s="202">
        <f>D18*G18</f>
        <v>128</v>
      </c>
      <c r="N18" s="202">
        <f>E18*H18</f>
        <v>600</v>
      </c>
      <c r="O18" s="202">
        <f>E18*I18</f>
        <v>256</v>
      </c>
      <c r="P18" s="202">
        <f>J18*3</f>
        <v>3072</v>
      </c>
      <c r="Q18" s="202">
        <f>E18*K18</f>
        <v>0</v>
      </c>
      <c r="R18" s="202"/>
    </row>
    <row r="19" spans="1:18" ht="13.5" customHeight="1">
      <c r="A19" s="200" t="s">
        <v>407</v>
      </c>
      <c r="B19" s="200">
        <v>1</v>
      </c>
      <c r="C19" s="200">
        <v>1</v>
      </c>
      <c r="D19" s="200">
        <v>1</v>
      </c>
      <c r="E19" s="236">
        <v>2</v>
      </c>
      <c r="F19" s="202">
        <v>100</v>
      </c>
      <c r="G19" s="202">
        <v>128</v>
      </c>
      <c r="H19" s="202">
        <v>100</v>
      </c>
      <c r="I19" s="202">
        <v>128</v>
      </c>
      <c r="J19" s="202">
        <v>1024</v>
      </c>
      <c r="K19" s="202">
        <v>0</v>
      </c>
      <c r="L19" s="202">
        <f>D19*F19</f>
        <v>100</v>
      </c>
      <c r="M19" s="202">
        <f>D19*G19</f>
        <v>128</v>
      </c>
      <c r="N19" s="202">
        <f>E19*H19</f>
        <v>200</v>
      </c>
      <c r="O19" s="202">
        <f>E19*I19</f>
        <v>256</v>
      </c>
      <c r="P19" s="202">
        <f>J19*3</f>
        <v>3072</v>
      </c>
      <c r="Q19" s="202">
        <f>E19*K19</f>
        <v>0</v>
      </c>
      <c r="R19" s="202"/>
    </row>
    <row r="20" spans="1:18" ht="13.5" customHeight="1">
      <c r="A20" s="198" t="s">
        <v>333</v>
      </c>
      <c r="B20" s="198"/>
      <c r="C20" s="198"/>
      <c r="D20" s="198"/>
      <c r="E20" s="198"/>
      <c r="F20" s="198"/>
      <c r="G20" s="198"/>
      <c r="H20" s="198"/>
      <c r="I20" s="198"/>
      <c r="J20" s="198"/>
      <c r="K20" s="198"/>
      <c r="L20" s="198"/>
      <c r="M20" s="198"/>
      <c r="N20" s="198"/>
      <c r="O20" s="198"/>
      <c r="P20" s="198"/>
      <c r="Q20" s="198"/>
      <c r="R20" s="198"/>
    </row>
    <row r="21" spans="1:18" ht="13.5" customHeight="1">
      <c r="A21" s="200" t="s">
        <v>347</v>
      </c>
      <c r="B21" s="200">
        <v>1</v>
      </c>
      <c r="C21" s="200">
        <v>1</v>
      </c>
      <c r="D21" s="200">
        <v>1</v>
      </c>
      <c r="E21" s="243">
        <v>2</v>
      </c>
      <c r="F21" s="243">
        <v>25</v>
      </c>
      <c r="G21" s="243">
        <v>70</v>
      </c>
      <c r="H21" s="243">
        <v>50</v>
      </c>
      <c r="I21" s="243">
        <v>100</v>
      </c>
      <c r="J21" s="243">
        <v>80</v>
      </c>
      <c r="K21" s="243">
        <v>0</v>
      </c>
      <c r="L21" s="202">
        <f>D21*F21</f>
        <v>25</v>
      </c>
      <c r="M21" s="202">
        <f>D21*G21</f>
        <v>70</v>
      </c>
      <c r="N21" s="202">
        <f>E21*H21</f>
        <v>100</v>
      </c>
      <c r="O21" s="202">
        <f>E21*I21</f>
        <v>200</v>
      </c>
      <c r="P21" s="202">
        <f>J21*3</f>
        <v>240</v>
      </c>
      <c r="Q21" s="202">
        <f>E21*K21</f>
        <v>0</v>
      </c>
      <c r="R21" s="203"/>
    </row>
    <row r="22" spans="1:18" ht="13.5" customHeight="1">
      <c r="A22" s="200" t="s">
        <v>348</v>
      </c>
      <c r="B22" s="200">
        <v>1</v>
      </c>
      <c r="C22" s="200">
        <v>1</v>
      </c>
      <c r="D22" s="200">
        <v>1</v>
      </c>
      <c r="E22" s="243">
        <v>2</v>
      </c>
      <c r="F22" s="243">
        <v>100</v>
      </c>
      <c r="G22" s="243">
        <v>50</v>
      </c>
      <c r="H22" s="243">
        <v>100</v>
      </c>
      <c r="I22" s="243">
        <v>50</v>
      </c>
      <c r="J22" s="243">
        <v>60</v>
      </c>
      <c r="K22" s="243">
        <v>0</v>
      </c>
      <c r="L22" s="202">
        <f>D22*F22</f>
        <v>100</v>
      </c>
      <c r="M22" s="202">
        <f>D22*G22</f>
        <v>50</v>
      </c>
      <c r="N22" s="202">
        <f>E22*H22</f>
        <v>200</v>
      </c>
      <c r="O22" s="202">
        <f>E22*I22</f>
        <v>100</v>
      </c>
      <c r="P22" s="202">
        <f>J22*3</f>
        <v>180</v>
      </c>
      <c r="Q22" s="202">
        <f>E22*K22</f>
        <v>0</v>
      </c>
      <c r="R22" s="202"/>
    </row>
    <row r="23" spans="1:18" ht="13.5" customHeight="1">
      <c r="A23" s="200" t="s">
        <v>349</v>
      </c>
      <c r="B23" s="200">
        <v>1</v>
      </c>
      <c r="C23" s="200">
        <v>1</v>
      </c>
      <c r="D23" s="200">
        <v>1</v>
      </c>
      <c r="E23" s="243">
        <v>2</v>
      </c>
      <c r="F23" s="243">
        <v>100</v>
      </c>
      <c r="G23" s="243">
        <v>70</v>
      </c>
      <c r="H23" s="243">
        <v>100</v>
      </c>
      <c r="I23" s="243">
        <v>170</v>
      </c>
      <c r="J23" s="243">
        <v>40</v>
      </c>
      <c r="K23" s="243">
        <v>0</v>
      </c>
      <c r="L23" s="202">
        <f>D23*F23</f>
        <v>100</v>
      </c>
      <c r="M23" s="202">
        <f>D23*G23</f>
        <v>70</v>
      </c>
      <c r="N23" s="202">
        <f>E23*H23</f>
        <v>200</v>
      </c>
      <c r="O23" s="202">
        <f>E23*I23</f>
        <v>340</v>
      </c>
      <c r="P23" s="202">
        <f>J23*3</f>
        <v>120</v>
      </c>
      <c r="Q23" s="202">
        <f>E23*K23</f>
        <v>0</v>
      </c>
      <c r="R23" s="203"/>
    </row>
    <row r="24" spans="1:18" ht="13.5" customHeight="1">
      <c r="A24" s="200" t="s">
        <v>350</v>
      </c>
      <c r="B24" s="200">
        <v>1</v>
      </c>
      <c r="C24" s="200">
        <v>1</v>
      </c>
      <c r="D24" s="200">
        <v>1</v>
      </c>
      <c r="E24" s="243">
        <v>2</v>
      </c>
      <c r="F24" s="243">
        <v>100</v>
      </c>
      <c r="G24" s="243">
        <v>128</v>
      </c>
      <c r="H24" s="243">
        <v>100</v>
      </c>
      <c r="I24" s="243">
        <v>128</v>
      </c>
      <c r="J24" s="243">
        <v>50</v>
      </c>
      <c r="K24" s="243">
        <v>0</v>
      </c>
      <c r="L24" s="202">
        <f>D24*F24</f>
        <v>100</v>
      </c>
      <c r="M24" s="202">
        <f>D24*G24</f>
        <v>128</v>
      </c>
      <c r="N24" s="202">
        <f>E24*H24</f>
        <v>200</v>
      </c>
      <c r="O24" s="202">
        <f>E24*I24</f>
        <v>256</v>
      </c>
      <c r="P24" s="202">
        <f>J24*3</f>
        <v>150</v>
      </c>
      <c r="Q24" s="202">
        <f>E24*K24</f>
        <v>0</v>
      </c>
      <c r="R24" s="203"/>
    </row>
    <row r="25" spans="1:18" ht="13.5" customHeight="1">
      <c r="A25" s="205" t="s">
        <v>351</v>
      </c>
      <c r="B25" s="205">
        <v>1</v>
      </c>
      <c r="C25" s="205">
        <v>1</v>
      </c>
      <c r="D25" s="205">
        <v>1</v>
      </c>
      <c r="E25" s="244">
        <v>2</v>
      </c>
      <c r="F25" s="244">
        <v>100</v>
      </c>
      <c r="G25" s="244">
        <v>200</v>
      </c>
      <c r="H25" s="244">
        <v>100</v>
      </c>
      <c r="I25" s="244">
        <v>200</v>
      </c>
      <c r="J25" s="244">
        <v>50</v>
      </c>
      <c r="K25" s="244">
        <v>0</v>
      </c>
      <c r="L25" s="202">
        <f>D25*F25</f>
        <v>100</v>
      </c>
      <c r="M25" s="202">
        <f>D25*G25</f>
        <v>200</v>
      </c>
      <c r="N25" s="202">
        <f>E25*H25</f>
        <v>200</v>
      </c>
      <c r="O25" s="202">
        <f>E25*I25</f>
        <v>400</v>
      </c>
      <c r="P25" s="202">
        <f>J25*3</f>
        <v>150</v>
      </c>
      <c r="Q25" s="202">
        <f>E25*K25</f>
        <v>0</v>
      </c>
      <c r="R25" s="203"/>
    </row>
    <row r="26" spans="1:18" ht="13.5" customHeight="1">
      <c r="A26" s="245" t="s">
        <v>352</v>
      </c>
      <c r="B26" s="205">
        <v>1</v>
      </c>
      <c r="C26" s="205">
        <v>1</v>
      </c>
      <c r="D26" s="205">
        <v>1</v>
      </c>
      <c r="E26" s="244">
        <v>2</v>
      </c>
      <c r="F26" s="244">
        <v>100</v>
      </c>
      <c r="G26" s="244">
        <v>600</v>
      </c>
      <c r="H26" s="244">
        <v>100</v>
      </c>
      <c r="I26" s="244">
        <v>600</v>
      </c>
      <c r="J26" s="244">
        <v>50</v>
      </c>
      <c r="K26" s="244">
        <v>0</v>
      </c>
      <c r="L26" s="202">
        <f>D26*F26</f>
        <v>100</v>
      </c>
      <c r="M26" s="202">
        <f>D26*G26</f>
        <v>600</v>
      </c>
      <c r="N26" s="202">
        <f>E26*H26</f>
        <v>200</v>
      </c>
      <c r="O26" s="202">
        <f>E26*I26</f>
        <v>1200</v>
      </c>
      <c r="P26" s="202">
        <f>J26*3</f>
        <v>150</v>
      </c>
      <c r="Q26" s="202">
        <f>E26*K26</f>
        <v>0</v>
      </c>
      <c r="R26" s="203"/>
    </row>
    <row r="27" spans="1:18" ht="15.75" customHeight="1">
      <c r="A27" s="198" t="s">
        <v>408</v>
      </c>
      <c r="B27" s="198"/>
      <c r="C27" s="198"/>
      <c r="D27" s="198"/>
      <c r="E27" s="198"/>
      <c r="F27" s="198"/>
      <c r="G27" s="198"/>
      <c r="H27" s="198"/>
      <c r="I27" s="198"/>
      <c r="J27" s="198"/>
      <c r="K27" s="198"/>
      <c r="L27" s="198"/>
      <c r="M27" s="198"/>
      <c r="N27" s="198"/>
      <c r="O27" s="198"/>
      <c r="P27" s="198"/>
      <c r="Q27" s="198"/>
      <c r="R27" s="198"/>
    </row>
    <row r="28" spans="1:18" ht="13.5" customHeight="1">
      <c r="A28" s="200" t="s">
        <v>408</v>
      </c>
      <c r="B28" s="200">
        <v>1</v>
      </c>
      <c r="C28" s="237">
        <v>0</v>
      </c>
      <c r="D28" s="237">
        <v>0</v>
      </c>
      <c r="E28" s="238">
        <v>0</v>
      </c>
      <c r="F28" s="201">
        <v>250</v>
      </c>
      <c r="G28" s="201">
        <v>512</v>
      </c>
      <c r="H28" s="201">
        <v>1000</v>
      </c>
      <c r="I28" s="201">
        <v>2048</v>
      </c>
      <c r="J28" s="201">
        <v>1024</v>
      </c>
      <c r="K28" s="201">
        <v>0</v>
      </c>
      <c r="L28" s="202">
        <f>D28*F28</f>
        <v>0</v>
      </c>
      <c r="M28" s="202">
        <f>D28*G28</f>
        <v>0</v>
      </c>
      <c r="N28" s="202">
        <f>E28*H28</f>
        <v>0</v>
      </c>
      <c r="O28" s="202">
        <f>E28*I28</f>
        <v>0</v>
      </c>
      <c r="P28" s="202">
        <f>J28*3</f>
        <v>3072</v>
      </c>
      <c r="Q28" s="202">
        <f>E28*K28</f>
        <v>0</v>
      </c>
      <c r="R28" s="203"/>
    </row>
    <row r="29" spans="1:18" ht="15.75" customHeight="1">
      <c r="A29" s="198" t="s">
        <v>353</v>
      </c>
      <c r="B29" s="198"/>
      <c r="C29" s="198"/>
      <c r="D29" s="198"/>
      <c r="E29" s="199"/>
      <c r="F29" s="199"/>
      <c r="G29" s="199"/>
      <c r="H29" s="199"/>
      <c r="I29" s="199"/>
      <c r="J29" s="199"/>
      <c r="K29" s="199"/>
      <c r="L29" s="199"/>
      <c r="M29" s="199"/>
      <c r="N29" s="199"/>
      <c r="O29" s="199"/>
      <c r="P29" s="199"/>
      <c r="Q29" s="199"/>
      <c r="R29" s="199"/>
    </row>
    <row r="30" spans="1:18" ht="13.5" customHeight="1">
      <c r="A30" s="205" t="s">
        <v>354</v>
      </c>
      <c r="B30" s="205">
        <v>1</v>
      </c>
      <c r="C30" s="205">
        <v>1</v>
      </c>
      <c r="D30" s="205">
        <v>1</v>
      </c>
      <c r="E30" s="206">
        <v>2</v>
      </c>
      <c r="F30" s="207">
        <v>25</v>
      </c>
      <c r="G30" s="207">
        <v>100</v>
      </c>
      <c r="H30" s="207">
        <v>100</v>
      </c>
      <c r="I30" s="207">
        <v>100</v>
      </c>
      <c r="J30" s="207">
        <v>50</v>
      </c>
      <c r="K30" s="207">
        <v>0</v>
      </c>
      <c r="L30" s="202">
        <f>D30*F30</f>
        <v>25</v>
      </c>
      <c r="M30" s="202">
        <f>D30*G30</f>
        <v>100</v>
      </c>
      <c r="N30" s="202">
        <f>E30*H30</f>
        <v>200</v>
      </c>
      <c r="O30" s="202">
        <f>E30*I30</f>
        <v>200</v>
      </c>
      <c r="P30" s="202">
        <f>J30*3</f>
        <v>150</v>
      </c>
      <c r="Q30" s="202">
        <f>E30*K30</f>
        <v>0</v>
      </c>
      <c r="R30" s="202"/>
    </row>
    <row r="31" spans="1:18" ht="15.75" customHeight="1">
      <c r="A31" s="198" t="s">
        <v>355</v>
      </c>
      <c r="B31" s="198"/>
      <c r="C31" s="198"/>
      <c r="D31" s="198"/>
      <c r="E31" s="199"/>
      <c r="F31" s="199"/>
      <c r="G31" s="199"/>
      <c r="H31" s="199"/>
      <c r="I31" s="199"/>
      <c r="J31" s="199"/>
      <c r="K31" s="199"/>
      <c r="L31" s="199"/>
      <c r="M31" s="199"/>
      <c r="N31" s="199"/>
      <c r="O31" s="199"/>
      <c r="P31" s="199"/>
      <c r="Q31" s="199"/>
      <c r="R31" s="199"/>
    </row>
    <row r="32" spans="1:18" ht="13.5" customHeight="1">
      <c r="A32" s="208" t="s">
        <v>356</v>
      </c>
      <c r="B32" s="208">
        <v>1</v>
      </c>
      <c r="C32" s="208">
        <v>2</v>
      </c>
      <c r="D32" s="208">
        <v>2</v>
      </c>
      <c r="E32" s="208">
        <v>5</v>
      </c>
      <c r="F32" s="208">
        <v>500</v>
      </c>
      <c r="G32" s="208">
        <v>1024</v>
      </c>
      <c r="H32" s="208">
        <v>1500</v>
      </c>
      <c r="I32" s="208">
        <v>2048</v>
      </c>
      <c r="J32" s="208">
        <v>2048</v>
      </c>
      <c r="K32" s="208">
        <v>0</v>
      </c>
      <c r="L32" s="202">
        <f>D32*F32</f>
        <v>1000</v>
      </c>
      <c r="M32" s="202">
        <f>D32*G32</f>
        <v>2048</v>
      </c>
      <c r="N32" s="202">
        <f>E32*H32</f>
        <v>7500</v>
      </c>
      <c r="O32" s="202">
        <f>E32*I32</f>
        <v>10240</v>
      </c>
      <c r="P32" s="202">
        <f>J32*3</f>
        <v>6144</v>
      </c>
      <c r="Q32" s="202">
        <f>E32*H32</f>
        <v>7500</v>
      </c>
      <c r="R32" s="202"/>
    </row>
    <row r="33" spans="1:18" ht="13.5" customHeight="1">
      <c r="A33" s="208" t="s">
        <v>357</v>
      </c>
      <c r="B33" s="208">
        <v>1</v>
      </c>
      <c r="C33" s="208">
        <v>2</v>
      </c>
      <c r="D33" s="208">
        <v>2</v>
      </c>
      <c r="E33" s="208">
        <v>5</v>
      </c>
      <c r="F33" s="208">
        <v>500</v>
      </c>
      <c r="G33" s="208">
        <v>1024</v>
      </c>
      <c r="H33" s="208">
        <v>1500</v>
      </c>
      <c r="I33" s="208">
        <v>2048</v>
      </c>
      <c r="J33" s="208">
        <v>2048</v>
      </c>
      <c r="K33" s="208">
        <v>0</v>
      </c>
      <c r="L33" s="202">
        <f>D33*F33</f>
        <v>1000</v>
      </c>
      <c r="M33" s="202">
        <f>D33*G33</f>
        <v>2048</v>
      </c>
      <c r="N33" s="202">
        <f>E33*H33</f>
        <v>7500</v>
      </c>
      <c r="O33" s="202">
        <f>E33*I33</f>
        <v>10240</v>
      </c>
      <c r="P33" s="202">
        <f>J33*3</f>
        <v>6144</v>
      </c>
      <c r="Q33" s="202">
        <f>E33*H33</f>
        <v>7500</v>
      </c>
      <c r="R33" s="202"/>
    </row>
    <row r="34" spans="1:18" ht="13.5" customHeight="1">
      <c r="A34" s="208" t="s">
        <v>358</v>
      </c>
      <c r="B34" s="208">
        <v>1</v>
      </c>
      <c r="C34" s="208">
        <v>2</v>
      </c>
      <c r="D34" s="208">
        <v>2</v>
      </c>
      <c r="E34" s="208">
        <v>5</v>
      </c>
      <c r="F34" s="208">
        <v>500</v>
      </c>
      <c r="G34" s="208">
        <v>1024</v>
      </c>
      <c r="H34" s="208">
        <v>1500</v>
      </c>
      <c r="I34" s="208">
        <v>2048</v>
      </c>
      <c r="J34" s="208">
        <v>2048</v>
      </c>
      <c r="K34" s="208">
        <v>0</v>
      </c>
      <c r="L34" s="202">
        <f>D34*F34</f>
        <v>1000</v>
      </c>
      <c r="M34" s="202">
        <f>D34*G34</f>
        <v>2048</v>
      </c>
      <c r="N34" s="202">
        <f>E34*H34</f>
        <v>7500</v>
      </c>
      <c r="O34" s="202">
        <f>E34*I34</f>
        <v>10240</v>
      </c>
      <c r="P34" s="202">
        <f>J34*3</f>
        <v>6144</v>
      </c>
      <c r="Q34" s="202">
        <f>E34*H34</f>
        <v>7500</v>
      </c>
      <c r="R34" s="202"/>
    </row>
    <row r="35" spans="1:18" ht="13.5" customHeight="1">
      <c r="A35" s="208" t="s">
        <v>359</v>
      </c>
      <c r="B35" s="208">
        <v>1</v>
      </c>
      <c r="C35" s="208">
        <v>2</v>
      </c>
      <c r="D35" s="208">
        <v>2</v>
      </c>
      <c r="E35" s="208">
        <v>5</v>
      </c>
      <c r="F35" s="208">
        <v>400</v>
      </c>
      <c r="G35" s="208">
        <v>768</v>
      </c>
      <c r="H35" s="208">
        <v>1200</v>
      </c>
      <c r="I35" s="208">
        <v>1536</v>
      </c>
      <c r="J35" s="208">
        <v>2048</v>
      </c>
      <c r="K35" s="208">
        <v>0</v>
      </c>
      <c r="L35" s="202">
        <f>D35*F35</f>
        <v>800</v>
      </c>
      <c r="M35" s="202">
        <f>D35*G35</f>
        <v>1536</v>
      </c>
      <c r="N35" s="202">
        <f>E35*H35</f>
        <v>6000</v>
      </c>
      <c r="O35" s="202">
        <f>E35*I35</f>
        <v>7680</v>
      </c>
      <c r="P35" s="202">
        <f>J35*3</f>
        <v>6144</v>
      </c>
      <c r="Q35" s="202">
        <f>E35*H35</f>
        <v>6000</v>
      </c>
      <c r="R35" s="202"/>
    </row>
    <row r="36" spans="1:18" ht="13.5" customHeight="1">
      <c r="A36" s="208" t="s">
        <v>360</v>
      </c>
      <c r="B36" s="208">
        <v>1</v>
      </c>
      <c r="C36" s="208">
        <v>2</v>
      </c>
      <c r="D36" s="208">
        <v>2</v>
      </c>
      <c r="E36" s="208">
        <v>5</v>
      </c>
      <c r="F36" s="208">
        <v>200</v>
      </c>
      <c r="G36" s="208">
        <v>256</v>
      </c>
      <c r="H36" s="208">
        <v>500</v>
      </c>
      <c r="I36" s="208">
        <v>512</v>
      </c>
      <c r="J36" s="208">
        <v>1024</v>
      </c>
      <c r="K36" s="208">
        <v>0</v>
      </c>
      <c r="L36" s="202">
        <f>D36*F36</f>
        <v>400</v>
      </c>
      <c r="M36" s="202">
        <f>D36*G36</f>
        <v>512</v>
      </c>
      <c r="N36" s="202">
        <f>E36*H36</f>
        <v>2500</v>
      </c>
      <c r="O36" s="202">
        <f>E36*I36</f>
        <v>2560</v>
      </c>
      <c r="P36" s="202">
        <f>J36*3</f>
        <v>3072</v>
      </c>
      <c r="Q36" s="202">
        <f>E36*H36</f>
        <v>2500</v>
      </c>
      <c r="R36" s="202"/>
    </row>
    <row r="37" spans="1:18" ht="15.75" customHeight="1">
      <c r="A37" s="198" t="s">
        <v>361</v>
      </c>
      <c r="B37" s="198"/>
      <c r="C37" s="198"/>
      <c r="D37" s="198"/>
      <c r="E37" s="199"/>
      <c r="F37" s="199"/>
      <c r="G37" s="199"/>
      <c r="H37" s="199"/>
      <c r="I37" s="199"/>
      <c r="J37" s="199"/>
      <c r="K37" s="199"/>
      <c r="L37" s="199"/>
      <c r="M37" s="199"/>
      <c r="N37" s="199"/>
      <c r="O37" s="199"/>
      <c r="P37" s="199"/>
      <c r="Q37" s="199"/>
      <c r="R37" s="199"/>
    </row>
    <row r="38" spans="1:18" ht="13.5" customHeight="1">
      <c r="A38" s="208" t="s">
        <v>362</v>
      </c>
      <c r="B38" s="208">
        <v>1</v>
      </c>
      <c r="C38" s="208">
        <v>2</v>
      </c>
      <c r="D38" s="208">
        <v>2</v>
      </c>
      <c r="E38" s="208">
        <v>5</v>
      </c>
      <c r="F38" s="208">
        <v>500</v>
      </c>
      <c r="G38" s="208">
        <v>512</v>
      </c>
      <c r="H38" s="208">
        <v>1000</v>
      </c>
      <c r="I38" s="208">
        <v>1024</v>
      </c>
      <c r="J38" s="208">
        <v>1024</v>
      </c>
      <c r="K38" s="208">
        <v>0</v>
      </c>
      <c r="L38" s="202">
        <f>D38*F38</f>
        <v>1000</v>
      </c>
      <c r="M38" s="202">
        <f>D38*G38</f>
        <v>1024</v>
      </c>
      <c r="N38" s="202">
        <f>E38*H38</f>
        <v>5000</v>
      </c>
      <c r="O38" s="202">
        <f>E38*I38</f>
        <v>5120</v>
      </c>
      <c r="P38" s="202">
        <f>J38*3</f>
        <v>3072</v>
      </c>
      <c r="Q38" s="202">
        <f>E38*H38</f>
        <v>5000</v>
      </c>
      <c r="R38" s="202"/>
    </row>
    <row r="39" spans="1:18" ht="13.5" customHeight="1">
      <c r="A39" s="208" t="s">
        <v>363</v>
      </c>
      <c r="B39" s="208">
        <v>1</v>
      </c>
      <c r="C39" s="208">
        <v>2</v>
      </c>
      <c r="D39" s="208">
        <v>2</v>
      </c>
      <c r="E39" s="208">
        <v>5</v>
      </c>
      <c r="F39" s="208">
        <v>400</v>
      </c>
      <c r="G39" s="208">
        <v>768</v>
      </c>
      <c r="H39" s="208">
        <v>1000</v>
      </c>
      <c r="I39" s="208">
        <v>1536</v>
      </c>
      <c r="J39" s="208">
        <v>1024</v>
      </c>
      <c r="K39" s="208">
        <v>0</v>
      </c>
      <c r="L39" s="202">
        <f>D39*F39</f>
        <v>800</v>
      </c>
      <c r="M39" s="202">
        <f>D39*G39</f>
        <v>1536</v>
      </c>
      <c r="N39" s="202">
        <f>E39*H39</f>
        <v>5000</v>
      </c>
      <c r="O39" s="202">
        <f>E39*I39</f>
        <v>7680</v>
      </c>
      <c r="P39" s="202">
        <f>J39*3</f>
        <v>3072</v>
      </c>
      <c r="Q39" s="202">
        <f>E39*H39</f>
        <v>5000</v>
      </c>
      <c r="R39" s="202"/>
    </row>
    <row r="40" spans="1:18" ht="13.5" customHeight="1">
      <c r="A40" s="208" t="s">
        <v>364</v>
      </c>
      <c r="B40" s="208">
        <v>1</v>
      </c>
      <c r="C40" s="208">
        <v>2</v>
      </c>
      <c r="D40" s="208">
        <v>2</v>
      </c>
      <c r="E40" s="208">
        <v>5</v>
      </c>
      <c r="F40" s="208">
        <v>500</v>
      </c>
      <c r="G40" s="208">
        <v>1024</v>
      </c>
      <c r="H40" s="208">
        <v>1500</v>
      </c>
      <c r="I40" s="208">
        <v>2048</v>
      </c>
      <c r="J40" s="208">
        <v>2048</v>
      </c>
      <c r="K40" s="208">
        <v>0</v>
      </c>
      <c r="L40" s="202">
        <f>D40*F40</f>
        <v>1000</v>
      </c>
      <c r="M40" s="202">
        <f>D40*G40</f>
        <v>2048</v>
      </c>
      <c r="N40" s="202">
        <f>E40*H40</f>
        <v>7500</v>
      </c>
      <c r="O40" s="202">
        <f>E40*I40</f>
        <v>10240</v>
      </c>
      <c r="P40" s="202">
        <f>J40*3</f>
        <v>6144</v>
      </c>
      <c r="Q40" s="202">
        <f>E40*H40</f>
        <v>7500</v>
      </c>
      <c r="R40" s="202"/>
    </row>
    <row r="41" spans="1:18" ht="13.5" customHeight="1">
      <c r="A41" s="208" t="s">
        <v>365</v>
      </c>
      <c r="B41" s="208">
        <v>1</v>
      </c>
      <c r="C41" s="208">
        <v>2</v>
      </c>
      <c r="D41" s="208">
        <v>2</v>
      </c>
      <c r="E41" s="208">
        <v>5</v>
      </c>
      <c r="F41" s="208">
        <v>400</v>
      </c>
      <c r="G41" s="208">
        <v>768</v>
      </c>
      <c r="H41" s="208">
        <v>1200</v>
      </c>
      <c r="I41" s="208">
        <v>1536</v>
      </c>
      <c r="J41" s="208">
        <v>2048</v>
      </c>
      <c r="K41" s="208">
        <v>20</v>
      </c>
      <c r="L41" s="202">
        <f>D41*F41</f>
        <v>800</v>
      </c>
      <c r="M41" s="202">
        <f>D41*G41</f>
        <v>1536</v>
      </c>
      <c r="N41" s="202">
        <f>E41*H41</f>
        <v>6000</v>
      </c>
      <c r="O41" s="202">
        <f>E41*I41</f>
        <v>7680</v>
      </c>
      <c r="P41" s="202">
        <f>J41*3</f>
        <v>6144</v>
      </c>
      <c r="Q41" s="202">
        <f>E41*H41</f>
        <v>6000</v>
      </c>
      <c r="R41" s="202"/>
    </row>
    <row r="42" spans="1:18" ht="13.5" customHeight="1">
      <c r="A42" s="208" t="s">
        <v>366</v>
      </c>
      <c r="B42" s="208">
        <v>1</v>
      </c>
      <c r="C42" s="208">
        <v>1</v>
      </c>
      <c r="D42" s="208">
        <v>1</v>
      </c>
      <c r="E42" s="208">
        <v>2</v>
      </c>
      <c r="F42" s="208">
        <v>400</v>
      </c>
      <c r="G42" s="208">
        <v>768</v>
      </c>
      <c r="H42" s="208">
        <v>1200</v>
      </c>
      <c r="I42" s="208">
        <v>1536</v>
      </c>
      <c r="J42" s="208">
        <v>2048</v>
      </c>
      <c r="K42" s="208">
        <v>0</v>
      </c>
      <c r="L42" s="202">
        <f>D42*F42</f>
        <v>400</v>
      </c>
      <c r="M42" s="202">
        <f>D42*G42</f>
        <v>768</v>
      </c>
      <c r="N42" s="202">
        <f>E42*H42</f>
        <v>2400</v>
      </c>
      <c r="O42" s="202">
        <f>E42*I42</f>
        <v>3072</v>
      </c>
      <c r="P42" s="202">
        <f>J42*3</f>
        <v>6144</v>
      </c>
      <c r="Q42" s="202"/>
      <c r="R42" s="202"/>
    </row>
    <row r="43" spans="1:18" ht="12.75" customHeight="1">
      <c r="A43" s="198" t="s">
        <v>367</v>
      </c>
      <c r="B43" s="198"/>
      <c r="C43" s="198"/>
      <c r="D43" s="198"/>
      <c r="E43" s="209">
        <f>SUM(E16:E42)</f>
        <v>67</v>
      </c>
      <c r="F43" s="198"/>
      <c r="G43" s="198"/>
      <c r="H43" s="198"/>
      <c r="I43" s="198"/>
      <c r="J43" s="198"/>
      <c r="K43" s="198"/>
      <c r="L43" s="198">
        <f>SUM(L16:L42)</f>
        <v>9650</v>
      </c>
      <c r="M43" s="198">
        <f>SUM(M16:M42)</f>
        <v>17090</v>
      </c>
      <c r="N43" s="198">
        <f>SUM(N16:N42)</f>
        <v>61000</v>
      </c>
      <c r="O43" s="198">
        <f>SUM(O16:O42)</f>
        <v>81032</v>
      </c>
      <c r="P43" s="198">
        <f>SUM(P16:P42)</f>
        <v>105588</v>
      </c>
      <c r="Q43" s="198">
        <f>SUM(Q16:Q42)</f>
        <v>54500</v>
      </c>
      <c r="R43" s="198"/>
    </row>
    <row r="44" spans="1:18" ht="14.25" customHeight="1">
      <c r="L44" s="195">
        <f>CEILING(L43/1024,1)</f>
        <v>10</v>
      </c>
      <c r="M44" s="195">
        <f>CEILING(M43/1024,1)</f>
        <v>17</v>
      </c>
      <c r="N44" s="195">
        <f>CEILING(N43/1024,1)</f>
        <v>60</v>
      </c>
      <c r="O44" s="195">
        <f>CEILING(O43/1024,1)</f>
        <v>80</v>
      </c>
      <c r="P44" s="195">
        <f>CEILING(P43/1024,1)</f>
        <v>104</v>
      </c>
      <c r="Q44" s="195">
        <f>Q43</f>
        <v>54500</v>
      </c>
    </row>
    <row r="45" spans="1:18" ht="14.25" customHeight="1">
      <c r="A45" s="142"/>
      <c r="B45" s="142"/>
      <c r="C45" s="147"/>
      <c r="D45" s="147"/>
      <c r="E45" s="147"/>
      <c r="F45" s="147"/>
      <c r="K45" s="194" t="s">
        <v>368</v>
      </c>
      <c r="L45" s="195">
        <f>CEILING(L44/E50,1)</f>
        <v>13</v>
      </c>
      <c r="M45" s="195">
        <f>CEILING(M44/E50,1)</f>
        <v>22</v>
      </c>
      <c r="N45" s="195">
        <f>CEILING(N44/E50,1)</f>
        <v>76</v>
      </c>
      <c r="O45" s="195">
        <f>CEILING(O44/E50,1)</f>
        <v>102</v>
      </c>
      <c r="P45" s="195">
        <f>CEILING(P44/E50,1)</f>
        <v>132</v>
      </c>
      <c r="Q45" s="195">
        <f>CEILING(Q44/E50,1)</f>
        <v>68988</v>
      </c>
    </row>
    <row r="46" spans="1:18" ht="14.25" customHeight="1">
      <c r="K46" s="210" t="s">
        <v>369</v>
      </c>
      <c r="L46" s="142" t="s">
        <v>370</v>
      </c>
      <c r="M46" s="142" t="s">
        <v>371</v>
      </c>
      <c r="N46" s="142" t="s">
        <v>370</v>
      </c>
      <c r="O46" s="142" t="s">
        <v>371</v>
      </c>
      <c r="P46" s="142" t="s">
        <v>372</v>
      </c>
      <c r="Q46" s="142" t="s">
        <v>277</v>
      </c>
    </row>
    <row r="47" spans="1:18" ht="63" customHeight="1">
      <c r="K47" s="210"/>
      <c r="L47" s="142"/>
      <c r="M47" s="142"/>
      <c r="N47" s="142"/>
      <c r="O47" s="142"/>
      <c r="P47" s="28" t="s">
        <v>373</v>
      </c>
      <c r="Q47" s="28" t="s">
        <v>374</v>
      </c>
    </row>
    <row r="48" spans="1:18" ht="14.25" customHeight="1">
      <c r="A48" s="322" t="s">
        <v>375</v>
      </c>
      <c r="B48" s="322"/>
      <c r="C48" s="322"/>
      <c r="D48" s="322"/>
      <c r="E48" s="322"/>
      <c r="F48" s="322"/>
      <c r="G48" s="322"/>
      <c r="H48" s="322"/>
      <c r="I48" s="322"/>
      <c r="J48" s="322"/>
      <c r="K48" s="322"/>
      <c r="L48" s="211"/>
      <c r="M48" s="211"/>
      <c r="N48" s="211"/>
      <c r="O48" s="211"/>
      <c r="P48" s="211"/>
    </row>
    <row r="49" spans="1:16" ht="14.25" customHeight="1">
      <c r="A49" s="210"/>
    </row>
    <row r="50" spans="1:16" ht="14.25" customHeight="1">
      <c r="A50" s="2" t="s">
        <v>376</v>
      </c>
      <c r="B50" s="208">
        <v>3</v>
      </c>
      <c r="D50" s="197" t="s">
        <v>377</v>
      </c>
      <c r="E50" s="212">
        <v>0.79</v>
      </c>
    </row>
    <row r="51" spans="1:16" ht="14.25" customHeight="1">
      <c r="B51" s="213" t="s">
        <v>378</v>
      </c>
      <c r="C51" s="213" t="s">
        <v>379</v>
      </c>
      <c r="D51" s="213" t="s">
        <v>380</v>
      </c>
      <c r="E51" s="213" t="s">
        <v>381</v>
      </c>
      <c r="F51" s="213" t="s">
        <v>382</v>
      </c>
    </row>
    <row r="52" spans="1:16" ht="14.25" customHeight="1">
      <c r="A52" s="210" t="s">
        <v>99</v>
      </c>
      <c r="B52" s="214">
        <f>VLOOKUP(C52,'Ref - ENI Max Pods'!A1:D24,2,FALSE())</f>
        <v>16</v>
      </c>
      <c r="C52" s="215" t="s">
        <v>383</v>
      </c>
      <c r="D52" s="216">
        <f>Q44</f>
        <v>54500</v>
      </c>
      <c r="E52" s="216">
        <f>E43</f>
        <v>67</v>
      </c>
      <c r="F52" s="214">
        <f>B54*F63</f>
        <v>1170</v>
      </c>
    </row>
    <row r="53" spans="1:16" ht="14.25" customHeight="1">
      <c r="A53" s="210" t="s">
        <v>384</v>
      </c>
      <c r="B53" s="214">
        <f>VLOOKUP(C52,'Ref - ENI Max Pods'!A2:D25,3,FALSE())</f>
        <v>64</v>
      </c>
    </row>
    <row r="54" spans="1:16" ht="14.25" customHeight="1">
      <c r="A54" s="210" t="s">
        <v>385</v>
      </c>
      <c r="B54" s="214">
        <f>VLOOKUP(C52,'Ref - ENI Max Pods'!A3:D26,4,FALSE())</f>
        <v>234</v>
      </c>
    </row>
    <row r="55" spans="1:16" ht="14.25" customHeight="1">
      <c r="A55" s="210"/>
      <c r="B55" s="217"/>
    </row>
    <row r="56" spans="1:16" ht="14.25" customHeight="1">
      <c r="A56" s="218"/>
      <c r="B56" s="219"/>
      <c r="C56" s="219"/>
      <c r="D56" s="219"/>
      <c r="E56" s="219"/>
      <c r="F56" s="219"/>
      <c r="G56" s="219"/>
      <c r="H56" s="219"/>
      <c r="I56" s="219"/>
      <c r="J56" s="219"/>
      <c r="K56" s="219"/>
      <c r="L56" s="219"/>
      <c r="M56" s="219"/>
      <c r="N56" s="219"/>
      <c r="O56" s="219"/>
      <c r="P56" s="219"/>
    </row>
    <row r="57" spans="1:16" ht="14.25" customHeight="1">
      <c r="A57" s="193" t="s">
        <v>386</v>
      </c>
    </row>
    <row r="58" spans="1:16" ht="14.25" customHeight="1">
      <c r="A58" s="323" t="s">
        <v>387</v>
      </c>
      <c r="B58" s="323"/>
      <c r="C58" s="323"/>
      <c r="D58" s="323"/>
      <c r="E58" s="323"/>
      <c r="F58" s="323"/>
      <c r="G58" s="323"/>
      <c r="H58" s="193"/>
      <c r="I58" s="246" t="s">
        <v>394</v>
      </c>
      <c r="J58" s="247"/>
      <c r="K58" s="248"/>
      <c r="L58" s="248"/>
    </row>
    <row r="59" spans="1:16" ht="12.75" customHeight="1">
      <c r="A59" s="220" t="s">
        <v>388</v>
      </c>
      <c r="B59" s="317" t="s">
        <v>419</v>
      </c>
      <c r="C59" s="317"/>
      <c r="E59" s="220" t="s">
        <v>388</v>
      </c>
      <c r="F59" s="317" t="s">
        <v>419</v>
      </c>
      <c r="G59" s="317"/>
      <c r="I59" s="232" t="s">
        <v>379</v>
      </c>
      <c r="J59" s="233" t="s">
        <v>395</v>
      </c>
      <c r="K59" s="232" t="s">
        <v>396</v>
      </c>
      <c r="L59" s="232" t="s">
        <v>265</v>
      </c>
    </row>
    <row r="60" spans="1:16" ht="12.75" customHeight="1">
      <c r="A60" s="221"/>
      <c r="B60" s="2" t="s">
        <v>390</v>
      </c>
      <c r="C60" s="2" t="s">
        <v>391</v>
      </c>
      <c r="E60" s="221"/>
      <c r="F60" s="2" t="s">
        <v>390</v>
      </c>
      <c r="G60" s="222" t="s">
        <v>391</v>
      </c>
      <c r="I60" s="232" t="s">
        <v>397</v>
      </c>
      <c r="J60" s="233">
        <v>12</v>
      </c>
      <c r="K60" s="232">
        <v>286.16000000000003</v>
      </c>
      <c r="L60" s="232">
        <f>K60*J60</f>
        <v>3433.92</v>
      </c>
    </row>
    <row r="61" spans="1:16" ht="12.75" customHeight="1">
      <c r="A61" s="223" t="s">
        <v>99</v>
      </c>
      <c r="B61" s="206">
        <f>ROUNDUP(C61/B52,0)</f>
        <v>1</v>
      </c>
      <c r="C61" s="206">
        <f>L45</f>
        <v>13</v>
      </c>
      <c r="E61" s="223" t="s">
        <v>99</v>
      </c>
      <c r="F61" s="206">
        <f>ROUNDUP(G61/B52,0)</f>
        <v>5</v>
      </c>
      <c r="G61" s="224">
        <f>N45</f>
        <v>76</v>
      </c>
      <c r="I61" s="234" t="s">
        <v>398</v>
      </c>
      <c r="J61" s="235">
        <v>7</v>
      </c>
      <c r="K61" s="234">
        <v>572.32000000000005</v>
      </c>
      <c r="L61" s="234">
        <f>K61*J61</f>
        <v>4006.2400000000002</v>
      </c>
    </row>
    <row r="62" spans="1:16" ht="12.75" customHeight="1">
      <c r="A62" s="249" t="s">
        <v>384</v>
      </c>
      <c r="B62" s="206">
        <f>ROUNDUP(C62/B53,0)</f>
        <v>1</v>
      </c>
      <c r="C62" s="206">
        <f>M45</f>
        <v>22</v>
      </c>
      <c r="E62" s="223" t="s">
        <v>384</v>
      </c>
      <c r="F62" s="206">
        <f>ROUNDUP(G62/B53,0)</f>
        <v>2</v>
      </c>
      <c r="G62" s="224">
        <f>O45</f>
        <v>102</v>
      </c>
      <c r="I62" s="232" t="s">
        <v>399</v>
      </c>
      <c r="J62" s="233">
        <v>12</v>
      </c>
      <c r="K62" s="232">
        <v>350.4</v>
      </c>
      <c r="L62" s="232">
        <f>K62*J62</f>
        <v>4204.7999999999993</v>
      </c>
    </row>
    <row r="63" spans="1:16" s="227" customFormat="1" ht="36" customHeight="1">
      <c r="A63" s="226" t="s">
        <v>392</v>
      </c>
      <c r="B63" s="326">
        <f>MAX(B61:B62)</f>
        <v>1</v>
      </c>
      <c r="C63" s="326"/>
      <c r="D63" s="50"/>
      <c r="E63" s="226" t="s">
        <v>393</v>
      </c>
      <c r="F63" s="319">
        <f>MAX(F61:F62)</f>
        <v>5</v>
      </c>
      <c r="G63" s="319"/>
      <c r="I63" s="232" t="s">
        <v>400</v>
      </c>
      <c r="J63" s="233">
        <v>12</v>
      </c>
      <c r="K63" s="232">
        <v>443.84</v>
      </c>
      <c r="L63" s="232">
        <f>K63*J63</f>
        <v>5326.08</v>
      </c>
    </row>
    <row r="64" spans="1:16" ht="14.25" customHeight="1">
      <c r="A64" s="228"/>
      <c r="B64" s="147"/>
      <c r="C64" s="142"/>
      <c r="I64" s="232" t="s">
        <v>401</v>
      </c>
      <c r="J64" s="233">
        <v>7</v>
      </c>
      <c r="K64" s="232">
        <v>700.8</v>
      </c>
      <c r="L64" s="232">
        <f>K64*J64</f>
        <v>4905.5999999999995</v>
      </c>
    </row>
    <row r="65" spans="9:12" ht="14.25" customHeight="1">
      <c r="I65" s="232" t="s">
        <v>402</v>
      </c>
      <c r="J65" s="233">
        <v>7</v>
      </c>
      <c r="K65" s="232">
        <v>887.68</v>
      </c>
      <c r="L65" s="232">
        <f>K65*J65</f>
        <v>6213.7599999999993</v>
      </c>
    </row>
    <row r="66" spans="9:12" ht="14.25" customHeight="1"/>
  </sheetData>
  <mergeCells count="17">
    <mergeCell ref="A48:K48"/>
    <mergeCell ref="A58:G58"/>
    <mergeCell ref="B59:C59"/>
    <mergeCell ref="F59:G59"/>
    <mergeCell ref="B63:C63"/>
    <mergeCell ref="F63:G63"/>
    <mergeCell ref="A6:E6"/>
    <mergeCell ref="A7:E7"/>
    <mergeCell ref="A8:E8"/>
    <mergeCell ref="A13:R13"/>
    <mergeCell ref="L14:M14"/>
    <mergeCell ref="N14:O14"/>
    <mergeCell ref="A1:G1"/>
    <mergeCell ref="A2:E2"/>
    <mergeCell ref="A3:E3"/>
    <mergeCell ref="A4:E4"/>
    <mergeCell ref="A5:E5"/>
  </mergeCells>
  <conditionalFormatting sqref="E52">
    <cfRule type="expression" dxfId="7" priority="2">
      <formula>$H$42&lt;$G$42</formula>
    </cfRule>
  </conditionalFormatting>
  <conditionalFormatting sqref="B55 F52">
    <cfRule type="expression" dxfId="6" priority="3">
      <formula>#REF!*$F$62&lt;#REF!</formula>
    </cfRule>
  </conditionalFormatting>
  <pageMargins left="0.7" right="0.7" top="0.75" bottom="0.75"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A1:R66"/>
  <sheetViews>
    <sheetView topLeftCell="A49" zoomScale="85" zoomScaleNormal="85" workbookViewId="0">
      <selection activeCell="C52" sqref="C52"/>
    </sheetView>
  </sheetViews>
  <sheetFormatPr defaultColWidth="21" defaultRowHeight="12"/>
  <cols>
    <col min="1" max="1" width="28.85546875" style="50" customWidth="1"/>
    <col min="2" max="3" width="21.85546875" style="50" customWidth="1"/>
    <col min="4" max="4" width="23.42578125" style="50" customWidth="1"/>
    <col min="5" max="5" width="32.7109375" style="50" customWidth="1"/>
    <col min="6" max="6" width="28.7109375" style="50" customWidth="1"/>
    <col min="7" max="7" width="24.28515625" style="50" customWidth="1"/>
    <col min="8" max="8" width="26.85546875" style="50" customWidth="1"/>
    <col min="9" max="9" width="18.85546875" style="50" customWidth="1"/>
    <col min="10" max="10" width="26.85546875" style="50" customWidth="1"/>
    <col min="11" max="12" width="21" style="50"/>
    <col min="13" max="13" width="27.42578125" style="50" customWidth="1"/>
    <col min="14" max="16384" width="21" style="50"/>
  </cols>
  <sheetData>
    <row r="1" spans="1:18" ht="15" customHeight="1">
      <c r="A1" s="324" t="s">
        <v>409</v>
      </c>
      <c r="B1" s="324"/>
      <c r="C1" s="324"/>
      <c r="D1" s="324"/>
      <c r="E1" s="324"/>
      <c r="F1" s="324"/>
      <c r="G1" s="324"/>
    </row>
    <row r="2" spans="1:18">
      <c r="A2" s="325" t="s">
        <v>410</v>
      </c>
      <c r="B2" s="325"/>
      <c r="C2" s="325"/>
      <c r="D2" s="325"/>
      <c r="E2" s="325"/>
      <c r="G2" s="239"/>
    </row>
    <row r="3" spans="1:18">
      <c r="A3" s="325" t="s">
        <v>411</v>
      </c>
      <c r="B3" s="325"/>
      <c r="C3" s="325"/>
      <c r="D3" s="325"/>
      <c r="E3" s="325"/>
      <c r="G3" s="239"/>
    </row>
    <row r="4" spans="1:18">
      <c r="A4" s="325" t="s">
        <v>412</v>
      </c>
      <c r="B4" s="325"/>
      <c r="C4" s="325"/>
      <c r="D4" s="325"/>
      <c r="E4" s="325"/>
      <c r="G4" s="239"/>
    </row>
    <row r="5" spans="1:18">
      <c r="A5" s="325" t="s">
        <v>413</v>
      </c>
      <c r="B5" s="325"/>
      <c r="C5" s="325"/>
      <c r="D5" s="325"/>
      <c r="E5" s="325"/>
      <c r="G5" s="239"/>
    </row>
    <row r="6" spans="1:18">
      <c r="A6" s="325" t="s">
        <v>414</v>
      </c>
      <c r="B6" s="325"/>
      <c r="C6" s="325"/>
      <c r="D6" s="325"/>
      <c r="E6" s="325"/>
      <c r="G6" s="239"/>
    </row>
    <row r="7" spans="1:18">
      <c r="A7" s="325" t="s">
        <v>415</v>
      </c>
      <c r="B7" s="325"/>
      <c r="C7" s="325"/>
      <c r="D7" s="325"/>
      <c r="E7" s="325"/>
      <c r="G7" s="239"/>
    </row>
    <row r="8" spans="1:18">
      <c r="A8" s="325" t="s">
        <v>416</v>
      </c>
      <c r="B8" s="325"/>
      <c r="C8" s="325"/>
      <c r="D8" s="325"/>
      <c r="E8" s="325"/>
      <c r="G8" s="239"/>
    </row>
    <row r="9" spans="1:18">
      <c r="A9" s="4" t="s">
        <v>417</v>
      </c>
      <c r="B9" s="240"/>
      <c r="C9" s="240"/>
      <c r="D9" s="240"/>
      <c r="G9" s="239"/>
    </row>
    <row r="10" spans="1:18" ht="15" customHeight="1">
      <c r="A10" s="168" t="s">
        <v>418</v>
      </c>
      <c r="B10" s="241"/>
      <c r="C10" s="241"/>
      <c r="D10" s="241"/>
      <c r="E10" s="241"/>
      <c r="F10" s="241"/>
      <c r="G10" s="242"/>
    </row>
    <row r="12" spans="1:18" ht="12.75" customHeight="1">
      <c r="A12" s="193" t="s">
        <v>329</v>
      </c>
      <c r="H12" s="194"/>
      <c r="I12" s="195"/>
      <c r="J12" s="195"/>
      <c r="K12" s="196"/>
    </row>
    <row r="13" spans="1:18" ht="14.25" customHeight="1">
      <c r="A13" s="320" t="s">
        <v>330</v>
      </c>
      <c r="B13" s="320"/>
      <c r="C13" s="320"/>
      <c r="D13" s="320"/>
      <c r="E13" s="320"/>
      <c r="F13" s="320"/>
      <c r="G13" s="320"/>
      <c r="H13" s="320"/>
      <c r="I13" s="320"/>
      <c r="J13" s="320"/>
      <c r="K13" s="320"/>
      <c r="L13" s="320"/>
      <c r="M13" s="320"/>
      <c r="N13" s="320"/>
      <c r="O13" s="320"/>
      <c r="P13" s="320"/>
      <c r="Q13" s="320"/>
      <c r="R13" s="320"/>
    </row>
    <row r="14" spans="1:18" ht="14.25" customHeight="1">
      <c r="A14" s="197"/>
      <c r="B14" s="197"/>
      <c r="C14" s="197"/>
      <c r="D14" s="32"/>
      <c r="E14" s="32"/>
      <c r="F14" s="32"/>
      <c r="G14" s="32"/>
      <c r="H14" s="32"/>
      <c r="I14" s="32"/>
      <c r="J14" s="32"/>
      <c r="K14" s="32"/>
      <c r="L14" s="276" t="s">
        <v>331</v>
      </c>
      <c r="M14" s="276"/>
      <c r="N14" s="321" t="s">
        <v>332</v>
      </c>
      <c r="O14" s="321"/>
      <c r="P14" s="32"/>
      <c r="Q14" s="32"/>
      <c r="R14" s="32"/>
    </row>
    <row r="15" spans="1:18" ht="15.75" customHeight="1">
      <c r="A15" s="198" t="s">
        <v>403</v>
      </c>
      <c r="B15" s="198" t="s">
        <v>334</v>
      </c>
      <c r="C15" s="198" t="s">
        <v>335</v>
      </c>
      <c r="D15" s="198" t="s">
        <v>336</v>
      </c>
      <c r="E15" s="199" t="s">
        <v>337</v>
      </c>
      <c r="F15" s="199" t="s">
        <v>338</v>
      </c>
      <c r="G15" s="199" t="s">
        <v>339</v>
      </c>
      <c r="H15" s="199" t="s">
        <v>340</v>
      </c>
      <c r="I15" s="199" t="s">
        <v>341</v>
      </c>
      <c r="J15" s="198" t="s">
        <v>342</v>
      </c>
      <c r="K15" s="199" t="s">
        <v>343</v>
      </c>
      <c r="L15" s="198" t="s">
        <v>99</v>
      </c>
      <c r="M15" s="198" t="s">
        <v>344</v>
      </c>
      <c r="N15" s="198" t="s">
        <v>99</v>
      </c>
      <c r="O15" s="198" t="s">
        <v>344</v>
      </c>
      <c r="P15" s="198" t="s">
        <v>345</v>
      </c>
      <c r="Q15" s="198" t="s">
        <v>346</v>
      </c>
      <c r="R15" s="198" t="s">
        <v>103</v>
      </c>
    </row>
    <row r="16" spans="1:18" ht="13.5" customHeight="1">
      <c r="A16" s="200" t="s">
        <v>404</v>
      </c>
      <c r="B16" s="200">
        <v>1</v>
      </c>
      <c r="C16" s="200">
        <v>1</v>
      </c>
      <c r="D16" s="200">
        <v>1</v>
      </c>
      <c r="E16" s="236">
        <v>2</v>
      </c>
      <c r="F16" s="202">
        <v>500</v>
      </c>
      <c r="G16" s="202">
        <v>512</v>
      </c>
      <c r="H16" s="202">
        <v>1000</v>
      </c>
      <c r="I16" s="202">
        <v>1536</v>
      </c>
      <c r="J16" s="202">
        <f>6*1024</f>
        <v>6144</v>
      </c>
      <c r="K16" s="202">
        <v>0</v>
      </c>
      <c r="L16" s="202">
        <f>D16*F16</f>
        <v>500</v>
      </c>
      <c r="M16" s="202">
        <f>D16*G16</f>
        <v>512</v>
      </c>
      <c r="N16" s="202">
        <f>E16*H16</f>
        <v>2000</v>
      </c>
      <c r="O16" s="202">
        <f>E16*I16</f>
        <v>3072</v>
      </c>
      <c r="P16" s="202">
        <f>J16*3</f>
        <v>18432</v>
      </c>
      <c r="Q16" s="202">
        <f>E16*K16</f>
        <v>0</v>
      </c>
      <c r="R16" s="202"/>
    </row>
    <row r="17" spans="1:18" ht="13.5" customHeight="1">
      <c r="A17" s="200" t="s">
        <v>405</v>
      </c>
      <c r="B17" s="200">
        <v>1</v>
      </c>
      <c r="C17" s="237">
        <v>0</v>
      </c>
      <c r="D17" s="237">
        <v>0</v>
      </c>
      <c r="E17" s="238">
        <v>0</v>
      </c>
      <c r="F17" s="202">
        <v>100</v>
      </c>
      <c r="G17" s="202">
        <v>512</v>
      </c>
      <c r="H17" s="202">
        <v>300</v>
      </c>
      <c r="I17" s="202">
        <v>1536</v>
      </c>
      <c r="J17" s="202">
        <f>1024*8</f>
        <v>8192</v>
      </c>
      <c r="K17" s="202">
        <v>30</v>
      </c>
      <c r="L17" s="202">
        <f>D17*F17</f>
        <v>0</v>
      </c>
      <c r="M17" s="202">
        <f>D17*G17</f>
        <v>0</v>
      </c>
      <c r="N17" s="202">
        <f>E17*H17</f>
        <v>0</v>
      </c>
      <c r="O17" s="202">
        <f>E17*I17</f>
        <v>0</v>
      </c>
      <c r="P17" s="202">
        <f>J17*3</f>
        <v>24576</v>
      </c>
      <c r="Q17" s="202">
        <f>E17*K17</f>
        <v>0</v>
      </c>
      <c r="R17" s="202"/>
    </row>
    <row r="18" spans="1:18" ht="13.5" customHeight="1">
      <c r="A18" s="200" t="s">
        <v>406</v>
      </c>
      <c r="B18" s="200">
        <v>1</v>
      </c>
      <c r="C18" s="200">
        <v>1</v>
      </c>
      <c r="D18" s="200">
        <v>1</v>
      </c>
      <c r="E18" s="236">
        <v>2</v>
      </c>
      <c r="F18" s="202">
        <v>300</v>
      </c>
      <c r="G18" s="202">
        <v>128</v>
      </c>
      <c r="H18" s="202">
        <v>300</v>
      </c>
      <c r="I18" s="202">
        <v>128</v>
      </c>
      <c r="J18" s="202">
        <f>1024</f>
        <v>1024</v>
      </c>
      <c r="K18" s="202">
        <v>0</v>
      </c>
      <c r="L18" s="202">
        <f>D18*F18</f>
        <v>300</v>
      </c>
      <c r="M18" s="202">
        <f>D18*G18</f>
        <v>128</v>
      </c>
      <c r="N18" s="202">
        <f>E18*H18</f>
        <v>600</v>
      </c>
      <c r="O18" s="202">
        <f>E18*I18</f>
        <v>256</v>
      </c>
      <c r="P18" s="202">
        <f>J18*3</f>
        <v>3072</v>
      </c>
      <c r="Q18" s="202">
        <f>E18*K18</f>
        <v>0</v>
      </c>
      <c r="R18" s="202"/>
    </row>
    <row r="19" spans="1:18" ht="13.5" customHeight="1">
      <c r="A19" s="200" t="s">
        <v>407</v>
      </c>
      <c r="B19" s="200">
        <v>1</v>
      </c>
      <c r="C19" s="200">
        <v>1</v>
      </c>
      <c r="D19" s="200">
        <v>1</v>
      </c>
      <c r="E19" s="236">
        <v>2</v>
      </c>
      <c r="F19" s="202">
        <v>100</v>
      </c>
      <c r="G19" s="202">
        <v>128</v>
      </c>
      <c r="H19" s="202">
        <v>100</v>
      </c>
      <c r="I19" s="202">
        <v>128</v>
      </c>
      <c r="J19" s="202">
        <v>1024</v>
      </c>
      <c r="K19" s="202">
        <v>0</v>
      </c>
      <c r="L19" s="202">
        <f>D19*F19</f>
        <v>100</v>
      </c>
      <c r="M19" s="202">
        <f>D19*G19</f>
        <v>128</v>
      </c>
      <c r="N19" s="202">
        <f>E19*H19</f>
        <v>200</v>
      </c>
      <c r="O19" s="202">
        <f>E19*I19</f>
        <v>256</v>
      </c>
      <c r="P19" s="202">
        <f>J19*3</f>
        <v>3072</v>
      </c>
      <c r="Q19" s="202">
        <f>E19*K19</f>
        <v>0</v>
      </c>
      <c r="R19" s="202"/>
    </row>
    <row r="20" spans="1:18" ht="13.5" customHeight="1">
      <c r="A20" s="198" t="s">
        <v>333</v>
      </c>
      <c r="B20" s="198"/>
      <c r="C20" s="198"/>
      <c r="D20" s="198"/>
      <c r="E20" s="198"/>
      <c r="F20" s="198"/>
      <c r="G20" s="198"/>
      <c r="H20" s="198"/>
      <c r="I20" s="198"/>
      <c r="J20" s="198"/>
      <c r="K20" s="198"/>
      <c r="L20" s="198"/>
      <c r="M20" s="198"/>
      <c r="N20" s="198"/>
      <c r="O20" s="198"/>
      <c r="P20" s="198"/>
      <c r="Q20" s="198"/>
      <c r="R20" s="198"/>
    </row>
    <row r="21" spans="1:18" ht="13.5" customHeight="1">
      <c r="A21" s="200" t="s">
        <v>347</v>
      </c>
      <c r="B21" s="200">
        <v>1</v>
      </c>
      <c r="C21" s="200">
        <v>1</v>
      </c>
      <c r="D21" s="200">
        <v>1</v>
      </c>
      <c r="E21" s="243">
        <v>2</v>
      </c>
      <c r="F21" s="243">
        <v>25</v>
      </c>
      <c r="G21" s="243">
        <v>70</v>
      </c>
      <c r="H21" s="243">
        <v>50</v>
      </c>
      <c r="I21" s="243">
        <v>100</v>
      </c>
      <c r="J21" s="243">
        <v>80</v>
      </c>
      <c r="K21" s="243">
        <v>0</v>
      </c>
      <c r="L21" s="202">
        <f>D21*F21</f>
        <v>25</v>
      </c>
      <c r="M21" s="202">
        <f>D21*G21</f>
        <v>70</v>
      </c>
      <c r="N21" s="202">
        <f>E21*H21</f>
        <v>100</v>
      </c>
      <c r="O21" s="202">
        <f>E21*I21</f>
        <v>200</v>
      </c>
      <c r="P21" s="202">
        <f>J21*3</f>
        <v>240</v>
      </c>
      <c r="Q21" s="202">
        <f>E21*K21</f>
        <v>0</v>
      </c>
      <c r="R21" s="203"/>
    </row>
    <row r="22" spans="1:18" ht="13.5" customHeight="1">
      <c r="A22" s="200" t="s">
        <v>348</v>
      </c>
      <c r="B22" s="200">
        <v>1</v>
      </c>
      <c r="C22" s="200">
        <v>1</v>
      </c>
      <c r="D22" s="200">
        <v>1</v>
      </c>
      <c r="E22" s="243">
        <v>2</v>
      </c>
      <c r="F22" s="243">
        <v>100</v>
      </c>
      <c r="G22" s="243">
        <v>50</v>
      </c>
      <c r="H22" s="243">
        <v>100</v>
      </c>
      <c r="I22" s="243">
        <v>50</v>
      </c>
      <c r="J22" s="243">
        <v>60</v>
      </c>
      <c r="K22" s="243">
        <v>0</v>
      </c>
      <c r="L22" s="202">
        <f>D22*F22</f>
        <v>100</v>
      </c>
      <c r="M22" s="202">
        <f>D22*G22</f>
        <v>50</v>
      </c>
      <c r="N22" s="202">
        <f>E22*H22</f>
        <v>200</v>
      </c>
      <c r="O22" s="202">
        <f>E22*I22</f>
        <v>100</v>
      </c>
      <c r="P22" s="202">
        <f>J22*3</f>
        <v>180</v>
      </c>
      <c r="Q22" s="202">
        <f>E22*K22</f>
        <v>0</v>
      </c>
      <c r="R22" s="202"/>
    </row>
    <row r="23" spans="1:18" ht="13.5" customHeight="1">
      <c r="A23" s="200" t="s">
        <v>349</v>
      </c>
      <c r="B23" s="200">
        <v>1</v>
      </c>
      <c r="C23" s="200">
        <v>1</v>
      </c>
      <c r="D23" s="200">
        <v>1</v>
      </c>
      <c r="E23" s="243">
        <v>2</v>
      </c>
      <c r="F23" s="243">
        <v>100</v>
      </c>
      <c r="G23" s="243">
        <v>70</v>
      </c>
      <c r="H23" s="243">
        <v>100</v>
      </c>
      <c r="I23" s="243">
        <v>170</v>
      </c>
      <c r="J23" s="243">
        <v>40</v>
      </c>
      <c r="K23" s="243">
        <v>0</v>
      </c>
      <c r="L23" s="202">
        <f>D23*F23</f>
        <v>100</v>
      </c>
      <c r="M23" s="202">
        <f>D23*G23</f>
        <v>70</v>
      </c>
      <c r="N23" s="202">
        <f>E23*H23</f>
        <v>200</v>
      </c>
      <c r="O23" s="202">
        <f>E23*I23</f>
        <v>340</v>
      </c>
      <c r="P23" s="202">
        <f>J23*3</f>
        <v>120</v>
      </c>
      <c r="Q23" s="202">
        <f>E23*K23</f>
        <v>0</v>
      </c>
      <c r="R23" s="203"/>
    </row>
    <row r="24" spans="1:18" ht="13.5" customHeight="1">
      <c r="A24" s="200" t="s">
        <v>350</v>
      </c>
      <c r="B24" s="200">
        <v>1</v>
      </c>
      <c r="C24" s="200">
        <v>1</v>
      </c>
      <c r="D24" s="200">
        <v>1</v>
      </c>
      <c r="E24" s="243">
        <v>2</v>
      </c>
      <c r="F24" s="243">
        <v>100</v>
      </c>
      <c r="G24" s="243">
        <v>128</v>
      </c>
      <c r="H24" s="243">
        <v>100</v>
      </c>
      <c r="I24" s="243">
        <v>128</v>
      </c>
      <c r="J24" s="243">
        <v>50</v>
      </c>
      <c r="K24" s="243">
        <v>0</v>
      </c>
      <c r="L24" s="202">
        <f>D24*F24</f>
        <v>100</v>
      </c>
      <c r="M24" s="202">
        <f>D24*G24</f>
        <v>128</v>
      </c>
      <c r="N24" s="202">
        <f>E24*H24</f>
        <v>200</v>
      </c>
      <c r="O24" s="202">
        <f>E24*I24</f>
        <v>256</v>
      </c>
      <c r="P24" s="202">
        <f>J24*3</f>
        <v>150</v>
      </c>
      <c r="Q24" s="202">
        <f>E24*K24</f>
        <v>0</v>
      </c>
      <c r="R24" s="203"/>
    </row>
    <row r="25" spans="1:18" ht="13.5" customHeight="1">
      <c r="A25" s="205" t="s">
        <v>351</v>
      </c>
      <c r="B25" s="205">
        <v>1</v>
      </c>
      <c r="C25" s="205">
        <v>1</v>
      </c>
      <c r="D25" s="205">
        <v>1</v>
      </c>
      <c r="E25" s="244">
        <v>2</v>
      </c>
      <c r="F25" s="244">
        <v>100</v>
      </c>
      <c r="G25" s="244">
        <v>200</v>
      </c>
      <c r="H25" s="244">
        <v>100</v>
      </c>
      <c r="I25" s="244">
        <v>200</v>
      </c>
      <c r="J25" s="244">
        <v>50</v>
      </c>
      <c r="K25" s="244">
        <v>0</v>
      </c>
      <c r="L25" s="202">
        <f>D25*F25</f>
        <v>100</v>
      </c>
      <c r="M25" s="202">
        <f>D25*G25</f>
        <v>200</v>
      </c>
      <c r="N25" s="202">
        <f>E25*H25</f>
        <v>200</v>
      </c>
      <c r="O25" s="202">
        <f>E25*I25</f>
        <v>400</v>
      </c>
      <c r="P25" s="202">
        <f>J25*3</f>
        <v>150</v>
      </c>
      <c r="Q25" s="202">
        <f>E25*K25</f>
        <v>0</v>
      </c>
      <c r="R25" s="203"/>
    </row>
    <row r="26" spans="1:18" ht="13.5" customHeight="1">
      <c r="A26" s="245" t="s">
        <v>352</v>
      </c>
      <c r="B26" s="205">
        <v>1</v>
      </c>
      <c r="C26" s="205">
        <v>1</v>
      </c>
      <c r="D26" s="205">
        <v>1</v>
      </c>
      <c r="E26" s="244">
        <v>2</v>
      </c>
      <c r="F26" s="244">
        <v>100</v>
      </c>
      <c r="G26" s="244">
        <v>600</v>
      </c>
      <c r="H26" s="244">
        <v>100</v>
      </c>
      <c r="I26" s="244">
        <v>600</v>
      </c>
      <c r="J26" s="244">
        <v>50</v>
      </c>
      <c r="K26" s="244">
        <v>0</v>
      </c>
      <c r="L26" s="202">
        <f>D26*F26</f>
        <v>100</v>
      </c>
      <c r="M26" s="202">
        <f>D26*G26</f>
        <v>600</v>
      </c>
      <c r="N26" s="202">
        <f>E26*H26</f>
        <v>200</v>
      </c>
      <c r="O26" s="202">
        <f>E26*I26</f>
        <v>1200</v>
      </c>
      <c r="P26" s="202">
        <f>J26*3</f>
        <v>150</v>
      </c>
      <c r="Q26" s="202">
        <f>E26*K26</f>
        <v>0</v>
      </c>
      <c r="R26" s="203"/>
    </row>
    <row r="27" spans="1:18" ht="15.75" customHeight="1">
      <c r="A27" s="198" t="s">
        <v>408</v>
      </c>
      <c r="B27" s="198"/>
      <c r="C27" s="198"/>
      <c r="D27" s="198"/>
      <c r="E27" s="198"/>
      <c r="F27" s="198"/>
      <c r="G27" s="198"/>
      <c r="H27" s="198"/>
      <c r="I27" s="198"/>
      <c r="J27" s="198"/>
      <c r="K27" s="198"/>
      <c r="L27" s="198"/>
      <c r="M27" s="198"/>
      <c r="N27" s="198"/>
      <c r="O27" s="198"/>
      <c r="P27" s="198"/>
      <c r="Q27" s="198"/>
      <c r="R27" s="198"/>
    </row>
    <row r="28" spans="1:18" ht="13.5" customHeight="1">
      <c r="A28" s="200" t="s">
        <v>408</v>
      </c>
      <c r="B28" s="200">
        <v>1</v>
      </c>
      <c r="C28" s="237">
        <v>0</v>
      </c>
      <c r="D28" s="237">
        <v>0</v>
      </c>
      <c r="E28" s="238">
        <v>0</v>
      </c>
      <c r="F28" s="201">
        <v>250</v>
      </c>
      <c r="G28" s="201">
        <v>512</v>
      </c>
      <c r="H28" s="201">
        <v>1000</v>
      </c>
      <c r="I28" s="201">
        <v>2048</v>
      </c>
      <c r="J28" s="201">
        <v>1024</v>
      </c>
      <c r="K28" s="201">
        <v>0</v>
      </c>
      <c r="L28" s="202">
        <f>D28*F28</f>
        <v>0</v>
      </c>
      <c r="M28" s="202">
        <f>D28*G28</f>
        <v>0</v>
      </c>
      <c r="N28" s="202">
        <f>E28*H28</f>
        <v>0</v>
      </c>
      <c r="O28" s="202">
        <f>E28*I28</f>
        <v>0</v>
      </c>
      <c r="P28" s="202">
        <f>J28*3</f>
        <v>3072</v>
      </c>
      <c r="Q28" s="202">
        <f>E28*K28</f>
        <v>0</v>
      </c>
      <c r="R28" s="203"/>
    </row>
    <row r="29" spans="1:18" ht="15.75" customHeight="1">
      <c r="A29" s="198" t="s">
        <v>353</v>
      </c>
      <c r="B29" s="198"/>
      <c r="C29" s="198"/>
      <c r="D29" s="198"/>
      <c r="E29" s="199"/>
      <c r="F29" s="199"/>
      <c r="G29" s="199"/>
      <c r="H29" s="199"/>
      <c r="I29" s="199"/>
      <c r="J29" s="199"/>
      <c r="K29" s="199"/>
      <c r="L29" s="199"/>
      <c r="M29" s="199"/>
      <c r="N29" s="199"/>
      <c r="O29" s="199"/>
      <c r="P29" s="199"/>
      <c r="Q29" s="199"/>
      <c r="R29" s="199"/>
    </row>
    <row r="30" spans="1:18" ht="13.5" customHeight="1">
      <c r="A30" s="205" t="s">
        <v>354</v>
      </c>
      <c r="B30" s="205">
        <v>1</v>
      </c>
      <c r="C30" s="205">
        <v>1</v>
      </c>
      <c r="D30" s="205">
        <v>1</v>
      </c>
      <c r="E30" s="206">
        <v>2</v>
      </c>
      <c r="F30" s="207">
        <v>25</v>
      </c>
      <c r="G30" s="207">
        <v>100</v>
      </c>
      <c r="H30" s="207">
        <v>100</v>
      </c>
      <c r="I30" s="207">
        <v>100</v>
      </c>
      <c r="J30" s="207">
        <v>50</v>
      </c>
      <c r="K30" s="207">
        <v>0</v>
      </c>
      <c r="L30" s="202">
        <f>D30*F30</f>
        <v>25</v>
      </c>
      <c r="M30" s="202">
        <f>D30*G30</f>
        <v>100</v>
      </c>
      <c r="N30" s="202">
        <f>E30*H30</f>
        <v>200</v>
      </c>
      <c r="O30" s="202">
        <f>E30*I30</f>
        <v>200</v>
      </c>
      <c r="P30" s="202">
        <f>J30*3</f>
        <v>150</v>
      </c>
      <c r="Q30" s="202">
        <f>E30*K30</f>
        <v>0</v>
      </c>
      <c r="R30" s="202"/>
    </row>
    <row r="31" spans="1:18" ht="15.75" customHeight="1">
      <c r="A31" s="198" t="s">
        <v>355</v>
      </c>
      <c r="B31" s="198"/>
      <c r="C31" s="198"/>
      <c r="D31" s="198"/>
      <c r="E31" s="199"/>
      <c r="F31" s="199"/>
      <c r="G31" s="199"/>
      <c r="H31" s="199"/>
      <c r="I31" s="199"/>
      <c r="J31" s="199"/>
      <c r="K31" s="199"/>
      <c r="L31" s="199"/>
      <c r="M31" s="199"/>
      <c r="N31" s="199"/>
      <c r="O31" s="199"/>
      <c r="P31" s="199"/>
      <c r="Q31" s="199"/>
      <c r="R31" s="199"/>
    </row>
    <row r="32" spans="1:18" ht="13.5" customHeight="1">
      <c r="A32" s="208" t="s">
        <v>356</v>
      </c>
      <c r="B32" s="208">
        <v>1</v>
      </c>
      <c r="C32" s="208">
        <v>3</v>
      </c>
      <c r="D32" s="208">
        <v>3</v>
      </c>
      <c r="E32" s="208">
        <v>6</v>
      </c>
      <c r="F32" s="208">
        <v>500</v>
      </c>
      <c r="G32" s="208">
        <v>1024</v>
      </c>
      <c r="H32" s="208">
        <v>1500</v>
      </c>
      <c r="I32" s="208">
        <v>2048</v>
      </c>
      <c r="J32" s="208">
        <v>2048</v>
      </c>
      <c r="K32" s="208">
        <v>0</v>
      </c>
      <c r="L32" s="202">
        <f>D32*F32</f>
        <v>1500</v>
      </c>
      <c r="M32" s="202">
        <f>D32*G32</f>
        <v>3072</v>
      </c>
      <c r="N32" s="202">
        <f>E32*H32</f>
        <v>9000</v>
      </c>
      <c r="O32" s="202">
        <f>E32*I32</f>
        <v>12288</v>
      </c>
      <c r="P32" s="202">
        <f>J32*3</f>
        <v>6144</v>
      </c>
      <c r="Q32" s="202">
        <f>E32*H32</f>
        <v>9000</v>
      </c>
      <c r="R32" s="202"/>
    </row>
    <row r="33" spans="1:18" ht="13.5" customHeight="1">
      <c r="A33" s="208" t="s">
        <v>357</v>
      </c>
      <c r="B33" s="208">
        <v>1</v>
      </c>
      <c r="C33" s="208">
        <v>3</v>
      </c>
      <c r="D33" s="208">
        <v>3</v>
      </c>
      <c r="E33" s="208">
        <v>6</v>
      </c>
      <c r="F33" s="208">
        <v>500</v>
      </c>
      <c r="G33" s="208">
        <v>1024</v>
      </c>
      <c r="H33" s="208">
        <v>1500</v>
      </c>
      <c r="I33" s="208">
        <v>2048</v>
      </c>
      <c r="J33" s="208">
        <v>2048</v>
      </c>
      <c r="K33" s="208">
        <v>0</v>
      </c>
      <c r="L33" s="202">
        <f>D33*F33</f>
        <v>1500</v>
      </c>
      <c r="M33" s="202">
        <f>D33*G33</f>
        <v>3072</v>
      </c>
      <c r="N33" s="202">
        <f>E33*H33</f>
        <v>9000</v>
      </c>
      <c r="O33" s="202">
        <f>E33*I33</f>
        <v>12288</v>
      </c>
      <c r="P33" s="202">
        <f>J33*3</f>
        <v>6144</v>
      </c>
      <c r="Q33" s="202">
        <f>E33*H33</f>
        <v>9000</v>
      </c>
      <c r="R33" s="202"/>
    </row>
    <row r="34" spans="1:18" ht="13.5" customHeight="1">
      <c r="A34" s="208" t="s">
        <v>358</v>
      </c>
      <c r="B34" s="208">
        <v>1</v>
      </c>
      <c r="C34" s="208">
        <v>3</v>
      </c>
      <c r="D34" s="208">
        <v>3</v>
      </c>
      <c r="E34" s="208">
        <v>6</v>
      </c>
      <c r="F34" s="208">
        <v>500</v>
      </c>
      <c r="G34" s="208">
        <v>1024</v>
      </c>
      <c r="H34" s="208">
        <v>1500</v>
      </c>
      <c r="I34" s="208">
        <v>2048</v>
      </c>
      <c r="J34" s="208">
        <v>2048</v>
      </c>
      <c r="K34" s="208">
        <v>0</v>
      </c>
      <c r="L34" s="202">
        <f>D34*F34</f>
        <v>1500</v>
      </c>
      <c r="M34" s="202">
        <f>D34*G34</f>
        <v>3072</v>
      </c>
      <c r="N34" s="202">
        <f>E34*H34</f>
        <v>9000</v>
      </c>
      <c r="O34" s="202">
        <f>E34*I34</f>
        <v>12288</v>
      </c>
      <c r="P34" s="202">
        <f>J34*3</f>
        <v>6144</v>
      </c>
      <c r="Q34" s="202">
        <f>E34*H34</f>
        <v>9000</v>
      </c>
      <c r="R34" s="202"/>
    </row>
    <row r="35" spans="1:18" ht="13.5" customHeight="1">
      <c r="A35" s="208" t="s">
        <v>359</v>
      </c>
      <c r="B35" s="208">
        <v>1</v>
      </c>
      <c r="C35" s="208">
        <v>3</v>
      </c>
      <c r="D35" s="208">
        <v>3</v>
      </c>
      <c r="E35" s="208">
        <v>6</v>
      </c>
      <c r="F35" s="208">
        <v>400</v>
      </c>
      <c r="G35" s="208">
        <v>768</v>
      </c>
      <c r="H35" s="208">
        <v>1200</v>
      </c>
      <c r="I35" s="208">
        <v>1536</v>
      </c>
      <c r="J35" s="208">
        <v>2048</v>
      </c>
      <c r="K35" s="208">
        <v>0</v>
      </c>
      <c r="L35" s="202">
        <f>D35*F35</f>
        <v>1200</v>
      </c>
      <c r="M35" s="202">
        <f>D35*G35</f>
        <v>2304</v>
      </c>
      <c r="N35" s="202">
        <f>E35*H35</f>
        <v>7200</v>
      </c>
      <c r="O35" s="202">
        <f>E35*I35</f>
        <v>9216</v>
      </c>
      <c r="P35" s="202">
        <f>J35*3</f>
        <v>6144</v>
      </c>
      <c r="Q35" s="202">
        <f>E35*H35</f>
        <v>7200</v>
      </c>
      <c r="R35" s="202"/>
    </row>
    <row r="36" spans="1:18" ht="13.5" customHeight="1">
      <c r="A36" s="208" t="s">
        <v>360</v>
      </c>
      <c r="B36" s="208">
        <v>1</v>
      </c>
      <c r="C36" s="208">
        <v>3</v>
      </c>
      <c r="D36" s="208">
        <v>3</v>
      </c>
      <c r="E36" s="208">
        <v>6</v>
      </c>
      <c r="F36" s="208">
        <v>200</v>
      </c>
      <c r="G36" s="208">
        <v>256</v>
      </c>
      <c r="H36" s="208">
        <v>500</v>
      </c>
      <c r="I36" s="208">
        <v>512</v>
      </c>
      <c r="J36" s="208">
        <v>1024</v>
      </c>
      <c r="K36" s="208">
        <v>0</v>
      </c>
      <c r="L36" s="202">
        <f>D36*F36</f>
        <v>600</v>
      </c>
      <c r="M36" s="202">
        <f>D36*G36</f>
        <v>768</v>
      </c>
      <c r="N36" s="202">
        <f>E36*H36</f>
        <v>3000</v>
      </c>
      <c r="O36" s="202">
        <f>E36*I36</f>
        <v>3072</v>
      </c>
      <c r="P36" s="202">
        <f>J36*3</f>
        <v>3072</v>
      </c>
      <c r="Q36" s="202">
        <f>E36*H36</f>
        <v>3000</v>
      </c>
      <c r="R36" s="202"/>
    </row>
    <row r="37" spans="1:18" ht="15.75" customHeight="1">
      <c r="A37" s="198" t="s">
        <v>361</v>
      </c>
      <c r="B37" s="198"/>
      <c r="C37" s="198"/>
      <c r="D37" s="198"/>
      <c r="E37" s="199"/>
      <c r="F37" s="199"/>
      <c r="G37" s="199"/>
      <c r="H37" s="199"/>
      <c r="I37" s="199"/>
      <c r="J37" s="199"/>
      <c r="K37" s="199"/>
      <c r="L37" s="199"/>
      <c r="M37" s="199"/>
      <c r="N37" s="199"/>
      <c r="O37" s="199"/>
      <c r="P37" s="199"/>
      <c r="Q37" s="199"/>
      <c r="R37" s="199"/>
    </row>
    <row r="38" spans="1:18" ht="13.5" customHeight="1">
      <c r="A38" s="208" t="s">
        <v>362</v>
      </c>
      <c r="B38" s="208">
        <v>1</v>
      </c>
      <c r="C38" s="208">
        <v>3</v>
      </c>
      <c r="D38" s="208">
        <v>3</v>
      </c>
      <c r="E38" s="208">
        <v>6</v>
      </c>
      <c r="F38" s="208">
        <v>500</v>
      </c>
      <c r="G38" s="208">
        <v>512</v>
      </c>
      <c r="H38" s="208">
        <v>1000</v>
      </c>
      <c r="I38" s="208">
        <v>1024</v>
      </c>
      <c r="J38" s="208">
        <v>1024</v>
      </c>
      <c r="K38" s="208">
        <v>0</v>
      </c>
      <c r="L38" s="202">
        <f>D38*F38</f>
        <v>1500</v>
      </c>
      <c r="M38" s="202">
        <f>D38*G38</f>
        <v>1536</v>
      </c>
      <c r="N38" s="202">
        <f>E38*H38</f>
        <v>6000</v>
      </c>
      <c r="O38" s="202">
        <f>E38*I38</f>
        <v>6144</v>
      </c>
      <c r="P38" s="202">
        <f>J38*3</f>
        <v>3072</v>
      </c>
      <c r="Q38" s="202">
        <f>E38*H38</f>
        <v>6000</v>
      </c>
      <c r="R38" s="202"/>
    </row>
    <row r="39" spans="1:18" ht="13.5" customHeight="1">
      <c r="A39" s="208" t="s">
        <v>363</v>
      </c>
      <c r="B39" s="208">
        <v>1</v>
      </c>
      <c r="C39" s="208">
        <v>3</v>
      </c>
      <c r="D39" s="208">
        <v>3</v>
      </c>
      <c r="E39" s="208">
        <v>6</v>
      </c>
      <c r="F39" s="208">
        <v>400</v>
      </c>
      <c r="G39" s="208">
        <v>768</v>
      </c>
      <c r="H39" s="208">
        <v>1000</v>
      </c>
      <c r="I39" s="208">
        <v>1536</v>
      </c>
      <c r="J39" s="208">
        <v>1024</v>
      </c>
      <c r="K39" s="208">
        <v>0</v>
      </c>
      <c r="L39" s="202">
        <f>D39*F39</f>
        <v>1200</v>
      </c>
      <c r="M39" s="202">
        <f>D39*G39</f>
        <v>2304</v>
      </c>
      <c r="N39" s="202">
        <f>E39*H39</f>
        <v>6000</v>
      </c>
      <c r="O39" s="202">
        <f>E39*I39</f>
        <v>9216</v>
      </c>
      <c r="P39" s="202">
        <f>J39*3</f>
        <v>3072</v>
      </c>
      <c r="Q39" s="202">
        <f>E39*H39</f>
        <v>6000</v>
      </c>
      <c r="R39" s="202"/>
    </row>
    <row r="40" spans="1:18" ht="13.5" customHeight="1">
      <c r="A40" s="208" t="s">
        <v>364</v>
      </c>
      <c r="B40" s="208">
        <v>1</v>
      </c>
      <c r="C40" s="208">
        <v>3</v>
      </c>
      <c r="D40" s="208">
        <v>3</v>
      </c>
      <c r="E40" s="208">
        <v>6</v>
      </c>
      <c r="F40" s="208">
        <v>500</v>
      </c>
      <c r="G40" s="208">
        <v>1024</v>
      </c>
      <c r="H40" s="208">
        <v>1500</v>
      </c>
      <c r="I40" s="208">
        <v>2048</v>
      </c>
      <c r="J40" s="208">
        <v>2048</v>
      </c>
      <c r="K40" s="208">
        <v>0</v>
      </c>
      <c r="L40" s="202">
        <f>D40*F40</f>
        <v>1500</v>
      </c>
      <c r="M40" s="202">
        <f>D40*G40</f>
        <v>3072</v>
      </c>
      <c r="N40" s="202">
        <f>E40*H40</f>
        <v>9000</v>
      </c>
      <c r="O40" s="202">
        <f>E40*I40</f>
        <v>12288</v>
      </c>
      <c r="P40" s="202">
        <f>J40*3</f>
        <v>6144</v>
      </c>
      <c r="Q40" s="202">
        <f>E40*H40</f>
        <v>9000</v>
      </c>
      <c r="R40" s="202"/>
    </row>
    <row r="41" spans="1:18" ht="13.5" customHeight="1">
      <c r="A41" s="208" t="s">
        <v>365</v>
      </c>
      <c r="B41" s="208">
        <v>1</v>
      </c>
      <c r="C41" s="208">
        <v>3</v>
      </c>
      <c r="D41" s="208">
        <v>3</v>
      </c>
      <c r="E41" s="208">
        <v>6</v>
      </c>
      <c r="F41" s="208">
        <v>400</v>
      </c>
      <c r="G41" s="208">
        <v>768</v>
      </c>
      <c r="H41" s="208">
        <v>1200</v>
      </c>
      <c r="I41" s="208">
        <v>1536</v>
      </c>
      <c r="J41" s="208">
        <v>2048</v>
      </c>
      <c r="K41" s="208">
        <v>20</v>
      </c>
      <c r="L41" s="202">
        <f>D41*F41</f>
        <v>1200</v>
      </c>
      <c r="M41" s="202">
        <f>D41*G41</f>
        <v>2304</v>
      </c>
      <c r="N41" s="202">
        <f>E41*H41</f>
        <v>7200</v>
      </c>
      <c r="O41" s="202">
        <f>E41*I41</f>
        <v>9216</v>
      </c>
      <c r="P41" s="202">
        <f>J41*3</f>
        <v>6144</v>
      </c>
      <c r="Q41" s="202">
        <f>E41*H41</f>
        <v>7200</v>
      </c>
      <c r="R41" s="202"/>
    </row>
    <row r="42" spans="1:18" ht="13.5" customHeight="1">
      <c r="A42" s="208" t="s">
        <v>366</v>
      </c>
      <c r="B42" s="208">
        <v>1</v>
      </c>
      <c r="C42" s="208">
        <v>2</v>
      </c>
      <c r="D42" s="208">
        <v>2</v>
      </c>
      <c r="E42" s="208">
        <v>3</v>
      </c>
      <c r="F42" s="208">
        <v>400</v>
      </c>
      <c r="G42" s="208">
        <v>768</v>
      </c>
      <c r="H42" s="208">
        <v>1200</v>
      </c>
      <c r="I42" s="208">
        <v>1536</v>
      </c>
      <c r="J42" s="208">
        <v>2048</v>
      </c>
      <c r="K42" s="208">
        <v>0</v>
      </c>
      <c r="L42" s="202">
        <f>D42*F42</f>
        <v>800</v>
      </c>
      <c r="M42" s="202">
        <f>D42*G42</f>
        <v>1536</v>
      </c>
      <c r="N42" s="202">
        <f>E42*H42</f>
        <v>3600</v>
      </c>
      <c r="O42" s="202">
        <f>E42*I42</f>
        <v>4608</v>
      </c>
      <c r="P42" s="202">
        <f>J42*3</f>
        <v>6144</v>
      </c>
      <c r="Q42" s="202"/>
      <c r="R42" s="202"/>
    </row>
    <row r="43" spans="1:18" ht="12.75" customHeight="1">
      <c r="A43" s="198" t="s">
        <v>367</v>
      </c>
      <c r="B43" s="198"/>
      <c r="C43" s="198"/>
      <c r="D43" s="198"/>
      <c r="E43" s="209">
        <f>SUM(E16:E42)</f>
        <v>77</v>
      </c>
      <c r="F43" s="198"/>
      <c r="G43" s="198"/>
      <c r="H43" s="198"/>
      <c r="I43" s="198"/>
      <c r="J43" s="198"/>
      <c r="K43" s="198"/>
      <c r="L43" s="198">
        <f>SUM(L16:L42)</f>
        <v>13950</v>
      </c>
      <c r="M43" s="198">
        <f>SUM(M16:M42)</f>
        <v>25026</v>
      </c>
      <c r="N43" s="198">
        <f>SUM(N16:N42)</f>
        <v>73100</v>
      </c>
      <c r="O43" s="198">
        <f>SUM(O16:O42)</f>
        <v>96904</v>
      </c>
      <c r="P43" s="198">
        <f>SUM(P16:P42)</f>
        <v>105588</v>
      </c>
      <c r="Q43" s="198">
        <f>SUM(Q16:Q42)</f>
        <v>65400</v>
      </c>
      <c r="R43" s="198"/>
    </row>
    <row r="44" spans="1:18" ht="14.25" customHeight="1">
      <c r="L44" s="195">
        <f>CEILING(L43/1024,1)</f>
        <v>14</v>
      </c>
      <c r="M44" s="195">
        <f>CEILING(M43/1024,1)</f>
        <v>25</v>
      </c>
      <c r="N44" s="195">
        <f>CEILING(N43/1024,1)</f>
        <v>72</v>
      </c>
      <c r="O44" s="195">
        <f>CEILING(O43/1024,1)</f>
        <v>95</v>
      </c>
      <c r="P44" s="195">
        <f>CEILING(P43/1024,1)</f>
        <v>104</v>
      </c>
      <c r="Q44" s="195">
        <f>Q43</f>
        <v>65400</v>
      </c>
    </row>
    <row r="45" spans="1:18" ht="14.25" customHeight="1">
      <c r="A45" s="142"/>
      <c r="B45" s="142"/>
      <c r="C45" s="147"/>
      <c r="D45" s="147"/>
      <c r="E45" s="147"/>
      <c r="F45" s="147"/>
      <c r="K45" s="194" t="s">
        <v>368</v>
      </c>
      <c r="L45" s="195">
        <f>CEILING(L44/E50,1)</f>
        <v>18</v>
      </c>
      <c r="M45" s="195">
        <f>CEILING(M44/E50,1)</f>
        <v>32</v>
      </c>
      <c r="N45" s="195">
        <f>CEILING(N44/E50,1)</f>
        <v>92</v>
      </c>
      <c r="O45" s="195">
        <f>CEILING(O44/E50,1)</f>
        <v>121</v>
      </c>
      <c r="P45" s="195">
        <f>CEILING(P44/E50,1)</f>
        <v>132</v>
      </c>
      <c r="Q45" s="195">
        <f>CEILING(Q44/E50,1)</f>
        <v>82785</v>
      </c>
    </row>
    <row r="46" spans="1:18" ht="14.25" customHeight="1">
      <c r="K46" s="210" t="s">
        <v>369</v>
      </c>
      <c r="L46" s="142" t="s">
        <v>370</v>
      </c>
      <c r="M46" s="142" t="s">
        <v>371</v>
      </c>
      <c r="N46" s="142" t="s">
        <v>370</v>
      </c>
      <c r="O46" s="142" t="s">
        <v>371</v>
      </c>
      <c r="P46" s="142" t="s">
        <v>372</v>
      </c>
      <c r="Q46" s="142" t="s">
        <v>277</v>
      </c>
    </row>
    <row r="47" spans="1:18" ht="63" customHeight="1">
      <c r="K47" s="210"/>
      <c r="L47" s="142"/>
      <c r="M47" s="142"/>
      <c r="N47" s="142"/>
      <c r="O47" s="142"/>
      <c r="P47" s="28" t="s">
        <v>373</v>
      </c>
      <c r="Q47" s="28" t="s">
        <v>374</v>
      </c>
    </row>
    <row r="48" spans="1:18" ht="14.25" customHeight="1">
      <c r="A48" s="322" t="s">
        <v>375</v>
      </c>
      <c r="B48" s="322"/>
      <c r="C48" s="322"/>
      <c r="D48" s="322"/>
      <c r="E48" s="322"/>
      <c r="F48" s="322"/>
      <c r="G48" s="322"/>
      <c r="H48" s="322"/>
      <c r="I48" s="322"/>
      <c r="J48" s="322"/>
      <c r="K48" s="322"/>
      <c r="L48" s="211"/>
      <c r="M48" s="211"/>
      <c r="N48" s="211"/>
      <c r="O48" s="211"/>
      <c r="P48" s="211"/>
    </row>
    <row r="49" spans="1:16" ht="14.25" customHeight="1">
      <c r="A49" s="210"/>
    </row>
    <row r="50" spans="1:16" ht="14.25" customHeight="1">
      <c r="A50" s="2" t="s">
        <v>376</v>
      </c>
      <c r="B50" s="208">
        <v>4</v>
      </c>
      <c r="D50" s="197" t="s">
        <v>377</v>
      </c>
      <c r="E50" s="212">
        <v>0.79</v>
      </c>
    </row>
    <row r="51" spans="1:16" ht="14.25" customHeight="1">
      <c r="B51" s="213" t="s">
        <v>378</v>
      </c>
      <c r="C51" s="213" t="s">
        <v>379</v>
      </c>
      <c r="D51" s="213" t="s">
        <v>380</v>
      </c>
      <c r="E51" s="213" t="s">
        <v>381</v>
      </c>
      <c r="F51" s="213" t="s">
        <v>382</v>
      </c>
    </row>
    <row r="52" spans="1:16" ht="14.25" customHeight="1">
      <c r="A52" s="210" t="s">
        <v>99</v>
      </c>
      <c r="B52" s="214">
        <f>VLOOKUP(C52,'Ref - ENI Max Pods'!A1:D24,2,FALSE())</f>
        <v>16</v>
      </c>
      <c r="C52" s="215" t="s">
        <v>383</v>
      </c>
      <c r="D52" s="216">
        <f>Q44</f>
        <v>65400</v>
      </c>
      <c r="E52" s="216">
        <f>E43</f>
        <v>77</v>
      </c>
      <c r="F52" s="214">
        <f>B54*F63</f>
        <v>1404</v>
      </c>
    </row>
    <row r="53" spans="1:16" ht="14.25" customHeight="1">
      <c r="A53" s="210" t="s">
        <v>384</v>
      </c>
      <c r="B53" s="214">
        <f>VLOOKUP(C52,'Ref - ENI Max Pods'!A2:D25,3,FALSE())</f>
        <v>64</v>
      </c>
    </row>
    <row r="54" spans="1:16" ht="14.25" customHeight="1">
      <c r="A54" s="210" t="s">
        <v>385</v>
      </c>
      <c r="B54" s="214">
        <f>VLOOKUP(C52,'Ref - ENI Max Pods'!A3:D26,4,FALSE())</f>
        <v>234</v>
      </c>
    </row>
    <row r="55" spans="1:16" ht="14.25" customHeight="1">
      <c r="A55" s="210"/>
      <c r="B55" s="217"/>
    </row>
    <row r="56" spans="1:16" ht="14.25" customHeight="1">
      <c r="A56" s="218"/>
      <c r="B56" s="219"/>
      <c r="C56" s="219"/>
      <c r="D56" s="219"/>
      <c r="E56" s="219"/>
      <c r="F56" s="219"/>
      <c r="G56" s="219"/>
      <c r="H56" s="219"/>
      <c r="I56" s="219"/>
      <c r="J56" s="219"/>
      <c r="K56" s="219"/>
      <c r="L56" s="219"/>
      <c r="M56" s="219"/>
      <c r="N56" s="219"/>
      <c r="O56" s="219"/>
      <c r="P56" s="219"/>
    </row>
    <row r="57" spans="1:16" ht="14.25" customHeight="1">
      <c r="A57" s="193" t="s">
        <v>386</v>
      </c>
    </row>
    <row r="58" spans="1:16" ht="14.25" customHeight="1">
      <c r="A58" s="323" t="s">
        <v>387</v>
      </c>
      <c r="B58" s="323"/>
      <c r="C58" s="323"/>
      <c r="D58" s="323"/>
      <c r="E58" s="323"/>
      <c r="F58" s="323"/>
      <c r="G58" s="323"/>
      <c r="H58" s="193"/>
      <c r="I58" s="246" t="s">
        <v>394</v>
      </c>
      <c r="J58" s="247"/>
      <c r="K58" s="248"/>
      <c r="L58" s="248"/>
    </row>
    <row r="59" spans="1:16" ht="12.75" customHeight="1">
      <c r="A59" s="220" t="s">
        <v>388</v>
      </c>
      <c r="B59" s="317" t="s">
        <v>420</v>
      </c>
      <c r="C59" s="317"/>
      <c r="E59" s="220" t="s">
        <v>388</v>
      </c>
      <c r="F59" s="317" t="s">
        <v>420</v>
      </c>
      <c r="G59" s="317"/>
      <c r="I59" s="232" t="s">
        <v>379</v>
      </c>
      <c r="J59" s="233" t="s">
        <v>395</v>
      </c>
      <c r="K59" s="232" t="s">
        <v>396</v>
      </c>
      <c r="L59" s="232" t="s">
        <v>265</v>
      </c>
    </row>
    <row r="60" spans="1:16" ht="12.75" customHeight="1">
      <c r="A60" s="221"/>
      <c r="B60" s="2" t="s">
        <v>390</v>
      </c>
      <c r="C60" s="2" t="s">
        <v>391</v>
      </c>
      <c r="E60" s="221"/>
      <c r="F60" s="2" t="s">
        <v>390</v>
      </c>
      <c r="G60" s="222" t="s">
        <v>391</v>
      </c>
      <c r="I60" s="232" t="s">
        <v>397</v>
      </c>
      <c r="J60" s="233">
        <v>12</v>
      </c>
      <c r="K60" s="232">
        <v>286.16000000000003</v>
      </c>
      <c r="L60" s="232">
        <f>K60*J60</f>
        <v>3433.92</v>
      </c>
    </row>
    <row r="61" spans="1:16" ht="12.75" customHeight="1">
      <c r="A61" s="223" t="s">
        <v>99</v>
      </c>
      <c r="B61" s="206">
        <f>ROUNDUP(C61/B52,0)</f>
        <v>2</v>
      </c>
      <c r="C61" s="206">
        <f>L45</f>
        <v>18</v>
      </c>
      <c r="E61" s="223" t="s">
        <v>99</v>
      </c>
      <c r="F61" s="206">
        <f>ROUNDUP(G61/B52,0)</f>
        <v>6</v>
      </c>
      <c r="G61" s="224">
        <f>N45</f>
        <v>92</v>
      </c>
      <c r="I61" s="234" t="s">
        <v>398</v>
      </c>
      <c r="J61" s="235">
        <v>7</v>
      </c>
      <c r="K61" s="234">
        <v>572.32000000000005</v>
      </c>
      <c r="L61" s="234">
        <f>K61*J61</f>
        <v>4006.2400000000002</v>
      </c>
    </row>
    <row r="62" spans="1:16" ht="12.75" customHeight="1">
      <c r="A62" s="249" t="s">
        <v>384</v>
      </c>
      <c r="B62" s="206">
        <f>ROUNDUP(C62/B53,0)</f>
        <v>1</v>
      </c>
      <c r="C62" s="206">
        <f>M45</f>
        <v>32</v>
      </c>
      <c r="E62" s="223" t="s">
        <v>384</v>
      </c>
      <c r="F62" s="206">
        <f>ROUNDUP(G62/B53,0)</f>
        <v>2</v>
      </c>
      <c r="G62" s="224">
        <f>O45</f>
        <v>121</v>
      </c>
      <c r="I62" s="232" t="s">
        <v>399</v>
      </c>
      <c r="J62" s="233">
        <v>12</v>
      </c>
      <c r="K62" s="232">
        <v>350.4</v>
      </c>
      <c r="L62" s="232">
        <f>K62*J62</f>
        <v>4204.7999999999993</v>
      </c>
    </row>
    <row r="63" spans="1:16" s="227" customFormat="1" ht="36" customHeight="1">
      <c r="A63" s="226" t="s">
        <v>392</v>
      </c>
      <c r="B63" s="326">
        <f>MAX(B61:B62)</f>
        <v>2</v>
      </c>
      <c r="C63" s="326"/>
      <c r="D63" s="50"/>
      <c r="E63" s="226" t="s">
        <v>393</v>
      </c>
      <c r="F63" s="319">
        <f>MAX(F61:F62)</f>
        <v>6</v>
      </c>
      <c r="G63" s="319"/>
      <c r="I63" s="232" t="s">
        <v>400</v>
      </c>
      <c r="J63" s="233">
        <v>12</v>
      </c>
      <c r="K63" s="232">
        <v>443.84</v>
      </c>
      <c r="L63" s="232">
        <f>K63*J63</f>
        <v>5326.08</v>
      </c>
    </row>
    <row r="64" spans="1:16" ht="14.25" customHeight="1">
      <c r="A64" s="228"/>
      <c r="B64" s="147"/>
      <c r="C64" s="142"/>
      <c r="I64" s="232" t="s">
        <v>401</v>
      </c>
      <c r="J64" s="233">
        <v>7</v>
      </c>
      <c r="K64" s="232">
        <v>700.8</v>
      </c>
      <c r="L64" s="232">
        <f>K64*J64</f>
        <v>4905.5999999999995</v>
      </c>
    </row>
    <row r="65" spans="9:12" ht="14.25" customHeight="1">
      <c r="I65" s="232" t="s">
        <v>402</v>
      </c>
      <c r="J65" s="233">
        <v>7</v>
      </c>
      <c r="K65" s="232">
        <v>887.68</v>
      </c>
      <c r="L65" s="232">
        <f>K65*J65</f>
        <v>6213.7599999999993</v>
      </c>
    </row>
    <row r="66" spans="9:12" ht="14.25" customHeight="1"/>
  </sheetData>
  <mergeCells count="17">
    <mergeCell ref="A48:K48"/>
    <mergeCell ref="A58:G58"/>
    <mergeCell ref="B59:C59"/>
    <mergeCell ref="F59:G59"/>
    <mergeCell ref="B63:C63"/>
    <mergeCell ref="F63:G63"/>
    <mergeCell ref="A6:E6"/>
    <mergeCell ref="A7:E7"/>
    <mergeCell ref="A8:E8"/>
    <mergeCell ref="A13:R13"/>
    <mergeCell ref="L14:M14"/>
    <mergeCell ref="N14:O14"/>
    <mergeCell ref="A1:G1"/>
    <mergeCell ref="A2:E2"/>
    <mergeCell ref="A3:E3"/>
    <mergeCell ref="A4:E4"/>
    <mergeCell ref="A5:E5"/>
  </mergeCells>
  <conditionalFormatting sqref="E52">
    <cfRule type="expression" dxfId="5" priority="2">
      <formula>$H$42&lt;$G$42</formula>
    </cfRule>
  </conditionalFormatting>
  <conditionalFormatting sqref="B55 F52">
    <cfRule type="expression" dxfId="4" priority="3">
      <formula>#REF!*$F$62&lt;#REF!</formula>
    </cfRule>
  </conditionalFormatting>
  <pageMargins left="0.7" right="0.7"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A1:R66"/>
  <sheetViews>
    <sheetView topLeftCell="A19" zoomScale="85" zoomScaleNormal="85" workbookViewId="0">
      <selection activeCell="F60" sqref="F60"/>
    </sheetView>
  </sheetViews>
  <sheetFormatPr defaultColWidth="21" defaultRowHeight="12"/>
  <cols>
    <col min="1" max="1" width="28.85546875" style="50" customWidth="1"/>
    <col min="2" max="3" width="21.85546875" style="50" customWidth="1"/>
    <col min="4" max="4" width="23.42578125" style="50" customWidth="1"/>
    <col min="5" max="5" width="32.7109375" style="50" customWidth="1"/>
    <col min="6" max="6" width="28.7109375" style="50" customWidth="1"/>
    <col min="7" max="7" width="24.28515625" style="50" customWidth="1"/>
    <col min="8" max="8" width="26.85546875" style="50" customWidth="1"/>
    <col min="9" max="9" width="18.85546875" style="50" customWidth="1"/>
    <col min="10" max="10" width="26.85546875" style="50" customWidth="1"/>
    <col min="11" max="12" width="21" style="50"/>
    <col min="13" max="13" width="27.42578125" style="50" customWidth="1"/>
    <col min="14" max="16384" width="21" style="50"/>
  </cols>
  <sheetData>
    <row r="1" spans="1:18" ht="15" customHeight="1">
      <c r="A1" s="324" t="s">
        <v>409</v>
      </c>
      <c r="B1" s="324"/>
      <c r="C1" s="324"/>
      <c r="D1" s="324"/>
      <c r="E1" s="324"/>
      <c r="F1" s="324"/>
      <c r="G1" s="324"/>
    </row>
    <row r="2" spans="1:18">
      <c r="A2" s="325" t="s">
        <v>410</v>
      </c>
      <c r="B2" s="325"/>
      <c r="C2" s="325"/>
      <c r="D2" s="325"/>
      <c r="E2" s="325"/>
      <c r="G2" s="239"/>
    </row>
    <row r="3" spans="1:18">
      <c r="A3" s="325" t="s">
        <v>411</v>
      </c>
      <c r="B3" s="325"/>
      <c r="C3" s="325"/>
      <c r="D3" s="325"/>
      <c r="E3" s="325"/>
      <c r="G3" s="239"/>
    </row>
    <row r="4" spans="1:18">
      <c r="A4" s="325" t="s">
        <v>412</v>
      </c>
      <c r="B4" s="325"/>
      <c r="C4" s="325"/>
      <c r="D4" s="325"/>
      <c r="E4" s="325"/>
      <c r="G4" s="239"/>
    </row>
    <row r="5" spans="1:18">
      <c r="A5" s="325" t="s">
        <v>413</v>
      </c>
      <c r="B5" s="325"/>
      <c r="C5" s="325"/>
      <c r="D5" s="325"/>
      <c r="E5" s="325"/>
      <c r="G5" s="239"/>
    </row>
    <row r="6" spans="1:18">
      <c r="A6" s="325" t="s">
        <v>414</v>
      </c>
      <c r="B6" s="325"/>
      <c r="C6" s="325"/>
      <c r="D6" s="325"/>
      <c r="E6" s="325"/>
      <c r="G6" s="239"/>
    </row>
    <row r="7" spans="1:18">
      <c r="A7" s="325" t="s">
        <v>415</v>
      </c>
      <c r="B7" s="325"/>
      <c r="C7" s="325"/>
      <c r="D7" s="325"/>
      <c r="E7" s="325"/>
      <c r="G7" s="239"/>
    </row>
    <row r="8" spans="1:18">
      <c r="A8" s="325" t="s">
        <v>416</v>
      </c>
      <c r="B8" s="325"/>
      <c r="C8" s="325"/>
      <c r="D8" s="325"/>
      <c r="E8" s="325"/>
      <c r="G8" s="239"/>
    </row>
    <row r="9" spans="1:18">
      <c r="A9" s="4" t="s">
        <v>417</v>
      </c>
      <c r="B9" s="240"/>
      <c r="C9" s="240"/>
      <c r="D9" s="240"/>
      <c r="G9" s="239"/>
    </row>
    <row r="10" spans="1:18" ht="15" customHeight="1">
      <c r="A10" s="168" t="s">
        <v>418</v>
      </c>
      <c r="B10" s="241"/>
      <c r="C10" s="241"/>
      <c r="D10" s="241"/>
      <c r="E10" s="241"/>
      <c r="F10" s="241"/>
      <c r="G10" s="242"/>
    </row>
    <row r="12" spans="1:18" ht="12.75" customHeight="1">
      <c r="A12" s="193" t="s">
        <v>329</v>
      </c>
      <c r="H12" s="194"/>
      <c r="I12" s="195"/>
      <c r="J12" s="195"/>
      <c r="K12" s="196"/>
    </row>
    <row r="13" spans="1:18" ht="14.25" customHeight="1">
      <c r="A13" s="320" t="s">
        <v>330</v>
      </c>
      <c r="B13" s="320"/>
      <c r="C13" s="320"/>
      <c r="D13" s="320"/>
      <c r="E13" s="320"/>
      <c r="F13" s="320"/>
      <c r="G13" s="320"/>
      <c r="H13" s="320"/>
      <c r="I13" s="320"/>
      <c r="J13" s="320"/>
      <c r="K13" s="320"/>
      <c r="L13" s="320"/>
      <c r="M13" s="320"/>
      <c r="N13" s="320"/>
      <c r="O13" s="320"/>
      <c r="P13" s="320"/>
      <c r="Q13" s="320"/>
      <c r="R13" s="320"/>
    </row>
    <row r="14" spans="1:18" ht="14.25" customHeight="1">
      <c r="A14" s="197"/>
      <c r="B14" s="197"/>
      <c r="C14" s="197"/>
      <c r="D14" s="32"/>
      <c r="E14" s="32"/>
      <c r="F14" s="32"/>
      <c r="G14" s="32"/>
      <c r="H14" s="32"/>
      <c r="I14" s="32"/>
      <c r="J14" s="32"/>
      <c r="K14" s="32"/>
      <c r="L14" s="276" t="s">
        <v>331</v>
      </c>
      <c r="M14" s="276"/>
      <c r="N14" s="321" t="s">
        <v>332</v>
      </c>
      <c r="O14" s="321"/>
      <c r="P14" s="32"/>
      <c r="Q14" s="32"/>
      <c r="R14" s="32"/>
    </row>
    <row r="15" spans="1:18" ht="15.75" customHeight="1">
      <c r="A15" s="198" t="s">
        <v>403</v>
      </c>
      <c r="B15" s="198" t="s">
        <v>334</v>
      </c>
      <c r="C15" s="198" t="s">
        <v>335</v>
      </c>
      <c r="D15" s="198" t="s">
        <v>336</v>
      </c>
      <c r="E15" s="199" t="s">
        <v>337</v>
      </c>
      <c r="F15" s="199" t="s">
        <v>338</v>
      </c>
      <c r="G15" s="199" t="s">
        <v>339</v>
      </c>
      <c r="H15" s="199" t="s">
        <v>340</v>
      </c>
      <c r="I15" s="199" t="s">
        <v>341</v>
      </c>
      <c r="J15" s="198" t="s">
        <v>342</v>
      </c>
      <c r="K15" s="199" t="s">
        <v>343</v>
      </c>
      <c r="L15" s="198" t="s">
        <v>99</v>
      </c>
      <c r="M15" s="198" t="s">
        <v>344</v>
      </c>
      <c r="N15" s="198" t="s">
        <v>99</v>
      </c>
      <c r="O15" s="198" t="s">
        <v>344</v>
      </c>
      <c r="P15" s="198" t="s">
        <v>345</v>
      </c>
      <c r="Q15" s="198" t="s">
        <v>346</v>
      </c>
      <c r="R15" s="198" t="s">
        <v>103</v>
      </c>
    </row>
    <row r="16" spans="1:18" ht="13.5" customHeight="1">
      <c r="A16" s="200" t="s">
        <v>404</v>
      </c>
      <c r="B16" s="200">
        <v>1</v>
      </c>
      <c r="C16" s="200">
        <v>1</v>
      </c>
      <c r="D16" s="200">
        <v>1</v>
      </c>
      <c r="E16" s="236">
        <v>2</v>
      </c>
      <c r="F16" s="202">
        <v>500</v>
      </c>
      <c r="G16" s="202">
        <v>512</v>
      </c>
      <c r="H16" s="202">
        <v>1000</v>
      </c>
      <c r="I16" s="202">
        <v>1536</v>
      </c>
      <c r="J16" s="202">
        <f>6*1024</f>
        <v>6144</v>
      </c>
      <c r="K16" s="202">
        <v>0</v>
      </c>
      <c r="L16" s="202">
        <f>D16*F16</f>
        <v>500</v>
      </c>
      <c r="M16" s="202">
        <f>D16*G16</f>
        <v>512</v>
      </c>
      <c r="N16" s="202">
        <f>E16*H16</f>
        <v>2000</v>
      </c>
      <c r="O16" s="202">
        <f>E16*I16</f>
        <v>3072</v>
      </c>
      <c r="P16" s="202">
        <f>J16*3</f>
        <v>18432</v>
      </c>
      <c r="Q16" s="202">
        <f>E16*K16</f>
        <v>0</v>
      </c>
      <c r="R16" s="202"/>
    </row>
    <row r="17" spans="1:18" ht="13.5" customHeight="1">
      <c r="A17" s="200" t="s">
        <v>405</v>
      </c>
      <c r="B17" s="200">
        <v>1</v>
      </c>
      <c r="C17" s="237">
        <v>0</v>
      </c>
      <c r="D17" s="237">
        <v>0</v>
      </c>
      <c r="E17" s="238">
        <v>0</v>
      </c>
      <c r="F17" s="202">
        <v>100</v>
      </c>
      <c r="G17" s="202">
        <v>512</v>
      </c>
      <c r="H17" s="202">
        <v>300</v>
      </c>
      <c r="I17" s="202">
        <v>1536</v>
      </c>
      <c r="J17" s="202">
        <f>1024*8</f>
        <v>8192</v>
      </c>
      <c r="K17" s="202">
        <v>30</v>
      </c>
      <c r="L17" s="202">
        <f>D17*F17</f>
        <v>0</v>
      </c>
      <c r="M17" s="202">
        <f>D17*G17</f>
        <v>0</v>
      </c>
      <c r="N17" s="202">
        <f>E17*H17</f>
        <v>0</v>
      </c>
      <c r="O17" s="202">
        <f>E17*I17</f>
        <v>0</v>
      </c>
      <c r="P17" s="202">
        <f>J17*3</f>
        <v>24576</v>
      </c>
      <c r="Q17" s="202">
        <f>E17*K17</f>
        <v>0</v>
      </c>
      <c r="R17" s="202"/>
    </row>
    <row r="18" spans="1:18" ht="13.5" customHeight="1">
      <c r="A18" s="200" t="s">
        <v>406</v>
      </c>
      <c r="B18" s="200">
        <v>1</v>
      </c>
      <c r="C18" s="200">
        <v>1</v>
      </c>
      <c r="D18" s="200">
        <v>1</v>
      </c>
      <c r="E18" s="236">
        <v>2</v>
      </c>
      <c r="F18" s="202">
        <v>300</v>
      </c>
      <c r="G18" s="202">
        <v>128</v>
      </c>
      <c r="H18" s="202">
        <v>300</v>
      </c>
      <c r="I18" s="202">
        <v>128</v>
      </c>
      <c r="J18" s="202">
        <f>1024</f>
        <v>1024</v>
      </c>
      <c r="K18" s="202">
        <v>0</v>
      </c>
      <c r="L18" s="202">
        <f>D18*F18</f>
        <v>300</v>
      </c>
      <c r="M18" s="202">
        <f>D18*G18</f>
        <v>128</v>
      </c>
      <c r="N18" s="202">
        <f>E18*H18</f>
        <v>600</v>
      </c>
      <c r="O18" s="202">
        <f>E18*I18</f>
        <v>256</v>
      </c>
      <c r="P18" s="202">
        <f>J18*3</f>
        <v>3072</v>
      </c>
      <c r="Q18" s="202">
        <f>E18*K18</f>
        <v>0</v>
      </c>
      <c r="R18" s="202"/>
    </row>
    <row r="19" spans="1:18" ht="13.5" customHeight="1">
      <c r="A19" s="200" t="s">
        <v>407</v>
      </c>
      <c r="B19" s="200">
        <v>1</v>
      </c>
      <c r="C19" s="200">
        <v>1</v>
      </c>
      <c r="D19" s="200">
        <v>1</v>
      </c>
      <c r="E19" s="236">
        <v>2</v>
      </c>
      <c r="F19" s="202">
        <v>100</v>
      </c>
      <c r="G19" s="202">
        <v>128</v>
      </c>
      <c r="H19" s="202">
        <v>100</v>
      </c>
      <c r="I19" s="202">
        <v>128</v>
      </c>
      <c r="J19" s="202">
        <v>1024</v>
      </c>
      <c r="K19" s="202">
        <v>0</v>
      </c>
      <c r="L19" s="202">
        <f>D19*F19</f>
        <v>100</v>
      </c>
      <c r="M19" s="202">
        <f>D19*G19</f>
        <v>128</v>
      </c>
      <c r="N19" s="202">
        <f>E19*H19</f>
        <v>200</v>
      </c>
      <c r="O19" s="202">
        <f>E19*I19</f>
        <v>256</v>
      </c>
      <c r="P19" s="202">
        <f>J19*3</f>
        <v>3072</v>
      </c>
      <c r="Q19" s="202">
        <f>E19*K19</f>
        <v>0</v>
      </c>
      <c r="R19" s="202"/>
    </row>
    <row r="20" spans="1:18" ht="13.5" customHeight="1">
      <c r="A20" s="198" t="s">
        <v>333</v>
      </c>
      <c r="B20" s="198"/>
      <c r="C20" s="198"/>
      <c r="D20" s="198"/>
      <c r="E20" s="198"/>
      <c r="F20" s="198"/>
      <c r="G20" s="198"/>
      <c r="H20" s="198"/>
      <c r="I20" s="198"/>
      <c r="J20" s="198"/>
      <c r="K20" s="198"/>
      <c r="L20" s="198"/>
      <c r="M20" s="198"/>
      <c r="N20" s="198"/>
      <c r="O20" s="198"/>
      <c r="P20" s="198"/>
      <c r="Q20" s="198"/>
      <c r="R20" s="198"/>
    </row>
    <row r="21" spans="1:18" ht="13.5" customHeight="1">
      <c r="A21" s="200" t="s">
        <v>347</v>
      </c>
      <c r="B21" s="200">
        <v>1</v>
      </c>
      <c r="C21" s="200">
        <v>1</v>
      </c>
      <c r="D21" s="200">
        <v>1</v>
      </c>
      <c r="E21" s="243">
        <v>2</v>
      </c>
      <c r="F21" s="243">
        <v>25</v>
      </c>
      <c r="G21" s="243">
        <v>70</v>
      </c>
      <c r="H21" s="243">
        <v>50</v>
      </c>
      <c r="I21" s="243">
        <v>100</v>
      </c>
      <c r="J21" s="243">
        <v>80</v>
      </c>
      <c r="K21" s="243">
        <v>0</v>
      </c>
      <c r="L21" s="202">
        <f>D21*F21</f>
        <v>25</v>
      </c>
      <c r="M21" s="202">
        <f>D21*G21</f>
        <v>70</v>
      </c>
      <c r="N21" s="202">
        <f>E21*H21</f>
        <v>100</v>
      </c>
      <c r="O21" s="202">
        <f>E21*I21</f>
        <v>200</v>
      </c>
      <c r="P21" s="202">
        <f>J21*3</f>
        <v>240</v>
      </c>
      <c r="Q21" s="202">
        <f>E21*K21</f>
        <v>0</v>
      </c>
      <c r="R21" s="203"/>
    </row>
    <row r="22" spans="1:18" ht="13.5" customHeight="1">
      <c r="A22" s="200" t="s">
        <v>348</v>
      </c>
      <c r="B22" s="200">
        <v>1</v>
      </c>
      <c r="C22" s="200">
        <v>1</v>
      </c>
      <c r="D22" s="200">
        <v>1</v>
      </c>
      <c r="E22" s="243">
        <v>2</v>
      </c>
      <c r="F22" s="243">
        <v>100</v>
      </c>
      <c r="G22" s="243">
        <v>50</v>
      </c>
      <c r="H22" s="243">
        <v>100</v>
      </c>
      <c r="I22" s="243">
        <v>50</v>
      </c>
      <c r="J22" s="243">
        <v>60</v>
      </c>
      <c r="K22" s="243">
        <v>0</v>
      </c>
      <c r="L22" s="202">
        <f>D22*F22</f>
        <v>100</v>
      </c>
      <c r="M22" s="202">
        <f>D22*G22</f>
        <v>50</v>
      </c>
      <c r="N22" s="202">
        <f>E22*H22</f>
        <v>200</v>
      </c>
      <c r="O22" s="202">
        <f>E22*I22</f>
        <v>100</v>
      </c>
      <c r="P22" s="202">
        <f>J22*3</f>
        <v>180</v>
      </c>
      <c r="Q22" s="202">
        <f>E22*K22</f>
        <v>0</v>
      </c>
      <c r="R22" s="202"/>
    </row>
    <row r="23" spans="1:18" ht="13.5" customHeight="1">
      <c r="A23" s="200" t="s">
        <v>349</v>
      </c>
      <c r="B23" s="200">
        <v>1</v>
      </c>
      <c r="C23" s="200">
        <v>1</v>
      </c>
      <c r="D23" s="200">
        <v>1</v>
      </c>
      <c r="E23" s="243">
        <v>2</v>
      </c>
      <c r="F23" s="243">
        <v>100</v>
      </c>
      <c r="G23" s="243">
        <v>70</v>
      </c>
      <c r="H23" s="243">
        <v>100</v>
      </c>
      <c r="I23" s="243">
        <v>170</v>
      </c>
      <c r="J23" s="243">
        <v>40</v>
      </c>
      <c r="K23" s="243">
        <v>0</v>
      </c>
      <c r="L23" s="202">
        <f>D23*F23</f>
        <v>100</v>
      </c>
      <c r="M23" s="202">
        <f>D23*G23</f>
        <v>70</v>
      </c>
      <c r="N23" s="202">
        <f>E23*H23</f>
        <v>200</v>
      </c>
      <c r="O23" s="202">
        <f>E23*I23</f>
        <v>340</v>
      </c>
      <c r="P23" s="202">
        <f>J23*3</f>
        <v>120</v>
      </c>
      <c r="Q23" s="202">
        <f>E23*K23</f>
        <v>0</v>
      </c>
      <c r="R23" s="203"/>
    </row>
    <row r="24" spans="1:18" ht="13.5" customHeight="1">
      <c r="A24" s="200" t="s">
        <v>350</v>
      </c>
      <c r="B24" s="200">
        <v>1</v>
      </c>
      <c r="C24" s="200">
        <v>1</v>
      </c>
      <c r="D24" s="200">
        <v>1</v>
      </c>
      <c r="E24" s="243">
        <v>2</v>
      </c>
      <c r="F24" s="243">
        <v>100</v>
      </c>
      <c r="G24" s="243">
        <v>128</v>
      </c>
      <c r="H24" s="243">
        <v>100</v>
      </c>
      <c r="I24" s="243">
        <v>128</v>
      </c>
      <c r="J24" s="243">
        <v>50</v>
      </c>
      <c r="K24" s="243">
        <v>0</v>
      </c>
      <c r="L24" s="202">
        <f>D24*F24</f>
        <v>100</v>
      </c>
      <c r="M24" s="202">
        <f>D24*G24</f>
        <v>128</v>
      </c>
      <c r="N24" s="202">
        <f>E24*H24</f>
        <v>200</v>
      </c>
      <c r="O24" s="202">
        <f>E24*I24</f>
        <v>256</v>
      </c>
      <c r="P24" s="202">
        <f>J24*3</f>
        <v>150</v>
      </c>
      <c r="Q24" s="202">
        <f>E24*K24</f>
        <v>0</v>
      </c>
      <c r="R24" s="203"/>
    </row>
    <row r="25" spans="1:18" ht="13.5" customHeight="1">
      <c r="A25" s="205" t="s">
        <v>351</v>
      </c>
      <c r="B25" s="205">
        <v>1</v>
      </c>
      <c r="C25" s="205">
        <v>1</v>
      </c>
      <c r="D25" s="205">
        <v>1</v>
      </c>
      <c r="E25" s="244">
        <v>2</v>
      </c>
      <c r="F25" s="244">
        <v>100</v>
      </c>
      <c r="G25" s="244">
        <v>200</v>
      </c>
      <c r="H25" s="244">
        <v>100</v>
      </c>
      <c r="I25" s="244">
        <v>200</v>
      </c>
      <c r="J25" s="244">
        <v>50</v>
      </c>
      <c r="K25" s="244">
        <v>0</v>
      </c>
      <c r="L25" s="202">
        <f>D25*F25</f>
        <v>100</v>
      </c>
      <c r="M25" s="202">
        <f>D25*G25</f>
        <v>200</v>
      </c>
      <c r="N25" s="202">
        <f>E25*H25</f>
        <v>200</v>
      </c>
      <c r="O25" s="202">
        <f>E25*I25</f>
        <v>400</v>
      </c>
      <c r="P25" s="202">
        <f>J25*3</f>
        <v>150</v>
      </c>
      <c r="Q25" s="202">
        <f>E25*K25</f>
        <v>0</v>
      </c>
      <c r="R25" s="203"/>
    </row>
    <row r="26" spans="1:18" ht="13.5" customHeight="1">
      <c r="A26" s="245" t="s">
        <v>352</v>
      </c>
      <c r="B26" s="205">
        <v>1</v>
      </c>
      <c r="C26" s="205">
        <v>1</v>
      </c>
      <c r="D26" s="205">
        <v>1</v>
      </c>
      <c r="E26" s="244">
        <v>2</v>
      </c>
      <c r="F26" s="244">
        <v>100</v>
      </c>
      <c r="G26" s="244">
        <v>600</v>
      </c>
      <c r="H26" s="244">
        <v>100</v>
      </c>
      <c r="I26" s="244">
        <v>600</v>
      </c>
      <c r="J26" s="244">
        <v>50</v>
      </c>
      <c r="K26" s="244">
        <v>0</v>
      </c>
      <c r="L26" s="202">
        <f>D26*F26</f>
        <v>100</v>
      </c>
      <c r="M26" s="202">
        <f>D26*G26</f>
        <v>600</v>
      </c>
      <c r="N26" s="202">
        <f>E26*H26</f>
        <v>200</v>
      </c>
      <c r="O26" s="202">
        <f>E26*I26</f>
        <v>1200</v>
      </c>
      <c r="P26" s="202">
        <f>J26*3</f>
        <v>150</v>
      </c>
      <c r="Q26" s="202">
        <f>E26*K26</f>
        <v>0</v>
      </c>
      <c r="R26" s="203"/>
    </row>
    <row r="27" spans="1:18" ht="15.75" customHeight="1">
      <c r="A27" s="198" t="s">
        <v>408</v>
      </c>
      <c r="B27" s="198"/>
      <c r="C27" s="198"/>
      <c r="D27" s="198"/>
      <c r="E27" s="198"/>
      <c r="F27" s="198"/>
      <c r="G27" s="198"/>
      <c r="H27" s="198"/>
      <c r="I27" s="198"/>
      <c r="J27" s="198"/>
      <c r="K27" s="198"/>
      <c r="L27" s="198"/>
      <c r="M27" s="198"/>
      <c r="N27" s="198"/>
      <c r="O27" s="198"/>
      <c r="P27" s="198"/>
      <c r="Q27" s="198"/>
      <c r="R27" s="198"/>
    </row>
    <row r="28" spans="1:18" ht="13.5" customHeight="1">
      <c r="A28" s="200" t="s">
        <v>408</v>
      </c>
      <c r="B28" s="200">
        <v>1</v>
      </c>
      <c r="C28" s="237">
        <v>0</v>
      </c>
      <c r="D28" s="237">
        <v>0</v>
      </c>
      <c r="E28" s="238">
        <v>0</v>
      </c>
      <c r="F28" s="201">
        <v>250</v>
      </c>
      <c r="G28" s="201">
        <v>512</v>
      </c>
      <c r="H28" s="201">
        <v>1000</v>
      </c>
      <c r="I28" s="201">
        <v>2048</v>
      </c>
      <c r="J28" s="201">
        <v>1024</v>
      </c>
      <c r="K28" s="201">
        <v>0</v>
      </c>
      <c r="L28" s="202">
        <f>D28*F28</f>
        <v>0</v>
      </c>
      <c r="M28" s="202">
        <f>D28*G28</f>
        <v>0</v>
      </c>
      <c r="N28" s="202">
        <f>E28*H28</f>
        <v>0</v>
      </c>
      <c r="O28" s="202">
        <f>E28*I28</f>
        <v>0</v>
      </c>
      <c r="P28" s="202">
        <f>J28*3</f>
        <v>3072</v>
      </c>
      <c r="Q28" s="202">
        <f>E28*K28</f>
        <v>0</v>
      </c>
      <c r="R28" s="203"/>
    </row>
    <row r="29" spans="1:18" ht="15.75" customHeight="1">
      <c r="A29" s="198" t="s">
        <v>353</v>
      </c>
      <c r="B29" s="198"/>
      <c r="C29" s="198"/>
      <c r="D29" s="198"/>
      <c r="E29" s="199"/>
      <c r="F29" s="199"/>
      <c r="G29" s="199"/>
      <c r="H29" s="199"/>
      <c r="I29" s="199"/>
      <c r="J29" s="199"/>
      <c r="K29" s="199"/>
      <c r="L29" s="199"/>
      <c r="M29" s="199"/>
      <c r="N29" s="199"/>
      <c r="O29" s="199"/>
      <c r="P29" s="199"/>
      <c r="Q29" s="199"/>
      <c r="R29" s="199"/>
    </row>
    <row r="30" spans="1:18" ht="13.5" customHeight="1">
      <c r="A30" s="205" t="s">
        <v>354</v>
      </c>
      <c r="B30" s="205">
        <v>1</v>
      </c>
      <c r="C30" s="205">
        <v>1</v>
      </c>
      <c r="D30" s="205">
        <v>1</v>
      </c>
      <c r="E30" s="206">
        <v>2</v>
      </c>
      <c r="F30" s="207">
        <v>25</v>
      </c>
      <c r="G30" s="207">
        <v>100</v>
      </c>
      <c r="H30" s="207">
        <v>100</v>
      </c>
      <c r="I30" s="207">
        <v>100</v>
      </c>
      <c r="J30" s="207">
        <v>50</v>
      </c>
      <c r="K30" s="207">
        <v>0</v>
      </c>
      <c r="L30" s="202">
        <f>D30*F30</f>
        <v>25</v>
      </c>
      <c r="M30" s="202">
        <f>D30*G30</f>
        <v>100</v>
      </c>
      <c r="N30" s="202">
        <f>E30*H30</f>
        <v>200</v>
      </c>
      <c r="O30" s="202">
        <f>E30*I30</f>
        <v>200</v>
      </c>
      <c r="P30" s="202">
        <f>J30*3</f>
        <v>150</v>
      </c>
      <c r="Q30" s="202">
        <f>E30*K30</f>
        <v>0</v>
      </c>
      <c r="R30" s="202"/>
    </row>
    <row r="31" spans="1:18" ht="15.75" customHeight="1">
      <c r="A31" s="198" t="s">
        <v>355</v>
      </c>
      <c r="B31" s="198"/>
      <c r="C31" s="198"/>
      <c r="D31" s="198"/>
      <c r="E31" s="199"/>
      <c r="F31" s="199"/>
      <c r="G31" s="199"/>
      <c r="H31" s="199"/>
      <c r="I31" s="199"/>
      <c r="J31" s="199"/>
      <c r="K31" s="199"/>
      <c r="L31" s="199"/>
      <c r="M31" s="199"/>
      <c r="N31" s="199"/>
      <c r="O31" s="199"/>
      <c r="P31" s="199"/>
      <c r="Q31" s="199"/>
      <c r="R31" s="199"/>
    </row>
    <row r="32" spans="1:18" ht="13.5" customHeight="1">
      <c r="A32" s="208" t="s">
        <v>356</v>
      </c>
      <c r="B32" s="208">
        <v>1</v>
      </c>
      <c r="C32" s="208">
        <v>3</v>
      </c>
      <c r="D32" s="208">
        <v>3</v>
      </c>
      <c r="E32" s="208">
        <v>7</v>
      </c>
      <c r="F32" s="208">
        <v>500</v>
      </c>
      <c r="G32" s="208">
        <v>1024</v>
      </c>
      <c r="H32" s="208">
        <v>1500</v>
      </c>
      <c r="I32" s="208">
        <v>2048</v>
      </c>
      <c r="J32" s="208">
        <v>2048</v>
      </c>
      <c r="K32" s="208">
        <v>0</v>
      </c>
      <c r="L32" s="202">
        <f>D32*F32</f>
        <v>1500</v>
      </c>
      <c r="M32" s="202">
        <f>D32*G32</f>
        <v>3072</v>
      </c>
      <c r="N32" s="202">
        <f>E32*H32</f>
        <v>10500</v>
      </c>
      <c r="O32" s="202">
        <f>E32*I32</f>
        <v>14336</v>
      </c>
      <c r="P32" s="202">
        <f>J32*3</f>
        <v>6144</v>
      </c>
      <c r="Q32" s="202">
        <f>E32*H32</f>
        <v>10500</v>
      </c>
      <c r="R32" s="202"/>
    </row>
    <row r="33" spans="1:18" ht="13.5" customHeight="1">
      <c r="A33" s="208" t="s">
        <v>357</v>
      </c>
      <c r="B33" s="208">
        <v>1</v>
      </c>
      <c r="C33" s="208">
        <v>3</v>
      </c>
      <c r="D33" s="208">
        <v>3</v>
      </c>
      <c r="E33" s="208">
        <v>7</v>
      </c>
      <c r="F33" s="208">
        <v>500</v>
      </c>
      <c r="G33" s="208">
        <v>1024</v>
      </c>
      <c r="H33" s="208">
        <v>1500</v>
      </c>
      <c r="I33" s="208">
        <v>2048</v>
      </c>
      <c r="J33" s="208">
        <v>2048</v>
      </c>
      <c r="K33" s="208">
        <v>0</v>
      </c>
      <c r="L33" s="202">
        <f>D33*F33</f>
        <v>1500</v>
      </c>
      <c r="M33" s="202">
        <f>D33*G33</f>
        <v>3072</v>
      </c>
      <c r="N33" s="202">
        <f>E33*H33</f>
        <v>10500</v>
      </c>
      <c r="O33" s="202">
        <f>E33*I33</f>
        <v>14336</v>
      </c>
      <c r="P33" s="202">
        <f>J33*3</f>
        <v>6144</v>
      </c>
      <c r="Q33" s="202">
        <f>E33*H33</f>
        <v>10500</v>
      </c>
      <c r="R33" s="202"/>
    </row>
    <row r="34" spans="1:18" ht="13.5" customHeight="1">
      <c r="A34" s="208" t="s">
        <v>358</v>
      </c>
      <c r="B34" s="208">
        <v>1</v>
      </c>
      <c r="C34" s="208">
        <v>3</v>
      </c>
      <c r="D34" s="208">
        <v>3</v>
      </c>
      <c r="E34" s="208">
        <v>7</v>
      </c>
      <c r="F34" s="208">
        <v>500</v>
      </c>
      <c r="G34" s="208">
        <v>1024</v>
      </c>
      <c r="H34" s="208">
        <v>1500</v>
      </c>
      <c r="I34" s="208">
        <v>2048</v>
      </c>
      <c r="J34" s="208">
        <v>2048</v>
      </c>
      <c r="K34" s="208">
        <v>0</v>
      </c>
      <c r="L34" s="202">
        <f>D34*F34</f>
        <v>1500</v>
      </c>
      <c r="M34" s="202">
        <f>D34*G34</f>
        <v>3072</v>
      </c>
      <c r="N34" s="202">
        <f>E34*H34</f>
        <v>10500</v>
      </c>
      <c r="O34" s="202">
        <f>E34*I34</f>
        <v>14336</v>
      </c>
      <c r="P34" s="202">
        <f>J34*3</f>
        <v>6144</v>
      </c>
      <c r="Q34" s="202">
        <f>E34*H34</f>
        <v>10500</v>
      </c>
      <c r="R34" s="202"/>
    </row>
    <row r="35" spans="1:18" ht="13.5" customHeight="1">
      <c r="A35" s="208" t="s">
        <v>359</v>
      </c>
      <c r="B35" s="208">
        <v>1</v>
      </c>
      <c r="C35" s="208">
        <v>3</v>
      </c>
      <c r="D35" s="208">
        <v>3</v>
      </c>
      <c r="E35" s="208">
        <v>7</v>
      </c>
      <c r="F35" s="208">
        <v>400</v>
      </c>
      <c r="G35" s="208">
        <v>768</v>
      </c>
      <c r="H35" s="208">
        <v>1200</v>
      </c>
      <c r="I35" s="208">
        <v>1536</v>
      </c>
      <c r="J35" s="208">
        <v>2048</v>
      </c>
      <c r="K35" s="208">
        <v>0</v>
      </c>
      <c r="L35" s="202">
        <f>D35*F35</f>
        <v>1200</v>
      </c>
      <c r="M35" s="202">
        <f>D35*G35</f>
        <v>2304</v>
      </c>
      <c r="N35" s="202">
        <f>E35*H35</f>
        <v>8400</v>
      </c>
      <c r="O35" s="202">
        <f>E35*I35</f>
        <v>10752</v>
      </c>
      <c r="P35" s="202">
        <f>J35*3</f>
        <v>6144</v>
      </c>
      <c r="Q35" s="202">
        <f>E35*H35</f>
        <v>8400</v>
      </c>
      <c r="R35" s="202"/>
    </row>
    <row r="36" spans="1:18" ht="13.5" customHeight="1">
      <c r="A36" s="208" t="s">
        <v>360</v>
      </c>
      <c r="B36" s="208">
        <v>1</v>
      </c>
      <c r="C36" s="208">
        <v>3</v>
      </c>
      <c r="D36" s="208">
        <v>3</v>
      </c>
      <c r="E36" s="208">
        <v>7</v>
      </c>
      <c r="F36" s="208">
        <v>200</v>
      </c>
      <c r="G36" s="208">
        <v>256</v>
      </c>
      <c r="H36" s="208">
        <v>500</v>
      </c>
      <c r="I36" s="208">
        <v>512</v>
      </c>
      <c r="J36" s="208">
        <v>1024</v>
      </c>
      <c r="K36" s="208">
        <v>0</v>
      </c>
      <c r="L36" s="202">
        <f>D36*F36</f>
        <v>600</v>
      </c>
      <c r="M36" s="202">
        <f>D36*G36</f>
        <v>768</v>
      </c>
      <c r="N36" s="202">
        <f>E36*H36</f>
        <v>3500</v>
      </c>
      <c r="O36" s="202">
        <f>E36*I36</f>
        <v>3584</v>
      </c>
      <c r="P36" s="202">
        <f>J36*3</f>
        <v>3072</v>
      </c>
      <c r="Q36" s="202">
        <f>E36*H36</f>
        <v>3500</v>
      </c>
      <c r="R36" s="202"/>
    </row>
    <row r="37" spans="1:18" ht="15.75" customHeight="1">
      <c r="A37" s="198" t="s">
        <v>361</v>
      </c>
      <c r="B37" s="198"/>
      <c r="C37" s="198"/>
      <c r="D37" s="198"/>
      <c r="E37" s="199"/>
      <c r="F37" s="199"/>
      <c r="G37" s="199"/>
      <c r="H37" s="199"/>
      <c r="I37" s="199"/>
      <c r="J37" s="199"/>
      <c r="K37" s="199"/>
      <c r="L37" s="199"/>
      <c r="M37" s="199"/>
      <c r="N37" s="199"/>
      <c r="O37" s="199"/>
      <c r="P37" s="199"/>
      <c r="Q37" s="199"/>
      <c r="R37" s="199"/>
    </row>
    <row r="38" spans="1:18" ht="13.5" customHeight="1">
      <c r="A38" s="208" t="s">
        <v>362</v>
      </c>
      <c r="B38" s="208">
        <v>1</v>
      </c>
      <c r="C38" s="208">
        <v>3</v>
      </c>
      <c r="D38" s="208">
        <v>3</v>
      </c>
      <c r="E38" s="208">
        <v>7</v>
      </c>
      <c r="F38" s="208">
        <v>500</v>
      </c>
      <c r="G38" s="208">
        <v>512</v>
      </c>
      <c r="H38" s="208">
        <v>1000</v>
      </c>
      <c r="I38" s="208">
        <v>1024</v>
      </c>
      <c r="J38" s="208">
        <v>1024</v>
      </c>
      <c r="K38" s="208">
        <v>0</v>
      </c>
      <c r="L38" s="202">
        <f>D38*F38</f>
        <v>1500</v>
      </c>
      <c r="M38" s="202">
        <f>D38*G38</f>
        <v>1536</v>
      </c>
      <c r="N38" s="202">
        <f>E38*H38</f>
        <v>7000</v>
      </c>
      <c r="O38" s="202">
        <f>E38*I38</f>
        <v>7168</v>
      </c>
      <c r="P38" s="202">
        <f>J38*3</f>
        <v>3072</v>
      </c>
      <c r="Q38" s="202">
        <f>E38*H38</f>
        <v>7000</v>
      </c>
      <c r="R38" s="202"/>
    </row>
    <row r="39" spans="1:18" ht="13.5" customHeight="1">
      <c r="A39" s="208" t="s">
        <v>363</v>
      </c>
      <c r="B39" s="208">
        <v>1</v>
      </c>
      <c r="C39" s="208">
        <v>3</v>
      </c>
      <c r="D39" s="208">
        <v>3</v>
      </c>
      <c r="E39" s="208">
        <v>7</v>
      </c>
      <c r="F39" s="208">
        <v>400</v>
      </c>
      <c r="G39" s="208">
        <v>768</v>
      </c>
      <c r="H39" s="208">
        <v>1000</v>
      </c>
      <c r="I39" s="208">
        <v>1536</v>
      </c>
      <c r="J39" s="208">
        <v>1024</v>
      </c>
      <c r="K39" s="208">
        <v>0</v>
      </c>
      <c r="L39" s="202">
        <f>D39*F39</f>
        <v>1200</v>
      </c>
      <c r="M39" s="202">
        <f>D39*G39</f>
        <v>2304</v>
      </c>
      <c r="N39" s="202">
        <f>E39*H39</f>
        <v>7000</v>
      </c>
      <c r="O39" s="202">
        <f>E39*I39</f>
        <v>10752</v>
      </c>
      <c r="P39" s="202">
        <f>J39*3</f>
        <v>3072</v>
      </c>
      <c r="Q39" s="202">
        <f>E39*H39</f>
        <v>7000</v>
      </c>
      <c r="R39" s="202"/>
    </row>
    <row r="40" spans="1:18" ht="13.5" customHeight="1">
      <c r="A40" s="208" t="s">
        <v>364</v>
      </c>
      <c r="B40" s="208">
        <v>1</v>
      </c>
      <c r="C40" s="208">
        <v>3</v>
      </c>
      <c r="D40" s="208">
        <v>3</v>
      </c>
      <c r="E40" s="208">
        <v>7</v>
      </c>
      <c r="F40" s="208">
        <v>500</v>
      </c>
      <c r="G40" s="208">
        <v>1024</v>
      </c>
      <c r="H40" s="208">
        <v>1500</v>
      </c>
      <c r="I40" s="208">
        <v>2048</v>
      </c>
      <c r="J40" s="208">
        <v>2048</v>
      </c>
      <c r="K40" s="208">
        <v>0</v>
      </c>
      <c r="L40" s="202">
        <f>D40*F40</f>
        <v>1500</v>
      </c>
      <c r="M40" s="202">
        <f>D40*G40</f>
        <v>3072</v>
      </c>
      <c r="N40" s="202">
        <f>E40*H40</f>
        <v>10500</v>
      </c>
      <c r="O40" s="202">
        <f>E40*I40</f>
        <v>14336</v>
      </c>
      <c r="P40" s="202">
        <f>J40*3</f>
        <v>6144</v>
      </c>
      <c r="Q40" s="202">
        <f>E40*H40</f>
        <v>10500</v>
      </c>
      <c r="R40" s="202"/>
    </row>
    <row r="41" spans="1:18" ht="13.5" customHeight="1">
      <c r="A41" s="208" t="s">
        <v>365</v>
      </c>
      <c r="B41" s="208">
        <v>1</v>
      </c>
      <c r="C41" s="208">
        <v>3</v>
      </c>
      <c r="D41" s="208">
        <v>3</v>
      </c>
      <c r="E41" s="208">
        <v>7</v>
      </c>
      <c r="F41" s="208">
        <v>400</v>
      </c>
      <c r="G41" s="208">
        <v>768</v>
      </c>
      <c r="H41" s="208">
        <v>1200</v>
      </c>
      <c r="I41" s="208">
        <v>1536</v>
      </c>
      <c r="J41" s="208">
        <v>2048</v>
      </c>
      <c r="K41" s="208">
        <v>20</v>
      </c>
      <c r="L41" s="202">
        <f>D41*F41</f>
        <v>1200</v>
      </c>
      <c r="M41" s="202">
        <f>D41*G41</f>
        <v>2304</v>
      </c>
      <c r="N41" s="202">
        <f>E41*H41</f>
        <v>8400</v>
      </c>
      <c r="O41" s="202">
        <f>E41*I41</f>
        <v>10752</v>
      </c>
      <c r="P41" s="202">
        <f>J41*3</f>
        <v>6144</v>
      </c>
      <c r="Q41" s="202">
        <f>E41*H41</f>
        <v>8400</v>
      </c>
      <c r="R41" s="202"/>
    </row>
    <row r="42" spans="1:18" ht="13.5" customHeight="1">
      <c r="A42" s="208" t="s">
        <v>366</v>
      </c>
      <c r="B42" s="208">
        <v>1</v>
      </c>
      <c r="C42" s="208">
        <v>2</v>
      </c>
      <c r="D42" s="208">
        <v>2</v>
      </c>
      <c r="E42" s="208">
        <v>3</v>
      </c>
      <c r="F42" s="208">
        <v>400</v>
      </c>
      <c r="G42" s="208">
        <v>768</v>
      </c>
      <c r="H42" s="208">
        <v>1200</v>
      </c>
      <c r="I42" s="208">
        <v>1536</v>
      </c>
      <c r="J42" s="208">
        <v>2048</v>
      </c>
      <c r="K42" s="208">
        <v>0</v>
      </c>
      <c r="L42" s="202">
        <f>D42*F42</f>
        <v>800</v>
      </c>
      <c r="M42" s="202">
        <f>D42*G42</f>
        <v>1536</v>
      </c>
      <c r="N42" s="202">
        <f>E42*H42</f>
        <v>3600</v>
      </c>
      <c r="O42" s="202">
        <f>E42*I42</f>
        <v>4608</v>
      </c>
      <c r="P42" s="202">
        <f>J42*3</f>
        <v>6144</v>
      </c>
      <c r="Q42" s="202"/>
      <c r="R42" s="202"/>
    </row>
    <row r="43" spans="1:18" ht="12.75" customHeight="1">
      <c r="A43" s="198" t="s">
        <v>367</v>
      </c>
      <c r="B43" s="198"/>
      <c r="C43" s="198"/>
      <c r="D43" s="198"/>
      <c r="E43" s="209">
        <f>SUM(E16:E42)</f>
        <v>86</v>
      </c>
      <c r="F43" s="198"/>
      <c r="G43" s="198"/>
      <c r="H43" s="198"/>
      <c r="I43" s="198"/>
      <c r="J43" s="198"/>
      <c r="K43" s="198"/>
      <c r="L43" s="198">
        <f>SUM(L16:L42)</f>
        <v>13950</v>
      </c>
      <c r="M43" s="198">
        <f>SUM(M16:M42)</f>
        <v>25026</v>
      </c>
      <c r="N43" s="198">
        <f>SUM(N16:N42)</f>
        <v>84000</v>
      </c>
      <c r="O43" s="198">
        <f>SUM(O16:O42)</f>
        <v>111240</v>
      </c>
      <c r="P43" s="198">
        <f>SUM(P16:P42)</f>
        <v>105588</v>
      </c>
      <c r="Q43" s="198">
        <f>SUM(Q16:Q42)</f>
        <v>76300</v>
      </c>
      <c r="R43" s="198"/>
    </row>
    <row r="44" spans="1:18" ht="14.25" customHeight="1">
      <c r="L44" s="195">
        <f>CEILING(L43/1024,1)</f>
        <v>14</v>
      </c>
      <c r="M44" s="195">
        <f>CEILING(M43/1024,1)</f>
        <v>25</v>
      </c>
      <c r="N44" s="195">
        <f>CEILING(N43/1024,1)</f>
        <v>83</v>
      </c>
      <c r="O44" s="195">
        <f>CEILING(O43/1024,1)</f>
        <v>109</v>
      </c>
      <c r="P44" s="195">
        <f>CEILING(P43/1024,1)</f>
        <v>104</v>
      </c>
      <c r="Q44" s="195">
        <f>Q43</f>
        <v>76300</v>
      </c>
    </row>
    <row r="45" spans="1:18" ht="14.25" customHeight="1">
      <c r="A45" s="142"/>
      <c r="B45" s="142"/>
      <c r="C45" s="147"/>
      <c r="D45" s="147"/>
      <c r="E45" s="147"/>
      <c r="F45" s="147"/>
      <c r="K45" s="194" t="s">
        <v>368</v>
      </c>
      <c r="L45" s="195">
        <f>CEILING(L44/E50,1)</f>
        <v>18</v>
      </c>
      <c r="M45" s="195">
        <f>CEILING(M44/E50,1)</f>
        <v>32</v>
      </c>
      <c r="N45" s="195">
        <f>CEILING(N44/E50,1)</f>
        <v>106</v>
      </c>
      <c r="O45" s="195">
        <f>CEILING(O44/E50,1)</f>
        <v>138</v>
      </c>
      <c r="P45" s="195">
        <f>CEILING(P44/E50,1)</f>
        <v>132</v>
      </c>
      <c r="Q45" s="195">
        <f>CEILING(Q44/E50,1)</f>
        <v>96583</v>
      </c>
    </row>
    <row r="46" spans="1:18" ht="14.25" customHeight="1">
      <c r="K46" s="210" t="s">
        <v>369</v>
      </c>
      <c r="L46" s="142" t="s">
        <v>370</v>
      </c>
      <c r="M46" s="142" t="s">
        <v>371</v>
      </c>
      <c r="N46" s="142" t="s">
        <v>370</v>
      </c>
      <c r="O46" s="142" t="s">
        <v>371</v>
      </c>
      <c r="P46" s="142" t="s">
        <v>372</v>
      </c>
      <c r="Q46" s="142" t="s">
        <v>277</v>
      </c>
    </row>
    <row r="47" spans="1:18" ht="63" customHeight="1">
      <c r="K47" s="210"/>
      <c r="L47" s="142"/>
      <c r="M47" s="142"/>
      <c r="N47" s="142"/>
      <c r="O47" s="142"/>
      <c r="P47" s="28" t="s">
        <v>373</v>
      </c>
      <c r="Q47" s="28" t="s">
        <v>374</v>
      </c>
    </row>
    <row r="48" spans="1:18" ht="14.25" customHeight="1">
      <c r="A48" s="322" t="s">
        <v>375</v>
      </c>
      <c r="B48" s="322"/>
      <c r="C48" s="322"/>
      <c r="D48" s="322"/>
      <c r="E48" s="322"/>
      <c r="F48" s="322"/>
      <c r="G48" s="322"/>
      <c r="H48" s="322"/>
      <c r="I48" s="322"/>
      <c r="J48" s="322"/>
      <c r="K48" s="322"/>
      <c r="L48" s="211"/>
      <c r="M48" s="211"/>
      <c r="N48" s="211"/>
      <c r="O48" s="211"/>
      <c r="P48" s="211"/>
    </row>
    <row r="49" spans="1:16" ht="14.25" customHeight="1">
      <c r="A49" s="210"/>
    </row>
    <row r="50" spans="1:16" ht="14.25" customHeight="1">
      <c r="A50" s="2" t="s">
        <v>376</v>
      </c>
      <c r="B50" s="208">
        <v>5</v>
      </c>
      <c r="D50" s="197" t="s">
        <v>377</v>
      </c>
      <c r="E50" s="212">
        <v>0.79</v>
      </c>
    </row>
    <row r="51" spans="1:16" ht="14.25" customHeight="1">
      <c r="B51" s="213" t="s">
        <v>378</v>
      </c>
      <c r="C51" s="213" t="s">
        <v>379</v>
      </c>
      <c r="D51" s="213" t="s">
        <v>380</v>
      </c>
      <c r="E51" s="213" t="s">
        <v>381</v>
      </c>
      <c r="F51" s="213" t="s">
        <v>382</v>
      </c>
    </row>
    <row r="52" spans="1:16" ht="14.25" customHeight="1">
      <c r="A52" s="210" t="s">
        <v>99</v>
      </c>
      <c r="B52" s="214">
        <f>VLOOKUP(C52,'Ref - ENI Max Pods'!A1:D24,2,FALSE())</f>
        <v>16</v>
      </c>
      <c r="C52" s="215" t="s">
        <v>383</v>
      </c>
      <c r="D52" s="216">
        <f>Q44</f>
        <v>76300</v>
      </c>
      <c r="E52" s="216">
        <f>E43</f>
        <v>86</v>
      </c>
      <c r="F52" s="214">
        <f>B54*F63</f>
        <v>1638</v>
      </c>
    </row>
    <row r="53" spans="1:16" ht="14.25" customHeight="1">
      <c r="A53" s="210" t="s">
        <v>384</v>
      </c>
      <c r="B53" s="214">
        <f>VLOOKUP(C52,'Ref - ENI Max Pods'!A2:D25,3,FALSE())</f>
        <v>64</v>
      </c>
    </row>
    <row r="54" spans="1:16" ht="14.25" customHeight="1">
      <c r="A54" s="210" t="s">
        <v>385</v>
      </c>
      <c r="B54" s="214">
        <f>VLOOKUP(C52,'Ref - ENI Max Pods'!A3:D26,4,FALSE())</f>
        <v>234</v>
      </c>
    </row>
    <row r="55" spans="1:16" ht="14.25" customHeight="1">
      <c r="A55" s="210"/>
      <c r="B55" s="217"/>
    </row>
    <row r="56" spans="1:16" ht="14.25" customHeight="1">
      <c r="A56" s="218"/>
      <c r="B56" s="219"/>
      <c r="C56" s="219"/>
      <c r="D56" s="219"/>
      <c r="E56" s="219"/>
      <c r="F56" s="219"/>
      <c r="G56" s="219"/>
      <c r="H56" s="219"/>
      <c r="I56" s="219"/>
      <c r="J56" s="219"/>
      <c r="K56" s="219"/>
      <c r="L56" s="219"/>
      <c r="M56" s="219"/>
      <c r="N56" s="219"/>
      <c r="O56" s="219"/>
      <c r="P56" s="219"/>
    </row>
    <row r="57" spans="1:16" ht="14.25" customHeight="1">
      <c r="A57" s="193" t="s">
        <v>386</v>
      </c>
    </row>
    <row r="58" spans="1:16" ht="14.25" customHeight="1">
      <c r="A58" s="323" t="s">
        <v>387</v>
      </c>
      <c r="B58" s="323"/>
      <c r="C58" s="323"/>
      <c r="D58" s="323"/>
      <c r="E58" s="323"/>
      <c r="F58" s="323"/>
      <c r="G58" s="323"/>
      <c r="H58" s="193"/>
      <c r="I58" s="246" t="s">
        <v>394</v>
      </c>
      <c r="J58" s="247"/>
      <c r="K58" s="248"/>
      <c r="L58" s="248"/>
    </row>
    <row r="59" spans="1:16" ht="12.75" customHeight="1">
      <c r="A59" s="220" t="s">
        <v>388</v>
      </c>
      <c r="B59" s="317" t="s">
        <v>421</v>
      </c>
      <c r="C59" s="317"/>
      <c r="E59" s="220" t="s">
        <v>388</v>
      </c>
      <c r="F59" s="317" t="s">
        <v>421</v>
      </c>
      <c r="G59" s="317"/>
      <c r="I59" s="232" t="s">
        <v>379</v>
      </c>
      <c r="J59" s="233" t="s">
        <v>395</v>
      </c>
      <c r="K59" s="232" t="s">
        <v>396</v>
      </c>
      <c r="L59" s="232" t="s">
        <v>265</v>
      </c>
    </row>
    <row r="60" spans="1:16" ht="12.75" customHeight="1">
      <c r="A60" s="221"/>
      <c r="B60" s="2" t="s">
        <v>390</v>
      </c>
      <c r="C60" s="2" t="s">
        <v>391</v>
      </c>
      <c r="E60" s="221"/>
      <c r="F60" s="2" t="s">
        <v>390</v>
      </c>
      <c r="G60" s="222" t="s">
        <v>391</v>
      </c>
      <c r="I60" s="232" t="s">
        <v>397</v>
      </c>
      <c r="J60" s="233">
        <v>12</v>
      </c>
      <c r="K60" s="232">
        <v>286.16000000000003</v>
      </c>
      <c r="L60" s="232">
        <f>K60*J60</f>
        <v>3433.92</v>
      </c>
    </row>
    <row r="61" spans="1:16" ht="12.75" customHeight="1">
      <c r="A61" s="223" t="s">
        <v>99</v>
      </c>
      <c r="B61" s="206">
        <f>ROUNDUP(C61/B52,0)</f>
        <v>2</v>
      </c>
      <c r="C61" s="206">
        <f>L45</f>
        <v>18</v>
      </c>
      <c r="E61" s="223" t="s">
        <v>99</v>
      </c>
      <c r="F61" s="206">
        <f>ROUNDUP(G61/B52,0)</f>
        <v>7</v>
      </c>
      <c r="G61" s="224">
        <f>N45</f>
        <v>106</v>
      </c>
      <c r="I61" s="234" t="s">
        <v>398</v>
      </c>
      <c r="J61" s="235">
        <v>7</v>
      </c>
      <c r="K61" s="234">
        <v>572.32000000000005</v>
      </c>
      <c r="L61" s="234">
        <f>K61*J61</f>
        <v>4006.2400000000002</v>
      </c>
    </row>
    <row r="62" spans="1:16" ht="12.75" customHeight="1">
      <c r="A62" s="249" t="s">
        <v>384</v>
      </c>
      <c r="B62" s="206">
        <f>ROUNDUP(C62/B53,0)</f>
        <v>1</v>
      </c>
      <c r="C62" s="206">
        <f>M45</f>
        <v>32</v>
      </c>
      <c r="E62" s="223" t="s">
        <v>384</v>
      </c>
      <c r="F62" s="206">
        <f>ROUNDUP(G62/B53,0)</f>
        <v>3</v>
      </c>
      <c r="G62" s="224">
        <f>O45</f>
        <v>138</v>
      </c>
      <c r="I62" s="232" t="s">
        <v>399</v>
      </c>
      <c r="J62" s="233">
        <v>12</v>
      </c>
      <c r="K62" s="232">
        <v>350.4</v>
      </c>
      <c r="L62" s="232">
        <f>K62*J62</f>
        <v>4204.7999999999993</v>
      </c>
    </row>
    <row r="63" spans="1:16" s="227" customFormat="1" ht="36" customHeight="1">
      <c r="A63" s="226" t="s">
        <v>392</v>
      </c>
      <c r="B63" s="326">
        <f>MAX(B61:B62)</f>
        <v>2</v>
      </c>
      <c r="C63" s="326"/>
      <c r="D63" s="50"/>
      <c r="E63" s="226" t="s">
        <v>393</v>
      </c>
      <c r="F63" s="319">
        <f>MAX(F61:F62)</f>
        <v>7</v>
      </c>
      <c r="G63" s="319"/>
      <c r="I63" s="232" t="s">
        <v>400</v>
      </c>
      <c r="J63" s="233">
        <v>12</v>
      </c>
      <c r="K63" s="232">
        <v>443.84</v>
      </c>
      <c r="L63" s="232">
        <f>K63*J63</f>
        <v>5326.08</v>
      </c>
    </row>
    <row r="64" spans="1:16" ht="14.25" customHeight="1">
      <c r="A64" s="228"/>
      <c r="B64" s="147"/>
      <c r="C64" s="142"/>
      <c r="I64" s="232" t="s">
        <v>401</v>
      </c>
      <c r="J64" s="233">
        <v>7</v>
      </c>
      <c r="K64" s="232">
        <v>700.8</v>
      </c>
      <c r="L64" s="232">
        <f>K64*J64</f>
        <v>4905.5999999999995</v>
      </c>
    </row>
    <row r="65" spans="9:12" ht="14.25" customHeight="1">
      <c r="I65" s="232" t="s">
        <v>402</v>
      </c>
      <c r="J65" s="233">
        <v>7</v>
      </c>
      <c r="K65" s="232">
        <v>887.68</v>
      </c>
      <c r="L65" s="232">
        <f>K65*J65</f>
        <v>6213.7599999999993</v>
      </c>
    </row>
    <row r="66" spans="9:12" ht="14.25" customHeight="1"/>
  </sheetData>
  <mergeCells count="17">
    <mergeCell ref="A48:K48"/>
    <mergeCell ref="A58:G58"/>
    <mergeCell ref="B59:C59"/>
    <mergeCell ref="F59:G59"/>
    <mergeCell ref="B63:C63"/>
    <mergeCell ref="F63:G63"/>
    <mergeCell ref="A6:E6"/>
    <mergeCell ref="A7:E7"/>
    <mergeCell ref="A8:E8"/>
    <mergeCell ref="A13:R13"/>
    <mergeCell ref="L14:M14"/>
    <mergeCell ref="N14:O14"/>
    <mergeCell ref="A1:G1"/>
    <mergeCell ref="A2:E2"/>
    <mergeCell ref="A3:E3"/>
    <mergeCell ref="A4:E4"/>
    <mergeCell ref="A5:E5"/>
  </mergeCells>
  <conditionalFormatting sqref="E52">
    <cfRule type="expression" dxfId="3" priority="2">
      <formula>$H$42&lt;$G$42</formula>
    </cfRule>
  </conditionalFormatting>
  <conditionalFormatting sqref="B55 F52">
    <cfRule type="expression" dxfId="2" priority="3">
      <formula>#REF!*$F$62&lt;#REF!</formula>
    </cfRule>
  </conditionalFormatting>
  <pageMargins left="0.7" right="0.7" top="0.75" bottom="0.75"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A1:R66"/>
  <sheetViews>
    <sheetView topLeftCell="A51" zoomScale="85" zoomScaleNormal="85" workbookViewId="0">
      <selection activeCell="F60" sqref="F60"/>
    </sheetView>
  </sheetViews>
  <sheetFormatPr defaultColWidth="21" defaultRowHeight="12"/>
  <cols>
    <col min="1" max="1" width="28.85546875" style="50" customWidth="1"/>
    <col min="2" max="3" width="21.85546875" style="50" customWidth="1"/>
    <col min="4" max="4" width="23.42578125" style="50" customWidth="1"/>
    <col min="5" max="5" width="32.7109375" style="50" customWidth="1"/>
    <col min="6" max="6" width="28.7109375" style="50" customWidth="1"/>
    <col min="7" max="7" width="24.28515625" style="50" customWidth="1"/>
    <col min="8" max="8" width="26.85546875" style="50" customWidth="1"/>
    <col min="9" max="9" width="18.85546875" style="50" customWidth="1"/>
    <col min="10" max="10" width="26.85546875" style="50" customWidth="1"/>
    <col min="11" max="12" width="21" style="50"/>
    <col min="13" max="13" width="27.42578125" style="50" customWidth="1"/>
    <col min="14" max="16384" width="21" style="50"/>
  </cols>
  <sheetData>
    <row r="1" spans="1:18" ht="15" customHeight="1">
      <c r="A1" s="324" t="s">
        <v>409</v>
      </c>
      <c r="B1" s="324"/>
      <c r="C1" s="324"/>
      <c r="D1" s="324"/>
      <c r="E1" s="324"/>
      <c r="F1" s="324"/>
      <c r="G1" s="324"/>
    </row>
    <row r="2" spans="1:18">
      <c r="A2" s="325" t="s">
        <v>410</v>
      </c>
      <c r="B2" s="325"/>
      <c r="C2" s="325"/>
      <c r="D2" s="325"/>
      <c r="E2" s="325"/>
      <c r="G2" s="239"/>
    </row>
    <row r="3" spans="1:18">
      <c r="A3" s="325" t="s">
        <v>411</v>
      </c>
      <c r="B3" s="325"/>
      <c r="C3" s="325"/>
      <c r="D3" s="325"/>
      <c r="E3" s="325"/>
      <c r="G3" s="239"/>
    </row>
    <row r="4" spans="1:18">
      <c r="A4" s="325" t="s">
        <v>412</v>
      </c>
      <c r="B4" s="325"/>
      <c r="C4" s="325"/>
      <c r="D4" s="325"/>
      <c r="E4" s="325"/>
      <c r="G4" s="239"/>
    </row>
    <row r="5" spans="1:18">
      <c r="A5" s="325" t="s">
        <v>413</v>
      </c>
      <c r="B5" s="325"/>
      <c r="C5" s="325"/>
      <c r="D5" s="325"/>
      <c r="E5" s="325"/>
      <c r="G5" s="239"/>
    </row>
    <row r="6" spans="1:18">
      <c r="A6" s="325" t="s">
        <v>414</v>
      </c>
      <c r="B6" s="325"/>
      <c r="C6" s="325"/>
      <c r="D6" s="325"/>
      <c r="E6" s="325"/>
      <c r="G6" s="239"/>
    </row>
    <row r="7" spans="1:18">
      <c r="A7" s="325" t="s">
        <v>415</v>
      </c>
      <c r="B7" s="325"/>
      <c r="C7" s="325"/>
      <c r="D7" s="325"/>
      <c r="E7" s="325"/>
      <c r="G7" s="239"/>
    </row>
    <row r="8" spans="1:18">
      <c r="A8" s="325" t="s">
        <v>416</v>
      </c>
      <c r="B8" s="325"/>
      <c r="C8" s="325"/>
      <c r="D8" s="325"/>
      <c r="E8" s="325"/>
      <c r="G8" s="239"/>
    </row>
    <row r="9" spans="1:18">
      <c r="A9" s="4" t="s">
        <v>417</v>
      </c>
      <c r="B9" s="240"/>
      <c r="C9" s="240"/>
      <c r="D9" s="240"/>
      <c r="G9" s="239"/>
    </row>
    <row r="10" spans="1:18" ht="15" customHeight="1">
      <c r="A10" s="168" t="s">
        <v>418</v>
      </c>
      <c r="B10" s="241"/>
      <c r="C10" s="241"/>
      <c r="D10" s="241"/>
      <c r="E10" s="241"/>
      <c r="F10" s="241"/>
      <c r="G10" s="242"/>
    </row>
    <row r="12" spans="1:18" ht="12.75" customHeight="1">
      <c r="A12" s="193" t="s">
        <v>329</v>
      </c>
      <c r="H12" s="194"/>
      <c r="I12" s="195"/>
      <c r="J12" s="195"/>
      <c r="K12" s="196"/>
    </row>
    <row r="13" spans="1:18" ht="14.25" customHeight="1">
      <c r="A13" s="320" t="s">
        <v>330</v>
      </c>
      <c r="B13" s="320"/>
      <c r="C13" s="320"/>
      <c r="D13" s="320"/>
      <c r="E13" s="320"/>
      <c r="F13" s="320"/>
      <c r="G13" s="320"/>
      <c r="H13" s="320"/>
      <c r="I13" s="320"/>
      <c r="J13" s="320"/>
      <c r="K13" s="320"/>
      <c r="L13" s="320"/>
      <c r="M13" s="320"/>
      <c r="N13" s="320"/>
      <c r="O13" s="320"/>
      <c r="P13" s="320"/>
      <c r="Q13" s="320"/>
      <c r="R13" s="320"/>
    </row>
    <row r="14" spans="1:18" ht="14.25" customHeight="1">
      <c r="A14" s="197"/>
      <c r="B14" s="197"/>
      <c r="C14" s="197"/>
      <c r="D14" s="32"/>
      <c r="E14" s="32"/>
      <c r="F14" s="32"/>
      <c r="G14" s="32"/>
      <c r="H14" s="32"/>
      <c r="I14" s="32"/>
      <c r="J14" s="32"/>
      <c r="K14" s="32"/>
      <c r="L14" s="276" t="s">
        <v>331</v>
      </c>
      <c r="M14" s="276"/>
      <c r="N14" s="321" t="s">
        <v>332</v>
      </c>
      <c r="O14" s="321"/>
      <c r="P14" s="32"/>
      <c r="Q14" s="32"/>
      <c r="R14" s="32"/>
    </row>
    <row r="15" spans="1:18" ht="15.75" customHeight="1">
      <c r="A15" s="198" t="s">
        <v>403</v>
      </c>
      <c r="B15" s="198" t="s">
        <v>334</v>
      </c>
      <c r="C15" s="198" t="s">
        <v>335</v>
      </c>
      <c r="D15" s="198" t="s">
        <v>336</v>
      </c>
      <c r="E15" s="199" t="s">
        <v>337</v>
      </c>
      <c r="F15" s="199" t="s">
        <v>338</v>
      </c>
      <c r="G15" s="199" t="s">
        <v>339</v>
      </c>
      <c r="H15" s="199" t="s">
        <v>340</v>
      </c>
      <c r="I15" s="199" t="s">
        <v>341</v>
      </c>
      <c r="J15" s="198" t="s">
        <v>342</v>
      </c>
      <c r="K15" s="199" t="s">
        <v>343</v>
      </c>
      <c r="L15" s="198" t="s">
        <v>99</v>
      </c>
      <c r="M15" s="198" t="s">
        <v>344</v>
      </c>
      <c r="N15" s="198" t="s">
        <v>99</v>
      </c>
      <c r="O15" s="198" t="s">
        <v>344</v>
      </c>
      <c r="P15" s="198" t="s">
        <v>345</v>
      </c>
      <c r="Q15" s="198" t="s">
        <v>346</v>
      </c>
      <c r="R15" s="198" t="s">
        <v>103</v>
      </c>
    </row>
    <row r="16" spans="1:18" ht="13.5" customHeight="1">
      <c r="A16" s="200" t="s">
        <v>404</v>
      </c>
      <c r="B16" s="200">
        <v>1</v>
      </c>
      <c r="C16" s="200">
        <v>1</v>
      </c>
      <c r="D16" s="200">
        <v>1</v>
      </c>
      <c r="E16" s="236">
        <v>2</v>
      </c>
      <c r="F16" s="202">
        <v>500</v>
      </c>
      <c r="G16" s="202">
        <v>512</v>
      </c>
      <c r="H16" s="202">
        <v>1000</v>
      </c>
      <c r="I16" s="202">
        <v>1536</v>
      </c>
      <c r="J16" s="202">
        <f>6*1024</f>
        <v>6144</v>
      </c>
      <c r="K16" s="202">
        <v>0</v>
      </c>
      <c r="L16" s="202">
        <f>D16*F16</f>
        <v>500</v>
      </c>
      <c r="M16" s="202">
        <f>D16*G16</f>
        <v>512</v>
      </c>
      <c r="N16" s="202">
        <f>E16*H16</f>
        <v>2000</v>
      </c>
      <c r="O16" s="202">
        <f>E16*I16</f>
        <v>3072</v>
      </c>
      <c r="P16" s="202">
        <f>J16*3</f>
        <v>18432</v>
      </c>
      <c r="Q16" s="202">
        <f>E16*K16</f>
        <v>0</v>
      </c>
      <c r="R16" s="202"/>
    </row>
    <row r="17" spans="1:18" ht="13.5" customHeight="1">
      <c r="A17" s="200" t="s">
        <v>405</v>
      </c>
      <c r="B17" s="200">
        <v>1</v>
      </c>
      <c r="C17" s="237">
        <v>0</v>
      </c>
      <c r="D17" s="237">
        <v>0</v>
      </c>
      <c r="E17" s="238">
        <v>0</v>
      </c>
      <c r="F17" s="202">
        <v>100</v>
      </c>
      <c r="G17" s="202">
        <v>512</v>
      </c>
      <c r="H17" s="202">
        <v>300</v>
      </c>
      <c r="I17" s="202">
        <v>1536</v>
      </c>
      <c r="J17" s="202">
        <f>1024*8</f>
        <v>8192</v>
      </c>
      <c r="K17" s="202">
        <v>30</v>
      </c>
      <c r="L17" s="202">
        <f>D17*F17</f>
        <v>0</v>
      </c>
      <c r="M17" s="202">
        <f>D17*G17</f>
        <v>0</v>
      </c>
      <c r="N17" s="202">
        <f>E17*H17</f>
        <v>0</v>
      </c>
      <c r="O17" s="202">
        <f>E17*I17</f>
        <v>0</v>
      </c>
      <c r="P17" s="202">
        <f>J17*3</f>
        <v>24576</v>
      </c>
      <c r="Q17" s="202">
        <f>E17*K17</f>
        <v>0</v>
      </c>
      <c r="R17" s="202"/>
    </row>
    <row r="18" spans="1:18" ht="13.5" customHeight="1">
      <c r="A18" s="200" t="s">
        <v>406</v>
      </c>
      <c r="B18" s="200">
        <v>1</v>
      </c>
      <c r="C18" s="200">
        <v>1</v>
      </c>
      <c r="D18" s="200">
        <v>1</v>
      </c>
      <c r="E18" s="236">
        <v>2</v>
      </c>
      <c r="F18" s="202">
        <v>300</v>
      </c>
      <c r="G18" s="202">
        <v>128</v>
      </c>
      <c r="H18" s="202">
        <v>300</v>
      </c>
      <c r="I18" s="202">
        <v>128</v>
      </c>
      <c r="J18" s="202">
        <f>1024</f>
        <v>1024</v>
      </c>
      <c r="K18" s="202">
        <v>0</v>
      </c>
      <c r="L18" s="202">
        <f>D18*F18</f>
        <v>300</v>
      </c>
      <c r="M18" s="202">
        <f>D18*G18</f>
        <v>128</v>
      </c>
      <c r="N18" s="202">
        <f>E18*H18</f>
        <v>600</v>
      </c>
      <c r="O18" s="202">
        <f>E18*I18</f>
        <v>256</v>
      </c>
      <c r="P18" s="202">
        <f>J18*3</f>
        <v>3072</v>
      </c>
      <c r="Q18" s="202">
        <f>E18*K18</f>
        <v>0</v>
      </c>
      <c r="R18" s="202"/>
    </row>
    <row r="19" spans="1:18" ht="13.5" customHeight="1">
      <c r="A19" s="200" t="s">
        <v>407</v>
      </c>
      <c r="B19" s="200">
        <v>1</v>
      </c>
      <c r="C19" s="200">
        <v>1</v>
      </c>
      <c r="D19" s="200">
        <v>1</v>
      </c>
      <c r="E19" s="236">
        <v>2</v>
      </c>
      <c r="F19" s="202">
        <v>100</v>
      </c>
      <c r="G19" s="202">
        <v>128</v>
      </c>
      <c r="H19" s="202">
        <v>100</v>
      </c>
      <c r="I19" s="202">
        <v>128</v>
      </c>
      <c r="J19" s="202">
        <v>1024</v>
      </c>
      <c r="K19" s="202">
        <v>0</v>
      </c>
      <c r="L19" s="202">
        <f>D19*F19</f>
        <v>100</v>
      </c>
      <c r="M19" s="202">
        <f>D19*G19</f>
        <v>128</v>
      </c>
      <c r="N19" s="202">
        <f>E19*H19</f>
        <v>200</v>
      </c>
      <c r="O19" s="202">
        <f>E19*I19</f>
        <v>256</v>
      </c>
      <c r="P19" s="202">
        <f>J19*3</f>
        <v>3072</v>
      </c>
      <c r="Q19" s="202">
        <f>E19*K19</f>
        <v>0</v>
      </c>
      <c r="R19" s="202"/>
    </row>
    <row r="20" spans="1:18" ht="13.5" customHeight="1">
      <c r="A20" s="198" t="s">
        <v>333</v>
      </c>
      <c r="B20" s="198"/>
      <c r="C20" s="198"/>
      <c r="D20" s="198"/>
      <c r="E20" s="198"/>
      <c r="F20" s="198"/>
      <c r="G20" s="198"/>
      <c r="H20" s="198"/>
      <c r="I20" s="198"/>
      <c r="J20" s="198"/>
      <c r="K20" s="198"/>
      <c r="L20" s="198"/>
      <c r="M20" s="198"/>
      <c r="N20" s="198"/>
      <c r="O20" s="198"/>
      <c r="P20" s="198"/>
      <c r="Q20" s="198"/>
      <c r="R20" s="198"/>
    </row>
    <row r="21" spans="1:18" ht="13.5" customHeight="1">
      <c r="A21" s="200" t="s">
        <v>347</v>
      </c>
      <c r="B21" s="200">
        <v>1</v>
      </c>
      <c r="C21" s="200">
        <v>1</v>
      </c>
      <c r="D21" s="200">
        <v>1</v>
      </c>
      <c r="E21" s="243">
        <v>2</v>
      </c>
      <c r="F21" s="243">
        <v>25</v>
      </c>
      <c r="G21" s="243">
        <v>70</v>
      </c>
      <c r="H21" s="243">
        <v>50</v>
      </c>
      <c r="I21" s="243">
        <v>100</v>
      </c>
      <c r="J21" s="243">
        <v>80</v>
      </c>
      <c r="K21" s="243">
        <v>0</v>
      </c>
      <c r="L21" s="202">
        <f>D21*F21</f>
        <v>25</v>
      </c>
      <c r="M21" s="202">
        <f>D21*G21</f>
        <v>70</v>
      </c>
      <c r="N21" s="202">
        <f>E21*H21</f>
        <v>100</v>
      </c>
      <c r="O21" s="202">
        <f>E21*I21</f>
        <v>200</v>
      </c>
      <c r="P21" s="202">
        <f>J21*3</f>
        <v>240</v>
      </c>
      <c r="Q21" s="202">
        <f>E21*K21</f>
        <v>0</v>
      </c>
      <c r="R21" s="203"/>
    </row>
    <row r="22" spans="1:18" ht="13.5" customHeight="1">
      <c r="A22" s="200" t="s">
        <v>348</v>
      </c>
      <c r="B22" s="200">
        <v>1</v>
      </c>
      <c r="C22" s="200">
        <v>1</v>
      </c>
      <c r="D22" s="200">
        <v>1</v>
      </c>
      <c r="E22" s="243">
        <v>2</v>
      </c>
      <c r="F22" s="243">
        <v>100</v>
      </c>
      <c r="G22" s="243">
        <v>50</v>
      </c>
      <c r="H22" s="243">
        <v>100</v>
      </c>
      <c r="I22" s="243">
        <v>50</v>
      </c>
      <c r="J22" s="243">
        <v>60</v>
      </c>
      <c r="K22" s="243">
        <v>0</v>
      </c>
      <c r="L22" s="202">
        <f>D22*F22</f>
        <v>100</v>
      </c>
      <c r="M22" s="202">
        <f>D22*G22</f>
        <v>50</v>
      </c>
      <c r="N22" s="202">
        <f>E22*H22</f>
        <v>200</v>
      </c>
      <c r="O22" s="202">
        <f>E22*I22</f>
        <v>100</v>
      </c>
      <c r="P22" s="202">
        <f>J22*3</f>
        <v>180</v>
      </c>
      <c r="Q22" s="202">
        <f>E22*K22</f>
        <v>0</v>
      </c>
      <c r="R22" s="202"/>
    </row>
    <row r="23" spans="1:18" ht="13.5" customHeight="1">
      <c r="A23" s="200" t="s">
        <v>349</v>
      </c>
      <c r="B23" s="200">
        <v>1</v>
      </c>
      <c r="C23" s="200">
        <v>1</v>
      </c>
      <c r="D23" s="200">
        <v>1</v>
      </c>
      <c r="E23" s="243">
        <v>2</v>
      </c>
      <c r="F23" s="243">
        <v>100</v>
      </c>
      <c r="G23" s="243">
        <v>70</v>
      </c>
      <c r="H23" s="243">
        <v>100</v>
      </c>
      <c r="I23" s="243">
        <v>170</v>
      </c>
      <c r="J23" s="243">
        <v>40</v>
      </c>
      <c r="K23" s="243">
        <v>0</v>
      </c>
      <c r="L23" s="202">
        <f>D23*F23</f>
        <v>100</v>
      </c>
      <c r="M23" s="202">
        <f>D23*G23</f>
        <v>70</v>
      </c>
      <c r="N23" s="202">
        <f>E23*H23</f>
        <v>200</v>
      </c>
      <c r="O23" s="202">
        <f>E23*I23</f>
        <v>340</v>
      </c>
      <c r="P23" s="202">
        <f>J23*3</f>
        <v>120</v>
      </c>
      <c r="Q23" s="202">
        <f>E23*K23</f>
        <v>0</v>
      </c>
      <c r="R23" s="203"/>
    </row>
    <row r="24" spans="1:18" ht="13.5" customHeight="1">
      <c r="A24" s="200" t="s">
        <v>350</v>
      </c>
      <c r="B24" s="200">
        <v>1</v>
      </c>
      <c r="C24" s="200">
        <v>1</v>
      </c>
      <c r="D24" s="200">
        <v>1</v>
      </c>
      <c r="E24" s="243">
        <v>2</v>
      </c>
      <c r="F24" s="243">
        <v>100</v>
      </c>
      <c r="G24" s="243">
        <v>128</v>
      </c>
      <c r="H24" s="243">
        <v>100</v>
      </c>
      <c r="I24" s="243">
        <v>128</v>
      </c>
      <c r="J24" s="243">
        <v>50</v>
      </c>
      <c r="K24" s="243">
        <v>0</v>
      </c>
      <c r="L24" s="202">
        <f>D24*F24</f>
        <v>100</v>
      </c>
      <c r="M24" s="202">
        <f>D24*G24</f>
        <v>128</v>
      </c>
      <c r="N24" s="202">
        <f>E24*H24</f>
        <v>200</v>
      </c>
      <c r="O24" s="202">
        <f>E24*I24</f>
        <v>256</v>
      </c>
      <c r="P24" s="202">
        <f>J24*3</f>
        <v>150</v>
      </c>
      <c r="Q24" s="202">
        <f>E24*K24</f>
        <v>0</v>
      </c>
      <c r="R24" s="203"/>
    </row>
    <row r="25" spans="1:18" ht="13.5" customHeight="1">
      <c r="A25" s="205" t="s">
        <v>351</v>
      </c>
      <c r="B25" s="205">
        <v>1</v>
      </c>
      <c r="C25" s="205">
        <v>1</v>
      </c>
      <c r="D25" s="205">
        <v>1</v>
      </c>
      <c r="E25" s="244">
        <v>2</v>
      </c>
      <c r="F25" s="244">
        <v>100</v>
      </c>
      <c r="G25" s="244">
        <v>200</v>
      </c>
      <c r="H25" s="244">
        <v>100</v>
      </c>
      <c r="I25" s="244">
        <v>200</v>
      </c>
      <c r="J25" s="244">
        <v>50</v>
      </c>
      <c r="K25" s="244">
        <v>0</v>
      </c>
      <c r="L25" s="202">
        <f>D25*F25</f>
        <v>100</v>
      </c>
      <c r="M25" s="202">
        <f>D25*G25</f>
        <v>200</v>
      </c>
      <c r="N25" s="202">
        <f>E25*H25</f>
        <v>200</v>
      </c>
      <c r="O25" s="202">
        <f>E25*I25</f>
        <v>400</v>
      </c>
      <c r="P25" s="202">
        <f>J25*3</f>
        <v>150</v>
      </c>
      <c r="Q25" s="202">
        <f>E25*K25</f>
        <v>0</v>
      </c>
      <c r="R25" s="203"/>
    </row>
    <row r="26" spans="1:18" ht="13.5" customHeight="1">
      <c r="A26" s="245" t="s">
        <v>352</v>
      </c>
      <c r="B26" s="205">
        <v>1</v>
      </c>
      <c r="C26" s="205">
        <v>1</v>
      </c>
      <c r="D26" s="205">
        <v>1</v>
      </c>
      <c r="E26" s="244">
        <v>2</v>
      </c>
      <c r="F26" s="244">
        <v>100</v>
      </c>
      <c r="G26" s="244">
        <v>600</v>
      </c>
      <c r="H26" s="244">
        <v>100</v>
      </c>
      <c r="I26" s="244">
        <v>600</v>
      </c>
      <c r="J26" s="244">
        <v>50</v>
      </c>
      <c r="K26" s="244">
        <v>0</v>
      </c>
      <c r="L26" s="202">
        <f>D26*F26</f>
        <v>100</v>
      </c>
      <c r="M26" s="202">
        <f>D26*G26</f>
        <v>600</v>
      </c>
      <c r="N26" s="202">
        <f>E26*H26</f>
        <v>200</v>
      </c>
      <c r="O26" s="202">
        <f>E26*I26</f>
        <v>1200</v>
      </c>
      <c r="P26" s="202">
        <f>J26*3</f>
        <v>150</v>
      </c>
      <c r="Q26" s="202">
        <f>E26*K26</f>
        <v>0</v>
      </c>
      <c r="R26" s="203"/>
    </row>
    <row r="27" spans="1:18" ht="15.75" customHeight="1">
      <c r="A27" s="198" t="s">
        <v>408</v>
      </c>
      <c r="B27" s="198"/>
      <c r="C27" s="198"/>
      <c r="D27" s="198"/>
      <c r="E27" s="198"/>
      <c r="F27" s="198"/>
      <c r="G27" s="198"/>
      <c r="H27" s="198"/>
      <c r="I27" s="198"/>
      <c r="J27" s="198"/>
      <c r="K27" s="198"/>
      <c r="L27" s="198"/>
      <c r="M27" s="198"/>
      <c r="N27" s="198"/>
      <c r="O27" s="198"/>
      <c r="P27" s="198"/>
      <c r="Q27" s="198"/>
      <c r="R27" s="198"/>
    </row>
    <row r="28" spans="1:18" ht="13.5" customHeight="1">
      <c r="A28" s="200" t="s">
        <v>408</v>
      </c>
      <c r="B28" s="200">
        <v>1</v>
      </c>
      <c r="C28" s="237">
        <v>0</v>
      </c>
      <c r="D28" s="237">
        <v>0</v>
      </c>
      <c r="E28" s="238">
        <v>0</v>
      </c>
      <c r="F28" s="201">
        <v>250</v>
      </c>
      <c r="G28" s="201">
        <v>512</v>
      </c>
      <c r="H28" s="201">
        <v>1000</v>
      </c>
      <c r="I28" s="201">
        <v>2048</v>
      </c>
      <c r="J28" s="201">
        <v>1024</v>
      </c>
      <c r="K28" s="201">
        <v>0</v>
      </c>
      <c r="L28" s="202">
        <f>D28*F28</f>
        <v>0</v>
      </c>
      <c r="M28" s="202">
        <f>D28*G28</f>
        <v>0</v>
      </c>
      <c r="N28" s="202">
        <f>E28*H28</f>
        <v>0</v>
      </c>
      <c r="O28" s="202">
        <f>E28*I28</f>
        <v>0</v>
      </c>
      <c r="P28" s="202">
        <f>J28*3</f>
        <v>3072</v>
      </c>
      <c r="Q28" s="202">
        <f>E28*K28</f>
        <v>0</v>
      </c>
      <c r="R28" s="203"/>
    </row>
    <row r="29" spans="1:18" ht="15.75" customHeight="1">
      <c r="A29" s="198" t="s">
        <v>353</v>
      </c>
      <c r="B29" s="198"/>
      <c r="C29" s="198"/>
      <c r="D29" s="198"/>
      <c r="E29" s="199"/>
      <c r="F29" s="199"/>
      <c r="G29" s="199"/>
      <c r="H29" s="199"/>
      <c r="I29" s="199"/>
      <c r="J29" s="199"/>
      <c r="K29" s="199"/>
      <c r="L29" s="199"/>
      <c r="M29" s="199"/>
      <c r="N29" s="199"/>
      <c r="O29" s="199"/>
      <c r="P29" s="199"/>
      <c r="Q29" s="199"/>
      <c r="R29" s="199"/>
    </row>
    <row r="30" spans="1:18" ht="13.5" customHeight="1">
      <c r="A30" s="205" t="s">
        <v>354</v>
      </c>
      <c r="B30" s="205">
        <v>1</v>
      </c>
      <c r="C30" s="205">
        <v>1</v>
      </c>
      <c r="D30" s="205">
        <v>1</v>
      </c>
      <c r="E30" s="206">
        <v>2</v>
      </c>
      <c r="F30" s="207">
        <v>25</v>
      </c>
      <c r="G30" s="207">
        <v>100</v>
      </c>
      <c r="H30" s="207">
        <v>100</v>
      </c>
      <c r="I30" s="207">
        <v>100</v>
      </c>
      <c r="J30" s="207">
        <v>50</v>
      </c>
      <c r="K30" s="207">
        <v>0</v>
      </c>
      <c r="L30" s="202">
        <f>D30*F30</f>
        <v>25</v>
      </c>
      <c r="M30" s="202">
        <f>D30*G30</f>
        <v>100</v>
      </c>
      <c r="N30" s="202">
        <f>E30*H30</f>
        <v>200</v>
      </c>
      <c r="O30" s="202">
        <f>E30*I30</f>
        <v>200</v>
      </c>
      <c r="P30" s="202">
        <f>J30*3</f>
        <v>150</v>
      </c>
      <c r="Q30" s="202">
        <f>E30*K30</f>
        <v>0</v>
      </c>
      <c r="R30" s="202"/>
    </row>
    <row r="31" spans="1:18" ht="15.75" customHeight="1">
      <c r="A31" s="198" t="s">
        <v>355</v>
      </c>
      <c r="B31" s="198"/>
      <c r="C31" s="198"/>
      <c r="D31" s="198"/>
      <c r="E31" s="199"/>
      <c r="F31" s="199"/>
      <c r="G31" s="199"/>
      <c r="H31" s="199"/>
      <c r="I31" s="199"/>
      <c r="J31" s="199"/>
      <c r="K31" s="199"/>
      <c r="L31" s="199"/>
      <c r="M31" s="199"/>
      <c r="N31" s="199"/>
      <c r="O31" s="199"/>
      <c r="P31" s="199"/>
      <c r="Q31" s="199"/>
      <c r="R31" s="199"/>
    </row>
    <row r="32" spans="1:18" ht="13.5" customHeight="1">
      <c r="A32" s="208" t="s">
        <v>356</v>
      </c>
      <c r="B32" s="208">
        <v>1</v>
      </c>
      <c r="C32" s="208">
        <v>4</v>
      </c>
      <c r="D32" s="208">
        <v>4</v>
      </c>
      <c r="E32" s="208">
        <v>8</v>
      </c>
      <c r="F32" s="208">
        <v>500</v>
      </c>
      <c r="G32" s="208">
        <v>1024</v>
      </c>
      <c r="H32" s="208">
        <v>1500</v>
      </c>
      <c r="I32" s="208">
        <v>2048</v>
      </c>
      <c r="J32" s="208">
        <v>2048</v>
      </c>
      <c r="K32" s="208">
        <v>0</v>
      </c>
      <c r="L32" s="202">
        <f>D32*F32</f>
        <v>2000</v>
      </c>
      <c r="M32" s="202">
        <f>D32*G32</f>
        <v>4096</v>
      </c>
      <c r="N32" s="202">
        <f>E32*H32</f>
        <v>12000</v>
      </c>
      <c r="O32" s="202">
        <f>E32*I32</f>
        <v>16384</v>
      </c>
      <c r="P32" s="202">
        <f>J32*3</f>
        <v>6144</v>
      </c>
      <c r="Q32" s="202">
        <f>E32*H32</f>
        <v>12000</v>
      </c>
      <c r="R32" s="202"/>
    </row>
    <row r="33" spans="1:18" ht="13.5" customHeight="1">
      <c r="A33" s="208" t="s">
        <v>357</v>
      </c>
      <c r="B33" s="208">
        <v>1</v>
      </c>
      <c r="C33" s="208">
        <v>4</v>
      </c>
      <c r="D33" s="208">
        <v>4</v>
      </c>
      <c r="E33" s="208">
        <v>8</v>
      </c>
      <c r="F33" s="208">
        <v>500</v>
      </c>
      <c r="G33" s="208">
        <v>1024</v>
      </c>
      <c r="H33" s="208">
        <v>1500</v>
      </c>
      <c r="I33" s="208">
        <v>2048</v>
      </c>
      <c r="J33" s="208">
        <v>2048</v>
      </c>
      <c r="K33" s="208">
        <v>0</v>
      </c>
      <c r="L33" s="202">
        <f>D33*F33</f>
        <v>2000</v>
      </c>
      <c r="M33" s="202">
        <f>D33*G33</f>
        <v>4096</v>
      </c>
      <c r="N33" s="202">
        <f>E33*H33</f>
        <v>12000</v>
      </c>
      <c r="O33" s="202">
        <f>E33*I33</f>
        <v>16384</v>
      </c>
      <c r="P33" s="202">
        <f>J33*3</f>
        <v>6144</v>
      </c>
      <c r="Q33" s="202">
        <f>E33*H33</f>
        <v>12000</v>
      </c>
      <c r="R33" s="202"/>
    </row>
    <row r="34" spans="1:18" ht="13.5" customHeight="1">
      <c r="A34" s="208" t="s">
        <v>358</v>
      </c>
      <c r="B34" s="208">
        <v>1</v>
      </c>
      <c r="C34" s="208">
        <v>4</v>
      </c>
      <c r="D34" s="208">
        <v>4</v>
      </c>
      <c r="E34" s="208">
        <v>8</v>
      </c>
      <c r="F34" s="208">
        <v>500</v>
      </c>
      <c r="G34" s="208">
        <v>1024</v>
      </c>
      <c r="H34" s="208">
        <v>1500</v>
      </c>
      <c r="I34" s="208">
        <v>2048</v>
      </c>
      <c r="J34" s="208">
        <v>2048</v>
      </c>
      <c r="K34" s="208">
        <v>0</v>
      </c>
      <c r="L34" s="202">
        <f>D34*F34</f>
        <v>2000</v>
      </c>
      <c r="M34" s="202">
        <f>D34*G34</f>
        <v>4096</v>
      </c>
      <c r="N34" s="202">
        <f>E34*H34</f>
        <v>12000</v>
      </c>
      <c r="O34" s="202">
        <f>E34*I34</f>
        <v>16384</v>
      </c>
      <c r="P34" s="202">
        <f>J34*3</f>
        <v>6144</v>
      </c>
      <c r="Q34" s="202">
        <f>E34*H34</f>
        <v>12000</v>
      </c>
      <c r="R34" s="202"/>
    </row>
    <row r="35" spans="1:18" ht="13.5" customHeight="1">
      <c r="A35" s="208" t="s">
        <v>359</v>
      </c>
      <c r="B35" s="208">
        <v>1</v>
      </c>
      <c r="C35" s="208">
        <v>4</v>
      </c>
      <c r="D35" s="208">
        <v>4</v>
      </c>
      <c r="E35" s="208">
        <v>8</v>
      </c>
      <c r="F35" s="208">
        <v>400</v>
      </c>
      <c r="G35" s="208">
        <v>768</v>
      </c>
      <c r="H35" s="208">
        <v>1200</v>
      </c>
      <c r="I35" s="208">
        <v>1536</v>
      </c>
      <c r="J35" s="208">
        <v>2048</v>
      </c>
      <c r="K35" s="208">
        <v>0</v>
      </c>
      <c r="L35" s="202">
        <f>D35*F35</f>
        <v>1600</v>
      </c>
      <c r="M35" s="202">
        <f>D35*G35</f>
        <v>3072</v>
      </c>
      <c r="N35" s="202">
        <f>E35*H35</f>
        <v>9600</v>
      </c>
      <c r="O35" s="202">
        <f>E35*I35</f>
        <v>12288</v>
      </c>
      <c r="P35" s="202">
        <f>J35*3</f>
        <v>6144</v>
      </c>
      <c r="Q35" s="202">
        <f>E35*H35</f>
        <v>9600</v>
      </c>
      <c r="R35" s="202"/>
    </row>
    <row r="36" spans="1:18" ht="13.5" customHeight="1">
      <c r="A36" s="208" t="s">
        <v>360</v>
      </c>
      <c r="B36" s="208">
        <v>1</v>
      </c>
      <c r="C36" s="208">
        <v>4</v>
      </c>
      <c r="D36" s="208">
        <v>4</v>
      </c>
      <c r="E36" s="208">
        <v>8</v>
      </c>
      <c r="F36" s="208">
        <v>200</v>
      </c>
      <c r="G36" s="208">
        <v>256</v>
      </c>
      <c r="H36" s="208">
        <v>500</v>
      </c>
      <c r="I36" s="208">
        <v>512</v>
      </c>
      <c r="J36" s="208">
        <v>1024</v>
      </c>
      <c r="K36" s="208">
        <v>0</v>
      </c>
      <c r="L36" s="202">
        <f>D36*F36</f>
        <v>800</v>
      </c>
      <c r="M36" s="202">
        <f>D36*G36</f>
        <v>1024</v>
      </c>
      <c r="N36" s="202">
        <f>E36*H36</f>
        <v>4000</v>
      </c>
      <c r="O36" s="202">
        <f>E36*I36</f>
        <v>4096</v>
      </c>
      <c r="P36" s="202">
        <f>J36*3</f>
        <v>3072</v>
      </c>
      <c r="Q36" s="202">
        <f>E36*H36</f>
        <v>4000</v>
      </c>
      <c r="R36" s="202"/>
    </row>
    <row r="37" spans="1:18" ht="15.75" customHeight="1">
      <c r="A37" s="198" t="s">
        <v>361</v>
      </c>
      <c r="B37" s="198"/>
      <c r="C37" s="198"/>
      <c r="D37" s="198"/>
      <c r="E37" s="199"/>
      <c r="F37" s="199"/>
      <c r="G37" s="199"/>
      <c r="H37" s="199"/>
      <c r="I37" s="199"/>
      <c r="J37" s="199"/>
      <c r="K37" s="199"/>
      <c r="L37" s="199"/>
      <c r="M37" s="199"/>
      <c r="N37" s="199"/>
      <c r="O37" s="199"/>
      <c r="P37" s="199"/>
      <c r="Q37" s="199"/>
      <c r="R37" s="199"/>
    </row>
    <row r="38" spans="1:18" ht="13.5" customHeight="1">
      <c r="A38" s="208" t="s">
        <v>362</v>
      </c>
      <c r="B38" s="208">
        <v>1</v>
      </c>
      <c r="C38" s="208">
        <v>4</v>
      </c>
      <c r="D38" s="208">
        <v>4</v>
      </c>
      <c r="E38" s="208">
        <v>8</v>
      </c>
      <c r="F38" s="208">
        <v>500</v>
      </c>
      <c r="G38" s="208">
        <v>512</v>
      </c>
      <c r="H38" s="208">
        <v>1000</v>
      </c>
      <c r="I38" s="208">
        <v>1024</v>
      </c>
      <c r="J38" s="208">
        <v>1024</v>
      </c>
      <c r="K38" s="208">
        <v>0</v>
      </c>
      <c r="L38" s="202">
        <f>D38*F38</f>
        <v>2000</v>
      </c>
      <c r="M38" s="202">
        <f>D38*G38</f>
        <v>2048</v>
      </c>
      <c r="N38" s="202">
        <f>E38*H38</f>
        <v>8000</v>
      </c>
      <c r="O38" s="202">
        <f>E38*I38</f>
        <v>8192</v>
      </c>
      <c r="P38" s="202">
        <f>J38*3</f>
        <v>3072</v>
      </c>
      <c r="Q38" s="202">
        <f>E38*H38</f>
        <v>8000</v>
      </c>
      <c r="R38" s="202"/>
    </row>
    <row r="39" spans="1:18" ht="13.5" customHeight="1">
      <c r="A39" s="208" t="s">
        <v>363</v>
      </c>
      <c r="B39" s="208">
        <v>1</v>
      </c>
      <c r="C39" s="208">
        <v>4</v>
      </c>
      <c r="D39" s="208">
        <v>4</v>
      </c>
      <c r="E39" s="208">
        <v>8</v>
      </c>
      <c r="F39" s="208">
        <v>400</v>
      </c>
      <c r="G39" s="208">
        <v>768</v>
      </c>
      <c r="H39" s="208">
        <v>1000</v>
      </c>
      <c r="I39" s="208">
        <v>1536</v>
      </c>
      <c r="J39" s="208">
        <v>1024</v>
      </c>
      <c r="K39" s="208">
        <v>0</v>
      </c>
      <c r="L39" s="202">
        <f>D39*F39</f>
        <v>1600</v>
      </c>
      <c r="M39" s="202">
        <f>D39*G39</f>
        <v>3072</v>
      </c>
      <c r="N39" s="202">
        <f>E39*H39</f>
        <v>8000</v>
      </c>
      <c r="O39" s="202">
        <f>E39*I39</f>
        <v>12288</v>
      </c>
      <c r="P39" s="202">
        <f>J39*3</f>
        <v>3072</v>
      </c>
      <c r="Q39" s="202">
        <f>E39*H39</f>
        <v>8000</v>
      </c>
      <c r="R39" s="202"/>
    </row>
    <row r="40" spans="1:18" ht="13.5" customHeight="1">
      <c r="A40" s="208" t="s">
        <v>364</v>
      </c>
      <c r="B40" s="208">
        <v>1</v>
      </c>
      <c r="C40" s="208">
        <v>4</v>
      </c>
      <c r="D40" s="208">
        <v>4</v>
      </c>
      <c r="E40" s="208">
        <v>8</v>
      </c>
      <c r="F40" s="208">
        <v>500</v>
      </c>
      <c r="G40" s="208">
        <v>1024</v>
      </c>
      <c r="H40" s="208">
        <v>1500</v>
      </c>
      <c r="I40" s="208">
        <v>2048</v>
      </c>
      <c r="J40" s="208">
        <v>2048</v>
      </c>
      <c r="K40" s="208">
        <v>0</v>
      </c>
      <c r="L40" s="202">
        <f>D40*F40</f>
        <v>2000</v>
      </c>
      <c r="M40" s="202">
        <f>D40*G40</f>
        <v>4096</v>
      </c>
      <c r="N40" s="202">
        <f>E40*H40</f>
        <v>12000</v>
      </c>
      <c r="O40" s="202">
        <f>E40*I40</f>
        <v>16384</v>
      </c>
      <c r="P40" s="202">
        <f>J40*3</f>
        <v>6144</v>
      </c>
      <c r="Q40" s="202">
        <f>E40*H40</f>
        <v>12000</v>
      </c>
      <c r="R40" s="202"/>
    </row>
    <row r="41" spans="1:18" ht="13.5" customHeight="1">
      <c r="A41" s="208" t="s">
        <v>365</v>
      </c>
      <c r="B41" s="208">
        <v>1</v>
      </c>
      <c r="C41" s="208">
        <v>4</v>
      </c>
      <c r="D41" s="208">
        <v>4</v>
      </c>
      <c r="E41" s="208">
        <v>8</v>
      </c>
      <c r="F41" s="208">
        <v>400</v>
      </c>
      <c r="G41" s="208">
        <v>768</v>
      </c>
      <c r="H41" s="208">
        <v>1200</v>
      </c>
      <c r="I41" s="208">
        <v>1536</v>
      </c>
      <c r="J41" s="208">
        <v>2048</v>
      </c>
      <c r="K41" s="208">
        <v>20</v>
      </c>
      <c r="L41" s="202">
        <f>D41*F41</f>
        <v>1600</v>
      </c>
      <c r="M41" s="202">
        <f>D41*G41</f>
        <v>3072</v>
      </c>
      <c r="N41" s="202">
        <f>E41*H41</f>
        <v>9600</v>
      </c>
      <c r="O41" s="202">
        <f>E41*I41</f>
        <v>12288</v>
      </c>
      <c r="P41" s="202">
        <f>J41*3</f>
        <v>6144</v>
      </c>
      <c r="Q41" s="202">
        <f>E41*H41</f>
        <v>9600</v>
      </c>
      <c r="R41" s="202"/>
    </row>
    <row r="42" spans="1:18" ht="13.5" customHeight="1">
      <c r="A42" s="208" t="s">
        <v>366</v>
      </c>
      <c r="B42" s="208">
        <v>1</v>
      </c>
      <c r="C42" s="208">
        <v>2</v>
      </c>
      <c r="D42" s="208">
        <v>2</v>
      </c>
      <c r="E42" s="208">
        <v>4</v>
      </c>
      <c r="F42" s="208">
        <v>400</v>
      </c>
      <c r="G42" s="208">
        <v>768</v>
      </c>
      <c r="H42" s="208">
        <v>1200</v>
      </c>
      <c r="I42" s="208">
        <v>1536</v>
      </c>
      <c r="J42" s="208">
        <v>2048</v>
      </c>
      <c r="K42" s="208">
        <v>0</v>
      </c>
      <c r="L42" s="202">
        <f>D42*F42</f>
        <v>800</v>
      </c>
      <c r="M42" s="202">
        <f>D42*G42</f>
        <v>1536</v>
      </c>
      <c r="N42" s="202">
        <f>E42*H42</f>
        <v>4800</v>
      </c>
      <c r="O42" s="202">
        <f>E42*I42</f>
        <v>6144</v>
      </c>
      <c r="P42" s="202">
        <f>J42*3</f>
        <v>6144</v>
      </c>
      <c r="Q42" s="202"/>
      <c r="R42" s="202"/>
    </row>
    <row r="43" spans="1:18" ht="12.75" customHeight="1">
      <c r="A43" s="198" t="s">
        <v>367</v>
      </c>
      <c r="B43" s="198"/>
      <c r="C43" s="198"/>
      <c r="D43" s="198"/>
      <c r="E43" s="209">
        <f>SUM(E16:E42)</f>
        <v>96</v>
      </c>
      <c r="F43" s="198"/>
      <c r="G43" s="198"/>
      <c r="H43" s="198"/>
      <c r="I43" s="198"/>
      <c r="J43" s="198"/>
      <c r="K43" s="198"/>
      <c r="L43" s="198">
        <f>SUM(L16:L42)</f>
        <v>17850</v>
      </c>
      <c r="M43" s="198">
        <f>SUM(M16:M42)</f>
        <v>32194</v>
      </c>
      <c r="N43" s="198">
        <f>SUM(N16:N42)</f>
        <v>96100</v>
      </c>
      <c r="O43" s="198">
        <f>SUM(O16:O42)</f>
        <v>127112</v>
      </c>
      <c r="P43" s="198">
        <f>SUM(P16:P42)</f>
        <v>105588</v>
      </c>
      <c r="Q43" s="198">
        <f>SUM(Q16:Q42)</f>
        <v>87200</v>
      </c>
      <c r="R43" s="198"/>
    </row>
    <row r="44" spans="1:18" ht="14.25" customHeight="1">
      <c r="L44" s="195">
        <f>CEILING(L43/1024,1)</f>
        <v>18</v>
      </c>
      <c r="M44" s="195">
        <f>CEILING(M43/1024,1)</f>
        <v>32</v>
      </c>
      <c r="N44" s="195">
        <f>CEILING(N43/1024,1)</f>
        <v>94</v>
      </c>
      <c r="O44" s="195">
        <f>CEILING(O43/1024,1)</f>
        <v>125</v>
      </c>
      <c r="P44" s="195">
        <f>CEILING(P43/1024,1)</f>
        <v>104</v>
      </c>
      <c r="Q44" s="195">
        <f>Q43</f>
        <v>87200</v>
      </c>
    </row>
    <row r="45" spans="1:18" ht="14.25" customHeight="1">
      <c r="A45" s="142"/>
      <c r="B45" s="142"/>
      <c r="C45" s="147"/>
      <c r="D45" s="147"/>
      <c r="E45" s="147"/>
      <c r="F45" s="147"/>
      <c r="K45" s="194" t="s">
        <v>368</v>
      </c>
      <c r="L45" s="195">
        <f>CEILING(L44/E50,1)</f>
        <v>23</v>
      </c>
      <c r="M45" s="195">
        <f>CEILING(M44/E50,1)</f>
        <v>41</v>
      </c>
      <c r="N45" s="195">
        <f>CEILING(N44/E50,1)</f>
        <v>119</v>
      </c>
      <c r="O45" s="195">
        <f>CEILING(O44/E50,1)</f>
        <v>159</v>
      </c>
      <c r="P45" s="195">
        <f>CEILING(P44/E50,1)</f>
        <v>132</v>
      </c>
      <c r="Q45" s="195">
        <f>CEILING(Q44/E50,1)</f>
        <v>110380</v>
      </c>
    </row>
    <row r="46" spans="1:18" ht="14.25" customHeight="1">
      <c r="K46" s="210" t="s">
        <v>369</v>
      </c>
      <c r="L46" s="142" t="s">
        <v>370</v>
      </c>
      <c r="M46" s="142" t="s">
        <v>371</v>
      </c>
      <c r="N46" s="142" t="s">
        <v>370</v>
      </c>
      <c r="O46" s="142" t="s">
        <v>371</v>
      </c>
      <c r="P46" s="142" t="s">
        <v>372</v>
      </c>
      <c r="Q46" s="142" t="s">
        <v>277</v>
      </c>
    </row>
    <row r="47" spans="1:18" ht="63" customHeight="1">
      <c r="K47" s="210"/>
      <c r="L47" s="142"/>
      <c r="M47" s="142"/>
      <c r="N47" s="142"/>
      <c r="O47" s="142"/>
      <c r="P47" s="28" t="s">
        <v>373</v>
      </c>
      <c r="Q47" s="28" t="s">
        <v>374</v>
      </c>
    </row>
    <row r="48" spans="1:18" ht="14.25" customHeight="1">
      <c r="A48" s="322" t="s">
        <v>375</v>
      </c>
      <c r="B48" s="322"/>
      <c r="C48" s="322"/>
      <c r="D48" s="322"/>
      <c r="E48" s="322"/>
      <c r="F48" s="322"/>
      <c r="G48" s="322"/>
      <c r="H48" s="322"/>
      <c r="I48" s="322"/>
      <c r="J48" s="322"/>
      <c r="K48" s="322"/>
      <c r="L48" s="211"/>
      <c r="M48" s="211"/>
      <c r="N48" s="211"/>
      <c r="O48" s="211"/>
      <c r="P48" s="211"/>
    </row>
    <row r="49" spans="1:16" ht="14.25" customHeight="1">
      <c r="A49" s="210"/>
    </row>
    <row r="50" spans="1:16" ht="14.25" customHeight="1">
      <c r="A50" s="2" t="s">
        <v>376</v>
      </c>
      <c r="B50" s="208">
        <v>6</v>
      </c>
      <c r="D50" s="197" t="s">
        <v>377</v>
      </c>
      <c r="E50" s="212">
        <v>0.79</v>
      </c>
    </row>
    <row r="51" spans="1:16" ht="14.25" customHeight="1">
      <c r="B51" s="213" t="s">
        <v>378</v>
      </c>
      <c r="C51" s="213" t="s">
        <v>379</v>
      </c>
      <c r="D51" s="213" t="s">
        <v>380</v>
      </c>
      <c r="E51" s="213" t="s">
        <v>381</v>
      </c>
      <c r="F51" s="213" t="s">
        <v>382</v>
      </c>
    </row>
    <row r="52" spans="1:16" ht="14.25" customHeight="1">
      <c r="A52" s="210" t="s">
        <v>99</v>
      </c>
      <c r="B52" s="214">
        <f>VLOOKUP(C52,'Ref - ENI Max Pods'!A1:D24,2,FALSE())</f>
        <v>16</v>
      </c>
      <c r="C52" s="215" t="s">
        <v>383</v>
      </c>
      <c r="D52" s="216">
        <f>Q44</f>
        <v>87200</v>
      </c>
      <c r="E52" s="216">
        <f>E43</f>
        <v>96</v>
      </c>
      <c r="F52" s="214">
        <f>B54*F63</f>
        <v>1872</v>
      </c>
    </row>
    <row r="53" spans="1:16" ht="14.25" customHeight="1">
      <c r="A53" s="210" t="s">
        <v>384</v>
      </c>
      <c r="B53" s="214">
        <f>VLOOKUP(C52,'Ref - ENI Max Pods'!A2:D25,3,FALSE())</f>
        <v>64</v>
      </c>
    </row>
    <row r="54" spans="1:16" ht="14.25" customHeight="1">
      <c r="A54" s="210" t="s">
        <v>385</v>
      </c>
      <c r="B54" s="214">
        <f>VLOOKUP(C52,'Ref - ENI Max Pods'!A3:D26,4,FALSE())</f>
        <v>234</v>
      </c>
    </row>
    <row r="55" spans="1:16" ht="14.25" customHeight="1">
      <c r="A55" s="210"/>
      <c r="B55" s="217"/>
    </row>
    <row r="56" spans="1:16" ht="14.25" customHeight="1">
      <c r="A56" s="218"/>
      <c r="B56" s="219"/>
      <c r="C56" s="219"/>
      <c r="D56" s="219"/>
      <c r="E56" s="219"/>
      <c r="F56" s="219"/>
      <c r="G56" s="219"/>
      <c r="H56" s="219"/>
      <c r="I56" s="219"/>
      <c r="J56" s="219"/>
      <c r="K56" s="219"/>
      <c r="L56" s="219"/>
      <c r="M56" s="219"/>
      <c r="N56" s="219"/>
      <c r="O56" s="219"/>
      <c r="P56" s="219"/>
    </row>
    <row r="57" spans="1:16" ht="14.25" customHeight="1">
      <c r="A57" s="193" t="s">
        <v>386</v>
      </c>
    </row>
    <row r="58" spans="1:16" ht="14.25" customHeight="1">
      <c r="A58" s="323" t="s">
        <v>387</v>
      </c>
      <c r="B58" s="323"/>
      <c r="C58" s="323"/>
      <c r="D58" s="323"/>
      <c r="E58" s="323"/>
      <c r="F58" s="323"/>
      <c r="G58" s="323"/>
      <c r="H58" s="193"/>
      <c r="I58" s="246" t="s">
        <v>394</v>
      </c>
      <c r="J58" s="247"/>
      <c r="K58" s="248"/>
      <c r="L58" s="248"/>
    </row>
    <row r="59" spans="1:16" ht="12.75" customHeight="1">
      <c r="A59" s="220" t="s">
        <v>388</v>
      </c>
      <c r="B59" s="317" t="s">
        <v>422</v>
      </c>
      <c r="C59" s="317"/>
      <c r="E59" s="220" t="s">
        <v>388</v>
      </c>
      <c r="F59" s="317" t="s">
        <v>422</v>
      </c>
      <c r="G59" s="317"/>
      <c r="I59" s="232" t="s">
        <v>379</v>
      </c>
      <c r="J59" s="233" t="s">
        <v>395</v>
      </c>
      <c r="K59" s="232" t="s">
        <v>396</v>
      </c>
      <c r="L59" s="232" t="s">
        <v>265</v>
      </c>
    </row>
    <row r="60" spans="1:16" ht="12.75" customHeight="1">
      <c r="A60" s="221"/>
      <c r="B60" s="2" t="s">
        <v>390</v>
      </c>
      <c r="C60" s="2" t="s">
        <v>391</v>
      </c>
      <c r="E60" s="221"/>
      <c r="F60" s="2" t="s">
        <v>390</v>
      </c>
      <c r="G60" s="222" t="s">
        <v>391</v>
      </c>
      <c r="I60" s="232" t="s">
        <v>397</v>
      </c>
      <c r="J60" s="233">
        <v>12</v>
      </c>
      <c r="K60" s="232">
        <v>286.16000000000003</v>
      </c>
      <c r="L60" s="232">
        <f>K60*J60</f>
        <v>3433.92</v>
      </c>
    </row>
    <row r="61" spans="1:16" ht="12.75" customHeight="1">
      <c r="A61" s="223" t="s">
        <v>99</v>
      </c>
      <c r="B61" s="206">
        <f>ROUNDUP(C61/B52,0)</f>
        <v>2</v>
      </c>
      <c r="C61" s="206">
        <f>L45</f>
        <v>23</v>
      </c>
      <c r="E61" s="223" t="s">
        <v>99</v>
      </c>
      <c r="F61" s="206">
        <f>ROUNDUP(G61/B52,0)</f>
        <v>8</v>
      </c>
      <c r="G61" s="224">
        <f>N45</f>
        <v>119</v>
      </c>
      <c r="I61" s="234" t="s">
        <v>398</v>
      </c>
      <c r="J61" s="235">
        <v>7</v>
      </c>
      <c r="K61" s="234">
        <v>572.32000000000005</v>
      </c>
      <c r="L61" s="234">
        <f>K61*J61</f>
        <v>4006.2400000000002</v>
      </c>
    </row>
    <row r="62" spans="1:16" ht="12.75" customHeight="1">
      <c r="A62" s="249" t="s">
        <v>384</v>
      </c>
      <c r="B62" s="206">
        <f>ROUNDUP(C62/B53,0)</f>
        <v>1</v>
      </c>
      <c r="C62" s="206">
        <f>M45</f>
        <v>41</v>
      </c>
      <c r="E62" s="223" t="s">
        <v>384</v>
      </c>
      <c r="F62" s="206">
        <f>ROUNDUP(G62/B53,0)</f>
        <v>3</v>
      </c>
      <c r="G62" s="224">
        <f>O45</f>
        <v>159</v>
      </c>
      <c r="I62" s="232" t="s">
        <v>399</v>
      </c>
      <c r="J62" s="233">
        <v>12</v>
      </c>
      <c r="K62" s="232">
        <v>350.4</v>
      </c>
      <c r="L62" s="232">
        <f>K62*J62</f>
        <v>4204.7999999999993</v>
      </c>
    </row>
    <row r="63" spans="1:16" s="227" customFormat="1" ht="36" customHeight="1">
      <c r="A63" s="226" t="s">
        <v>392</v>
      </c>
      <c r="B63" s="326">
        <f>MAX(B61:B62)</f>
        <v>2</v>
      </c>
      <c r="C63" s="326"/>
      <c r="D63" s="50"/>
      <c r="E63" s="226" t="s">
        <v>393</v>
      </c>
      <c r="F63" s="319">
        <f>MAX(F61:F62)</f>
        <v>8</v>
      </c>
      <c r="G63" s="319"/>
      <c r="I63" s="232" t="s">
        <v>400</v>
      </c>
      <c r="J63" s="233">
        <v>12</v>
      </c>
      <c r="K63" s="232">
        <v>443.84</v>
      </c>
      <c r="L63" s="232">
        <f>K63*J63</f>
        <v>5326.08</v>
      </c>
    </row>
    <row r="64" spans="1:16" ht="14.25" customHeight="1">
      <c r="A64" s="228"/>
      <c r="B64" s="147"/>
      <c r="C64" s="142"/>
      <c r="I64" s="232" t="s">
        <v>401</v>
      </c>
      <c r="J64" s="233">
        <v>7</v>
      </c>
      <c r="K64" s="232">
        <v>700.8</v>
      </c>
      <c r="L64" s="232">
        <f>K64*J64</f>
        <v>4905.5999999999995</v>
      </c>
    </row>
    <row r="65" spans="9:12" ht="14.25" customHeight="1">
      <c r="I65" s="232" t="s">
        <v>402</v>
      </c>
      <c r="J65" s="233">
        <v>7</v>
      </c>
      <c r="K65" s="232">
        <v>887.68</v>
      </c>
      <c r="L65" s="232">
        <f>K65*J65</f>
        <v>6213.7599999999993</v>
      </c>
    </row>
    <row r="66" spans="9:12" ht="14.25" customHeight="1"/>
  </sheetData>
  <mergeCells count="17">
    <mergeCell ref="A48:K48"/>
    <mergeCell ref="A58:G58"/>
    <mergeCell ref="B59:C59"/>
    <mergeCell ref="F59:G59"/>
    <mergeCell ref="B63:C63"/>
    <mergeCell ref="F63:G63"/>
    <mergeCell ref="A6:E6"/>
    <mergeCell ref="A7:E7"/>
    <mergeCell ref="A8:E8"/>
    <mergeCell ref="A13:R13"/>
    <mergeCell ref="L14:M14"/>
    <mergeCell ref="N14:O14"/>
    <mergeCell ref="A1:G1"/>
    <mergeCell ref="A2:E2"/>
    <mergeCell ref="A3:E3"/>
    <mergeCell ref="A4:E4"/>
    <mergeCell ref="A5:E5"/>
  </mergeCells>
  <conditionalFormatting sqref="E52">
    <cfRule type="expression" dxfId="1" priority="2">
      <formula>$H$42&lt;$G$42</formula>
    </cfRule>
  </conditionalFormatting>
  <conditionalFormatting sqref="B55 F52">
    <cfRule type="expression" dxfId="0" priority="3">
      <formula>#REF!*$F$62&lt;#REF!</formula>
    </cfRule>
  </conditionalFormatting>
  <pageMargins left="0.7" right="0.7" top="0.75" bottom="0.75"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6"/>
  <sheetViews>
    <sheetView zoomScaleNormal="100" workbookViewId="0">
      <selection activeCell="L20" sqref="L20"/>
    </sheetView>
  </sheetViews>
  <sheetFormatPr defaultColWidth="8.7109375" defaultRowHeight="14.25"/>
  <cols>
    <col min="1" max="1" width="32.42578125" customWidth="1"/>
  </cols>
  <sheetData>
    <row r="1" spans="1:1">
      <c r="A1" s="250" t="s">
        <v>423</v>
      </c>
    </row>
    <row r="2" spans="1:1">
      <c r="A2" s="251" t="s">
        <v>424</v>
      </c>
    </row>
    <row r="3" spans="1:1" ht="24" customHeight="1">
      <c r="A3" s="252" t="s">
        <v>425</v>
      </c>
    </row>
    <row r="4" spans="1:1" ht="24" customHeight="1">
      <c r="A4" s="252" t="s">
        <v>426</v>
      </c>
    </row>
    <row r="5" spans="1:1" ht="24" customHeight="1">
      <c r="A5" s="252" t="s">
        <v>427</v>
      </c>
    </row>
    <row r="6" spans="1:1" ht="24" customHeight="1">
      <c r="A6" s="253" t="s">
        <v>428</v>
      </c>
    </row>
  </sheetData>
  <pageMargins left="0.7" right="0.7" top="0.75" bottom="0.75" header="0.511811023622047" footer="0.511811023622047"/>
  <pageSetup paperSize="9" orientation="portrait" horizontalDpi="300" verticalDpi="300"/>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4"/>
  <sheetViews>
    <sheetView zoomScaleNormal="100" workbookViewId="0">
      <selection activeCell="O23" sqref="O23"/>
    </sheetView>
  </sheetViews>
  <sheetFormatPr defaultColWidth="8.5703125" defaultRowHeight="12.75"/>
  <cols>
    <col min="1" max="1" width="8.5703125" style="254"/>
    <col min="2" max="2" width="16.42578125" style="254" customWidth="1"/>
    <col min="3" max="3" width="11.85546875" style="254" customWidth="1"/>
    <col min="4" max="16384" width="8.5703125" style="254"/>
  </cols>
  <sheetData>
    <row r="1" spans="1:3">
      <c r="A1" s="255" t="s">
        <v>429</v>
      </c>
      <c r="B1" s="255" t="s">
        <v>430</v>
      </c>
      <c r="C1" s="255" t="s">
        <v>431</v>
      </c>
    </row>
    <row r="2" spans="1:3">
      <c r="A2" s="254">
        <v>0</v>
      </c>
    </row>
    <row r="3" spans="1:3">
      <c r="A3" s="254">
        <v>10</v>
      </c>
      <c r="B3" s="254" t="s">
        <v>432</v>
      </c>
      <c r="C3" s="254" t="s">
        <v>433</v>
      </c>
    </row>
    <row r="4" spans="1:3">
      <c r="A4" s="254">
        <v>25</v>
      </c>
      <c r="B4" s="254" t="s">
        <v>434</v>
      </c>
      <c r="C4" s="254" t="s">
        <v>435</v>
      </c>
    </row>
  </sheetData>
  <sheetProtection algorithmName="SHA-512" hashValue="+LrOPnCu2nR80gzFY4i9DVp3GLPeQAtbjljyDT214aHnjTY/J7WJneNjCunJVtRfnCqGjpA3UGz5nfKyeUJvZw==" saltValue="XAW0LGv8evuZxNDhUu/5Rw==" spinCount="100000" sheet="1" objects="1" scenarios="1"/>
  <pageMargins left="0.7" right="0.7" top="0.75" bottom="0.75"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70C0"/>
  </sheetPr>
  <dimension ref="A1:D51"/>
  <sheetViews>
    <sheetView topLeftCell="A18" zoomScaleNormal="100" workbookViewId="0">
      <selection activeCell="G52" sqref="G52"/>
    </sheetView>
  </sheetViews>
  <sheetFormatPr defaultColWidth="8.85546875" defaultRowHeight="12"/>
  <cols>
    <col min="1" max="1" width="25.140625" style="50" customWidth="1"/>
    <col min="2" max="16384" width="8.85546875" style="50"/>
  </cols>
  <sheetData>
    <row r="1" spans="1:4">
      <c r="A1" s="256" t="s">
        <v>436</v>
      </c>
    </row>
    <row r="2" spans="1:4">
      <c r="A2" s="256" t="s">
        <v>437</v>
      </c>
    </row>
    <row r="3" spans="1:4" ht="12.75" customHeight="1">
      <c r="A3" s="197" t="s">
        <v>379</v>
      </c>
      <c r="B3" s="220" t="s">
        <v>99</v>
      </c>
      <c r="C3" s="220" t="s">
        <v>384</v>
      </c>
      <c r="D3" s="197" t="s">
        <v>438</v>
      </c>
    </row>
    <row r="4" spans="1:4" ht="12.75" customHeight="1">
      <c r="A4" s="32" t="s">
        <v>439</v>
      </c>
      <c r="B4" s="220">
        <v>0</v>
      </c>
      <c r="C4" s="220">
        <v>0</v>
      </c>
      <c r="D4" s="197">
        <v>0</v>
      </c>
    </row>
    <row r="5" spans="1:4">
      <c r="A5" s="32" t="s">
        <v>440</v>
      </c>
      <c r="B5" s="208">
        <v>2</v>
      </c>
      <c r="C5" s="208">
        <v>4</v>
      </c>
      <c r="D5" s="208">
        <v>29</v>
      </c>
    </row>
    <row r="6" spans="1:4">
      <c r="A6" s="32" t="s">
        <v>441</v>
      </c>
      <c r="B6" s="208">
        <v>2</v>
      </c>
      <c r="C6" s="208">
        <v>8</v>
      </c>
      <c r="D6" s="208">
        <v>29</v>
      </c>
    </row>
    <row r="7" spans="1:4">
      <c r="A7" s="32" t="s">
        <v>442</v>
      </c>
      <c r="B7" s="208">
        <v>2</v>
      </c>
      <c r="C7" s="208">
        <v>16</v>
      </c>
      <c r="D7" s="208">
        <v>29</v>
      </c>
    </row>
    <row r="8" spans="1:4">
      <c r="A8" s="32" t="s">
        <v>443</v>
      </c>
      <c r="B8" s="208">
        <v>4</v>
      </c>
      <c r="C8" s="208">
        <v>8</v>
      </c>
      <c r="D8" s="208">
        <v>58</v>
      </c>
    </row>
    <row r="9" spans="1:4">
      <c r="A9" s="32" t="s">
        <v>444</v>
      </c>
      <c r="B9" s="208">
        <v>4</v>
      </c>
      <c r="C9" s="208">
        <v>16</v>
      </c>
      <c r="D9" s="208">
        <v>58</v>
      </c>
    </row>
    <row r="10" spans="1:4">
      <c r="A10" s="32" t="s">
        <v>445</v>
      </c>
      <c r="B10" s="208">
        <v>4</v>
      </c>
      <c r="C10" s="208">
        <v>32</v>
      </c>
      <c r="D10" s="208">
        <v>58</v>
      </c>
    </row>
    <row r="11" spans="1:4">
      <c r="A11" s="32" t="s">
        <v>446</v>
      </c>
      <c r="B11" s="208">
        <v>8</v>
      </c>
      <c r="C11" s="208">
        <v>16</v>
      </c>
      <c r="D11" s="208">
        <v>58</v>
      </c>
    </row>
    <row r="12" spans="1:4">
      <c r="A12" s="32" t="s">
        <v>447</v>
      </c>
      <c r="B12" s="208">
        <v>8</v>
      </c>
      <c r="C12" s="208">
        <v>32</v>
      </c>
      <c r="D12" s="208">
        <v>58</v>
      </c>
    </row>
    <row r="13" spans="1:4">
      <c r="A13" s="32" t="s">
        <v>448</v>
      </c>
      <c r="B13" s="208">
        <v>8</v>
      </c>
      <c r="C13" s="208">
        <v>64</v>
      </c>
      <c r="D13" s="208">
        <v>58</v>
      </c>
    </row>
    <row r="14" spans="1:4">
      <c r="A14" s="32" t="s">
        <v>449</v>
      </c>
      <c r="B14" s="208">
        <v>16</v>
      </c>
      <c r="C14" s="208">
        <v>32</v>
      </c>
      <c r="D14" s="208">
        <v>234</v>
      </c>
    </row>
    <row r="15" spans="1:4">
      <c r="A15" s="32" t="s">
        <v>383</v>
      </c>
      <c r="B15" s="208">
        <v>16</v>
      </c>
      <c r="C15" s="208">
        <v>64</v>
      </c>
      <c r="D15" s="208">
        <v>234</v>
      </c>
    </row>
    <row r="16" spans="1:4">
      <c r="A16" s="32" t="s">
        <v>450</v>
      </c>
      <c r="B16" s="208">
        <v>16</v>
      </c>
      <c r="C16" s="208">
        <v>128</v>
      </c>
      <c r="D16" s="208">
        <v>234</v>
      </c>
    </row>
    <row r="17" spans="1:4">
      <c r="A17" s="32" t="s">
        <v>451</v>
      </c>
      <c r="B17" s="208">
        <v>32</v>
      </c>
      <c r="C17" s="208">
        <v>128</v>
      </c>
      <c r="D17" s="208">
        <v>234</v>
      </c>
    </row>
    <row r="18" spans="1:4">
      <c r="A18" s="32" t="s">
        <v>452</v>
      </c>
      <c r="B18" s="208">
        <v>32</v>
      </c>
      <c r="C18" s="208">
        <v>256</v>
      </c>
      <c r="D18" s="208">
        <v>234</v>
      </c>
    </row>
    <row r="19" spans="1:4">
      <c r="A19" s="32" t="s">
        <v>453</v>
      </c>
      <c r="B19" s="208">
        <v>36</v>
      </c>
      <c r="C19" s="208">
        <v>72</v>
      </c>
      <c r="D19" s="208">
        <v>234</v>
      </c>
    </row>
    <row r="20" spans="1:4">
      <c r="A20" s="32" t="s">
        <v>454</v>
      </c>
      <c r="B20" s="208">
        <v>48</v>
      </c>
      <c r="C20" s="208">
        <v>96</v>
      </c>
      <c r="D20" s="208">
        <v>234</v>
      </c>
    </row>
    <row r="21" spans="1:4">
      <c r="A21" s="32" t="s">
        <v>455</v>
      </c>
      <c r="B21" s="208">
        <v>48</v>
      </c>
      <c r="C21" s="208">
        <v>192</v>
      </c>
      <c r="D21" s="208">
        <v>234</v>
      </c>
    </row>
    <row r="22" spans="1:4">
      <c r="A22" s="32" t="s">
        <v>456</v>
      </c>
      <c r="B22" s="208">
        <v>48</v>
      </c>
      <c r="C22" s="208">
        <v>384</v>
      </c>
      <c r="D22" s="208">
        <v>234</v>
      </c>
    </row>
    <row r="23" spans="1:4">
      <c r="A23" s="32" t="s">
        <v>457</v>
      </c>
      <c r="B23" s="208">
        <v>64</v>
      </c>
      <c r="C23" s="208">
        <v>256</v>
      </c>
      <c r="D23" s="208">
        <v>737</v>
      </c>
    </row>
    <row r="24" spans="1:4">
      <c r="A24" s="32" t="s">
        <v>458</v>
      </c>
      <c r="B24" s="208">
        <v>64</v>
      </c>
      <c r="C24" s="208">
        <v>512</v>
      </c>
      <c r="D24" s="208">
        <v>737</v>
      </c>
    </row>
    <row r="25" spans="1:4">
      <c r="A25" s="32" t="s">
        <v>459</v>
      </c>
      <c r="B25" s="208">
        <v>72</v>
      </c>
      <c r="C25" s="208">
        <v>144</v>
      </c>
      <c r="D25" s="208">
        <v>737</v>
      </c>
    </row>
    <row r="26" spans="1:4">
      <c r="A26" s="32" t="s">
        <v>460</v>
      </c>
      <c r="B26" s="208">
        <v>96</v>
      </c>
      <c r="C26" s="208">
        <v>192</v>
      </c>
      <c r="D26" s="208">
        <v>737</v>
      </c>
    </row>
    <row r="27" spans="1:4">
      <c r="A27" s="32" t="s">
        <v>461</v>
      </c>
      <c r="B27" s="208">
        <v>96</v>
      </c>
      <c r="C27" s="208">
        <v>192</v>
      </c>
      <c r="D27" s="208">
        <v>737</v>
      </c>
    </row>
    <row r="28" spans="1:4">
      <c r="A28" s="32" t="s">
        <v>462</v>
      </c>
      <c r="B28" s="208">
        <v>96</v>
      </c>
      <c r="C28" s="208">
        <v>384</v>
      </c>
      <c r="D28" s="208">
        <v>737</v>
      </c>
    </row>
    <row r="29" spans="1:4">
      <c r="A29" s="32" t="s">
        <v>463</v>
      </c>
      <c r="B29" s="208">
        <v>96</v>
      </c>
      <c r="C29" s="208">
        <v>384</v>
      </c>
      <c r="D29" s="208">
        <v>737</v>
      </c>
    </row>
    <row r="30" spans="1:4">
      <c r="A30" s="32" t="s">
        <v>464</v>
      </c>
      <c r="B30" s="208">
        <v>96</v>
      </c>
      <c r="C30" s="208">
        <v>768</v>
      </c>
      <c r="D30" s="208">
        <v>737</v>
      </c>
    </row>
    <row r="31" spans="1:4">
      <c r="A31" s="32" t="s">
        <v>465</v>
      </c>
      <c r="B31" s="208">
        <v>96</v>
      </c>
      <c r="C31" s="208">
        <v>768</v>
      </c>
      <c r="D31" s="208">
        <v>737</v>
      </c>
    </row>
    <row r="32" spans="1:4">
      <c r="A32" s="32" t="s">
        <v>466</v>
      </c>
      <c r="B32" s="208">
        <v>2</v>
      </c>
      <c r="C32" s="208">
        <v>8</v>
      </c>
      <c r="D32" s="208">
        <v>250</v>
      </c>
    </row>
    <row r="33" spans="1:4">
      <c r="A33" s="32" t="s">
        <v>467</v>
      </c>
      <c r="B33" s="208">
        <v>4</v>
      </c>
      <c r="C33" s="208">
        <v>16</v>
      </c>
      <c r="D33" s="208">
        <v>250</v>
      </c>
    </row>
    <row r="34" spans="1:4">
      <c r="A34" s="32" t="s">
        <v>468</v>
      </c>
      <c r="B34" s="208">
        <v>8</v>
      </c>
      <c r="C34" s="208">
        <v>32</v>
      </c>
      <c r="D34" s="208">
        <v>250</v>
      </c>
    </row>
    <row r="35" spans="1:4">
      <c r="A35" s="32" t="s">
        <v>469</v>
      </c>
      <c r="B35" s="208">
        <v>16</v>
      </c>
      <c r="C35" s="208">
        <v>64</v>
      </c>
      <c r="D35" s="208">
        <v>250</v>
      </c>
    </row>
    <row r="36" spans="1:4">
      <c r="A36" s="32" t="s">
        <v>470</v>
      </c>
      <c r="B36" s="208">
        <v>32</v>
      </c>
      <c r="C36" s="208">
        <v>128</v>
      </c>
      <c r="D36" s="208">
        <v>250</v>
      </c>
    </row>
    <row r="37" spans="1:4">
      <c r="A37" s="32" t="s">
        <v>471</v>
      </c>
      <c r="B37" s="208">
        <v>64</v>
      </c>
      <c r="C37" s="208">
        <v>256</v>
      </c>
      <c r="D37" s="208">
        <v>250</v>
      </c>
    </row>
    <row r="38" spans="1:4">
      <c r="A38" s="32" t="s">
        <v>472</v>
      </c>
      <c r="B38" s="208">
        <v>2</v>
      </c>
      <c r="C38" s="208">
        <v>16</v>
      </c>
      <c r="D38" s="208">
        <v>250</v>
      </c>
    </row>
    <row r="39" spans="1:4">
      <c r="A39" s="32" t="s">
        <v>473</v>
      </c>
      <c r="B39" s="208">
        <v>4</v>
      </c>
      <c r="C39" s="208">
        <v>32</v>
      </c>
      <c r="D39" s="208">
        <v>250</v>
      </c>
    </row>
    <row r="40" spans="1:4">
      <c r="A40" s="32" t="s">
        <v>474</v>
      </c>
      <c r="B40" s="208">
        <v>8</v>
      </c>
      <c r="C40" s="208">
        <v>64</v>
      </c>
      <c r="D40" s="208">
        <v>250</v>
      </c>
    </row>
    <row r="41" spans="1:4">
      <c r="A41" s="32" t="s">
        <v>475</v>
      </c>
      <c r="B41" s="208">
        <v>16</v>
      </c>
      <c r="C41" s="208">
        <v>128</v>
      </c>
      <c r="D41" s="208">
        <v>250</v>
      </c>
    </row>
    <row r="42" spans="1:4">
      <c r="A42" s="32" t="s">
        <v>476</v>
      </c>
      <c r="B42" s="208">
        <v>32</v>
      </c>
      <c r="C42" s="208">
        <v>256</v>
      </c>
      <c r="D42" s="208">
        <v>250</v>
      </c>
    </row>
    <row r="43" spans="1:4">
      <c r="A43" s="32" t="s">
        <v>477</v>
      </c>
      <c r="B43" s="208">
        <v>64</v>
      </c>
      <c r="C43" s="208">
        <v>512</v>
      </c>
      <c r="D43" s="208">
        <v>250</v>
      </c>
    </row>
    <row r="44" spans="1:4">
      <c r="A44" s="32" t="s">
        <v>478</v>
      </c>
      <c r="B44" s="208">
        <v>2</v>
      </c>
      <c r="C44" s="208">
        <v>4</v>
      </c>
      <c r="D44" s="208">
        <v>250</v>
      </c>
    </row>
    <row r="45" spans="1:4">
      <c r="A45" s="32" t="s">
        <v>479</v>
      </c>
      <c r="B45" s="208">
        <v>4</v>
      </c>
      <c r="C45" s="208">
        <v>8</v>
      </c>
      <c r="D45" s="208">
        <v>250</v>
      </c>
    </row>
    <row r="46" spans="1:4">
      <c r="A46" s="32" t="s">
        <v>480</v>
      </c>
      <c r="B46" s="208">
        <v>8</v>
      </c>
      <c r="C46" s="208">
        <v>16</v>
      </c>
      <c r="D46" s="208">
        <v>250</v>
      </c>
    </row>
    <row r="47" spans="1:4">
      <c r="A47" s="32" t="s">
        <v>481</v>
      </c>
      <c r="B47" s="208">
        <v>16</v>
      </c>
      <c r="C47" s="208">
        <v>32</v>
      </c>
      <c r="D47" s="208">
        <v>250</v>
      </c>
    </row>
    <row r="48" spans="1:4">
      <c r="A48" s="32" t="s">
        <v>482</v>
      </c>
      <c r="B48" s="208">
        <v>32</v>
      </c>
      <c r="C48" s="208">
        <v>64</v>
      </c>
      <c r="D48" s="208">
        <v>250</v>
      </c>
    </row>
    <row r="49" spans="1:4">
      <c r="A49" s="32" t="s">
        <v>483</v>
      </c>
      <c r="B49" s="208">
        <v>48</v>
      </c>
      <c r="C49" s="208">
        <v>96</v>
      </c>
      <c r="D49" s="208">
        <v>250</v>
      </c>
    </row>
    <row r="50" spans="1:4">
      <c r="A50" s="32" t="s">
        <v>484</v>
      </c>
      <c r="B50" s="208">
        <v>64</v>
      </c>
      <c r="C50" s="208">
        <v>128</v>
      </c>
      <c r="D50" s="208">
        <v>250</v>
      </c>
    </row>
    <row r="51" spans="1:4">
      <c r="A51" s="32" t="s">
        <v>485</v>
      </c>
      <c r="B51" s="208">
        <v>72</v>
      </c>
      <c r="C51" s="208">
        <v>144</v>
      </c>
      <c r="D51" s="208">
        <v>250</v>
      </c>
    </row>
  </sheetData>
  <hyperlinks>
    <hyperlink ref="A1" r:id="rId1" xr:uid="{00000000-0004-0000-1B00-000000000000}"/>
  </hyperlink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BDO Unibank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Edlin C. Resurreccion</dc:creator>
  <cp:keywords/>
  <dc:description/>
  <cp:lastModifiedBy/>
  <cp:revision>76</cp:revision>
  <dcterms:created xsi:type="dcterms:W3CDTF">2019-07-02T03:23:49Z</dcterms:created>
  <dcterms:modified xsi:type="dcterms:W3CDTF">2026-06-25T07:14:36Z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0x0101006B02B2B3608F2F4F8B7FC4B58328C506</vt:lpwstr>
  </property>
  <property fmtid="{D5CDD505-2E9C-101B-9397-08002B2CF9AE}" pid="3" name="HyperlinksChanged">
    <vt:bool>false</vt:bool>
  </property>
  <property fmtid="{D5CDD505-2E9C-101B-9397-08002B2CF9AE}" pid="4" name="LinksUpToDate">
    <vt:bool>false</vt:bool>
  </property>
  <property fmtid="{D5CDD505-2E9C-101B-9397-08002B2CF9AE}" pid="5" name="MediaServiceImageTags">
    <vt:lpwstr/>
  </property>
  <property fmtid="{D5CDD505-2E9C-101B-9397-08002B2CF9AE}" pid="6" name="ScaleCrop">
    <vt:bool>false</vt:bool>
  </property>
  <property fmtid="{D5CDD505-2E9C-101B-9397-08002B2CF9AE}" pid="7" name="ShareDoc">
    <vt:bool>false</vt:bool>
  </property>
</Properties>
</file>